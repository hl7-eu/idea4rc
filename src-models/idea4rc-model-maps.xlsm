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3958EF2B-F52F-4195-AE6B-1D0CAA14F9F2}" xr6:coauthVersionLast="47" xr6:coauthVersionMax="47" xr10:uidLastSave="{00000000-0000-0000-0000-000000000000}"/>
  <bookViews>
    <workbookView xWindow="-90" yWindow="-21710" windowWidth="38620" windowHeight="21100" tabRatio="819" activeTab="5"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8" sheetId="185" r:id="rId17"/>
    <sheet name="Subject-ConceptMap-9" sheetId="246" r:id="rId18"/>
    <sheet name="Subject-CM-fsh" sheetId="181" r:id="rId19"/>
    <sheet name="EpisodeEvent" sheetId="193" r:id="rId20"/>
    <sheet name="EpisodeEvent-Map-1" sheetId="194" r:id="rId21"/>
    <sheet name="EpisodeEvent-fsh" sheetId="195" r:id="rId22"/>
    <sheet name="EpisodeEvent-ConceptMap-1" sheetId="196" r:id="rId23"/>
    <sheet name="EpisodeEvent-CM-fsh" sheetId="198" r:id="rId24"/>
    <sheet name="ClinicalStage" sheetId="159" r:id="rId25"/>
    <sheet name="ClinicalStage-Map-1" sheetId="160" r:id="rId26"/>
    <sheet name="ClinicalStage-fsh" sheetId="161" r:id="rId27"/>
    <sheet name="ClinicalStage-ConceptMap-1" sheetId="199" r:id="rId28"/>
    <sheet name="ClinicalStage-ConceptMap-2" sheetId="201" r:id="rId29"/>
    <sheet name="ClinicalStage-ConceptMap-3" sheetId="202" r:id="rId30"/>
    <sheet name="ClinicalStage-ConceptMap-4" sheetId="203" r:id="rId31"/>
    <sheet name="ClinicalStage-CM-fsh" sheetId="200" r:id="rId32"/>
    <sheet name="PathologicalStage" sheetId="189" r:id="rId33"/>
    <sheet name="PathologicalStage-fsh" sheetId="191" r:id="rId34"/>
    <sheet name="PathStage-ConceptMap-1" sheetId="204" r:id="rId35"/>
    <sheet name="PathStage-ConceptMap-2" sheetId="205" r:id="rId36"/>
    <sheet name="PathStage-ConceptMap-3" sheetId="206" r:id="rId37"/>
    <sheet name="PathStage-ConceptMap-4" sheetId="207" r:id="rId38"/>
    <sheet name="PathStage-CM-fsh" sheetId="208" r:id="rId39"/>
    <sheet name="SystemicTreatment" sheetId="164" r:id="rId40"/>
    <sheet name="SystemicTreatment-fsh" sheetId="166" r:id="rId41"/>
    <sheet name="SystemicTreatm-ConceptMap-1" sheetId="217" r:id="rId42"/>
    <sheet name="SystemicTreatment-CM-fsh" sheetId="218" r:id="rId43"/>
    <sheet name="Surgery" sheetId="209" r:id="rId44"/>
    <sheet name="Surgery-fsh" sheetId="210" r:id="rId45"/>
    <sheet name="Surgery-ConceptMap-1" sheetId="213" r:id="rId46"/>
    <sheet name="Surgery-CM-fsh" sheetId="214" r:id="rId47"/>
    <sheet name="Radiotherapy" sheetId="211" r:id="rId48"/>
    <sheet name="Radiotherapy-fsh" sheetId="212" r:id="rId49"/>
    <sheet name="Radiotherapy-ConceptMap-1" sheetId="215" r:id="rId50"/>
    <sheet name="Radiotherapy-CM-fsh" sheetId="216" r:id="rId51"/>
    <sheet name="ConvertOsiris" sheetId="138" r:id="rId52"/>
    <sheet name="HospitalPatientRecords" sheetId="225" r:id="rId53"/>
    <sheet name="HospitalPatientRecords-fsh" sheetId="226" r:id="rId54"/>
    <sheet name="HospitalPatientRec-ConceptMap-1" sheetId="227" r:id="rId55"/>
    <sheet name="HospitalPatientRecor-CM-fsh" sheetId="228" r:id="rId56"/>
    <sheet name="PatientFollowUp" sheetId="229" r:id="rId57"/>
    <sheet name="PatientFollowUp-fsh" sheetId="230" r:id="rId58"/>
    <sheet name="PatientFollowUp-ConceptMap-1" sheetId="231" r:id="rId59"/>
    <sheet name="PatientFollowUp-ConceptMap-2" sheetId="245" r:id="rId60"/>
    <sheet name="PatientFollowUp-CM-fsh" sheetId="232"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GeneticTestExpression" sheetId="241" r:id="rId70"/>
    <sheet name="GeneticTestExpression-fsh" sheetId="242" r:id="rId71"/>
    <sheet name="GeneticTestExp-ConceptMap-1" sheetId="243" r:id="rId72"/>
    <sheet name="GeneticTestExpressio-CM-fsh" sheetId="244" r:id="rId73"/>
    <sheet name="Osiris" sheetId="141" r:id="rId74"/>
    <sheet name="Osiris-Map" sheetId="142" r:id="rId75"/>
    <sheet name="Osiris-fsh-noMap" sheetId="144" r:id="rId76"/>
    <sheet name="Osiris-fsh" sheetId="143" r:id="rId77"/>
    <sheet name="Osiris-ConceptMap" sheetId="145" r:id="rId78"/>
    <sheet name="Osiris-CM-fsh" sheetId="147" r:id="rId79"/>
    <sheet name="equivalence" sheetId="146" r:id="rId80"/>
  </sheets>
  <externalReferences>
    <externalReference r:id="rId81"/>
  </externalReferences>
  <definedNames>
    <definedName name="_xlnm._FilterDatabase" localSheetId="1" hidden="1">'2.Demographic &amp; life style'!$A$2:$S$47</definedName>
    <definedName name="_xlnm._FilterDatabase" localSheetId="65" hidden="1">AdverseEvent!$A$7:$M$35</definedName>
    <definedName name="_xlnm._FilterDatabase" localSheetId="4" hidden="1">CancerEpisode!$A$7:$M$67</definedName>
    <definedName name="_xlnm._FilterDatabase" localSheetId="51" hidden="1">ConvertOsiris!$D$2:$U$232</definedName>
    <definedName name="_xlnm._FilterDatabase" localSheetId="69" hidden="1">GeneticTestExpression!$A$7:$M$35</definedName>
    <definedName name="_xlnm._FilterDatabase" localSheetId="52" hidden="1">HospitalPatientRecords!$A$7:$M$35</definedName>
    <definedName name="_xlnm._FilterDatabase" localSheetId="56" hidden="1">PatientFollowUp!$A$7:$M$35</definedName>
    <definedName name="_xlnm._FilterDatabase" localSheetId="47" hidden="1">Radiotherapy!$A$7:$M$34</definedName>
    <definedName name="_xlnm._FilterDatabase" localSheetId="9" hidden="1">Subject!$A$7:$M$40</definedName>
    <definedName name="_xlnm._FilterDatabase" localSheetId="61"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78" l="1"/>
  <c r="B19" i="178"/>
  <c r="B18" i="178"/>
  <c r="B16" i="178"/>
  <c r="C16" i="178"/>
  <c r="B17" i="178"/>
  <c r="C17" i="178"/>
  <c r="C18" i="178"/>
  <c r="J18" i="178" s="1"/>
  <c r="C45" i="174"/>
  <c r="C53" i="174"/>
  <c r="C35" i="174"/>
  <c r="J9" i="172"/>
  <c r="L9" i="172" s="1"/>
  <c r="C70" i="174" s="1"/>
  <c r="J10" i="172"/>
  <c r="L10" i="172" s="1"/>
  <c r="C71" i="174" s="1"/>
  <c r="J11" i="172"/>
  <c r="L11" i="172" s="1"/>
  <c r="C72" i="174" s="1"/>
  <c r="J12" i="172"/>
  <c r="C12" i="174" s="1"/>
  <c r="L12" i="172"/>
  <c r="C73" i="174" s="1"/>
  <c r="J13" i="172"/>
  <c r="L13" i="172" s="1"/>
  <c r="C74" i="174" s="1"/>
  <c r="J14" i="172"/>
  <c r="L14" i="172" s="1"/>
  <c r="C75" i="174" s="1"/>
  <c r="J15" i="172"/>
  <c r="L15" i="172" s="1"/>
  <c r="C76" i="174" s="1"/>
  <c r="J16" i="172"/>
  <c r="C16" i="174" s="1"/>
  <c r="L16" i="172"/>
  <c r="C77" i="174" s="1"/>
  <c r="J17" i="172"/>
  <c r="L17" i="172" s="1"/>
  <c r="C78" i="174" s="1"/>
  <c r="J18" i="172"/>
  <c r="L18" i="172" s="1"/>
  <c r="C79" i="174" s="1"/>
  <c r="J19" i="172"/>
  <c r="L19" i="172" s="1"/>
  <c r="C80" i="174" s="1"/>
  <c r="J20" i="172"/>
  <c r="C20" i="174" s="1"/>
  <c r="J21" i="172"/>
  <c r="L21" i="172" s="1"/>
  <c r="C82" i="174" s="1"/>
  <c r="J22" i="172"/>
  <c r="L22" i="172" s="1"/>
  <c r="C83" i="174" s="1"/>
  <c r="J23" i="172"/>
  <c r="L23" i="172" s="1"/>
  <c r="C84" i="174" s="1"/>
  <c r="J24" i="172"/>
  <c r="C24" i="174" s="1"/>
  <c r="J25" i="172"/>
  <c r="L25" i="172" s="1"/>
  <c r="C86" i="174" s="1"/>
  <c r="J26" i="172"/>
  <c r="L26" i="172" s="1"/>
  <c r="C87" i="174" s="1"/>
  <c r="J27" i="172"/>
  <c r="L27" i="172" s="1"/>
  <c r="C88" i="174" s="1"/>
  <c r="J28" i="172"/>
  <c r="C28" i="174" s="1"/>
  <c r="L28" i="172"/>
  <c r="C89" i="174" s="1"/>
  <c r="J29" i="172"/>
  <c r="L29" i="172" s="1"/>
  <c r="C90" i="174" s="1"/>
  <c r="J30" i="172"/>
  <c r="L30" i="172" s="1"/>
  <c r="C91" i="174" s="1"/>
  <c r="J31" i="172"/>
  <c r="L31" i="172" s="1"/>
  <c r="C92" i="174" s="1"/>
  <c r="J32" i="172"/>
  <c r="L32" i="172" s="1"/>
  <c r="C93" i="174" s="1"/>
  <c r="J33" i="172"/>
  <c r="L33" i="172" s="1"/>
  <c r="C94" i="174" s="1"/>
  <c r="J34" i="172"/>
  <c r="L34" i="172" s="1"/>
  <c r="C95" i="174" s="1"/>
  <c r="J35" i="172"/>
  <c r="L35" i="172" s="1"/>
  <c r="C96" i="174" s="1"/>
  <c r="J36" i="172"/>
  <c r="C36" i="174" s="1"/>
  <c r="J37" i="172"/>
  <c r="L37" i="172" s="1"/>
  <c r="C98" i="174" s="1"/>
  <c r="J38" i="172"/>
  <c r="L38" i="172" s="1"/>
  <c r="C99" i="174" s="1"/>
  <c r="J39" i="172"/>
  <c r="L39" i="172" s="1"/>
  <c r="C100" i="174" s="1"/>
  <c r="J40" i="172"/>
  <c r="L40" i="172" s="1"/>
  <c r="C101" i="174" s="1"/>
  <c r="J41" i="172"/>
  <c r="L41" i="172" s="1"/>
  <c r="C102" i="174" s="1"/>
  <c r="J42" i="172"/>
  <c r="L42" i="172" s="1"/>
  <c r="C103" i="174" s="1"/>
  <c r="J43" i="172"/>
  <c r="L43" i="172" s="1"/>
  <c r="C104" i="174" s="1"/>
  <c r="J44" i="172"/>
  <c r="C44" i="174" s="1"/>
  <c r="J45" i="172"/>
  <c r="L45" i="172" s="1"/>
  <c r="C106" i="174" s="1"/>
  <c r="J46" i="172"/>
  <c r="L46" i="172" s="1"/>
  <c r="C107" i="174" s="1"/>
  <c r="J47" i="172"/>
  <c r="L47" i="172" s="1"/>
  <c r="C108" i="174" s="1"/>
  <c r="J48" i="172"/>
  <c r="C48" i="174" s="1"/>
  <c r="L48" i="172"/>
  <c r="C109" i="174" s="1"/>
  <c r="J49" i="172"/>
  <c r="L49" i="172" s="1"/>
  <c r="C110" i="174" s="1"/>
  <c r="J50" i="172"/>
  <c r="L50" i="172" s="1"/>
  <c r="C111" i="174" s="1"/>
  <c r="J51" i="172"/>
  <c r="L51" i="172" s="1"/>
  <c r="C112" i="174" s="1"/>
  <c r="J52" i="172"/>
  <c r="C52" i="174" s="1"/>
  <c r="L52" i="172"/>
  <c r="C113" i="174" s="1"/>
  <c r="J53" i="172"/>
  <c r="L53" i="172" s="1"/>
  <c r="C114" i="174" s="1"/>
  <c r="J54" i="172"/>
  <c r="L54" i="172" s="1"/>
  <c r="C115" i="174" s="1"/>
  <c r="J55" i="172"/>
  <c r="L55" i="172" s="1"/>
  <c r="C116" i="174" s="1"/>
  <c r="J56" i="172"/>
  <c r="C56" i="174" s="1"/>
  <c r="J57" i="172"/>
  <c r="L57" i="172" s="1"/>
  <c r="C118" i="174" s="1"/>
  <c r="J58" i="172"/>
  <c r="L58" i="172" s="1"/>
  <c r="C119" i="174" s="1"/>
  <c r="J59" i="172"/>
  <c r="L59" i="172" s="1"/>
  <c r="C120" i="174" s="1"/>
  <c r="J60" i="172"/>
  <c r="L60" i="172" s="1"/>
  <c r="C121" i="174" s="1"/>
  <c r="J61" i="172"/>
  <c r="L61" i="172" s="1"/>
  <c r="C122" i="174" s="1"/>
  <c r="J62" i="172"/>
  <c r="L62" i="172" s="1"/>
  <c r="C123" i="174" s="1"/>
  <c r="S61" i="185" a="1"/>
  <c r="S61" i="185" s="1"/>
  <c r="S62" i="185" a="1"/>
  <c r="S62" i="185" s="1"/>
  <c r="S63" i="185" a="1"/>
  <c r="S63" i="185" s="1"/>
  <c r="S64" i="185" a="1"/>
  <c r="S64" i="185"/>
  <c r="S65" i="185" a="1"/>
  <c r="S65" i="185" s="1"/>
  <c r="S66" i="185" a="1"/>
  <c r="S66" i="185" s="1"/>
  <c r="S67" i="185" a="1"/>
  <c r="S67" i="185" s="1"/>
  <c r="S68" i="185" a="1"/>
  <c r="S68" i="185"/>
  <c r="S69" i="185" a="1"/>
  <c r="S69" i="185" s="1"/>
  <c r="S70" i="185" a="1"/>
  <c r="S70" i="185" s="1"/>
  <c r="S71" i="185" a="1"/>
  <c r="S71" i="185" s="1"/>
  <c r="S60" i="185" a="1"/>
  <c r="S60" i="185" s="1"/>
  <c r="S44" i="185" a="1"/>
  <c r="S44" i="185" s="1"/>
  <c r="S45" i="185" a="1"/>
  <c r="S45" i="185"/>
  <c r="S46" i="185" a="1"/>
  <c r="S46" i="185" s="1"/>
  <c r="S47" i="185" a="1"/>
  <c r="S47" i="185"/>
  <c r="S48" i="185" a="1"/>
  <c r="S48" i="185" s="1"/>
  <c r="S49" i="185" a="1"/>
  <c r="S49" i="185"/>
  <c r="S50" i="185" a="1"/>
  <c r="S50" i="185" s="1"/>
  <c r="S51" i="185" a="1"/>
  <c r="S51" i="185"/>
  <c r="S52" i="185" a="1"/>
  <c r="S52" i="185" s="1"/>
  <c r="S53" i="185" a="1"/>
  <c r="S53" i="185"/>
  <c r="S54" i="185" a="1"/>
  <c r="S54" i="185" s="1"/>
  <c r="S43" i="185" a="1"/>
  <c r="S43" i="185" s="1"/>
  <c r="B377" i="181"/>
  <c r="S23" i="185" a="1"/>
  <c r="S23" i="185"/>
  <c r="S24" i="185" a="1"/>
  <c r="S24" i="185" s="1"/>
  <c r="S25" i="185" a="1"/>
  <c r="S25" i="185"/>
  <c r="S26" i="185" a="1"/>
  <c r="S26" i="185"/>
  <c r="S27" i="185" a="1"/>
  <c r="S27" i="185"/>
  <c r="S28" i="185" a="1"/>
  <c r="S28" i="185" s="1"/>
  <c r="S29" i="185" a="1"/>
  <c r="S29" i="185"/>
  <c r="S30" i="185" a="1"/>
  <c r="S30" i="185"/>
  <c r="S31" i="185" a="1"/>
  <c r="S31" i="185"/>
  <c r="S32" i="185" a="1"/>
  <c r="S32" i="185" s="1"/>
  <c r="S33" i="185" a="1"/>
  <c r="S33" i="185"/>
  <c r="S34" i="185" a="1"/>
  <c r="S34" i="185"/>
  <c r="S35" i="185" a="1"/>
  <c r="S35" i="185"/>
  <c r="S36" i="185" a="1"/>
  <c r="S36" i="185" s="1"/>
  <c r="S22" i="185" a="1"/>
  <c r="S22"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I60" i="185"/>
  <c r="N58" i="185"/>
  <c r="N57" i="185"/>
  <c r="E57" i="185"/>
  <c r="B372" i="181"/>
  <c r="B371"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J43" i="185"/>
  <c r="I43" i="185"/>
  <c r="C43" i="185"/>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I19" i="246" s="1"/>
  <c r="E3" i="246"/>
  <c r="E6" i="246" s="1"/>
  <c r="B352"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B323" i="181"/>
  <c r="B324" i="181"/>
  <c r="B325" i="181"/>
  <c r="B326" i="181"/>
  <c r="B327" i="181"/>
  <c r="B328" i="181"/>
  <c r="B329" i="181"/>
  <c r="B330" i="181"/>
  <c r="B331" i="181"/>
  <c r="B332" i="181"/>
  <c r="B333" i="181"/>
  <c r="B334" i="181"/>
  <c r="B335" i="181"/>
  <c r="B336" i="181"/>
  <c r="B337" i="181"/>
  <c r="B338" i="181"/>
  <c r="B339" i="181"/>
  <c r="B340" i="181"/>
  <c r="B187" i="181"/>
  <c r="B188" i="181"/>
  <c r="B189" i="181"/>
  <c r="B190" i="181"/>
  <c r="B191" i="181"/>
  <c r="B192" i="181"/>
  <c r="B193" i="181"/>
  <c r="B194" i="181"/>
  <c r="B195" i="181"/>
  <c r="B196" i="181"/>
  <c r="B197" i="181"/>
  <c r="B198" i="181"/>
  <c r="B199" i="181"/>
  <c r="B200" i="181"/>
  <c r="B201" i="181"/>
  <c r="B202" i="181"/>
  <c r="B203"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26" i="181"/>
  <c r="B127" i="181"/>
  <c r="B128" i="181"/>
  <c r="B129" i="181"/>
  <c r="B130" i="181"/>
  <c r="B131" i="181"/>
  <c r="B132" i="181"/>
  <c r="B133" i="181"/>
  <c r="C9" i="171"/>
  <c r="C10" i="171"/>
  <c r="C11" i="171"/>
  <c r="C12" i="171"/>
  <c r="C13" i="171"/>
  <c r="C14" i="171"/>
  <c r="C15" i="171"/>
  <c r="C18" i="171"/>
  <c r="C19" i="171"/>
  <c r="C20" i="171"/>
  <c r="C21" i="171"/>
  <c r="C22" i="171"/>
  <c r="C23" i="171"/>
  <c r="C24" i="171"/>
  <c r="C25" i="171"/>
  <c r="C26" i="171"/>
  <c r="C27" i="171"/>
  <c r="C28" i="171"/>
  <c r="C29" i="171"/>
  <c r="C30" i="171"/>
  <c r="C31" i="171"/>
  <c r="C32" i="171"/>
  <c r="C33" i="171"/>
  <c r="C34" i="171"/>
  <c r="C35" i="171"/>
  <c r="C36" i="171"/>
  <c r="C38" i="171"/>
  <c r="C39" i="171"/>
  <c r="C40" i="171"/>
  <c r="C46" i="171"/>
  <c r="C47" i="171"/>
  <c r="C48" i="171"/>
  <c r="C56" i="171"/>
  <c r="C57" i="171"/>
  <c r="C58" i="171"/>
  <c r="Q16" i="184"/>
  <c r="S16" i="184" s="1" a="1"/>
  <c r="S16" i="184" s="1"/>
  <c r="R16" i="184"/>
  <c r="Q17" i="184"/>
  <c r="R17" i="184"/>
  <c r="S17" i="184" a="1"/>
  <c r="S17" i="184"/>
  <c r="Q18" i="184"/>
  <c r="S18" i="184" s="1" a="1"/>
  <c r="S18" i="184" s="1"/>
  <c r="R18" i="184"/>
  <c r="Q19" i="184"/>
  <c r="R19" i="184"/>
  <c r="S19" i="184" a="1"/>
  <c r="S19" i="184"/>
  <c r="Q20" i="184"/>
  <c r="S20" i="184" s="1" a="1"/>
  <c r="S20" i="184" s="1"/>
  <c r="R20" i="184"/>
  <c r="Q21" i="184"/>
  <c r="R21" i="184"/>
  <c r="S21" i="184" a="1"/>
  <c r="S21" i="184"/>
  <c r="Q22" i="184"/>
  <c r="S22" i="184" s="1" a="1"/>
  <c r="S22" i="184" s="1"/>
  <c r="R22" i="184"/>
  <c r="Q23" i="184"/>
  <c r="R23" i="184"/>
  <c r="S23" i="184" a="1"/>
  <c r="S23" i="184"/>
  <c r="Q24" i="184"/>
  <c r="S24" i="184" s="1" a="1"/>
  <c r="S24" i="184" s="1"/>
  <c r="R24" i="184"/>
  <c r="Q25" i="184"/>
  <c r="R25" i="184"/>
  <c r="S25" i="184" a="1"/>
  <c r="S25" i="184"/>
  <c r="Q26" i="184"/>
  <c r="S26" i="184" s="1" a="1"/>
  <c r="S26" i="184" s="1"/>
  <c r="R26" i="184"/>
  <c r="Q27" i="184"/>
  <c r="R27" i="184"/>
  <c r="S27" i="184" a="1"/>
  <c r="S27" i="184"/>
  <c r="Q28" i="184"/>
  <c r="S28" i="184" s="1" a="1"/>
  <c r="S28" i="184" s="1"/>
  <c r="R28" i="184"/>
  <c r="Q29" i="184"/>
  <c r="R29" i="184"/>
  <c r="S29" i="184" a="1"/>
  <c r="S29" i="184"/>
  <c r="Q30" i="184"/>
  <c r="S30" i="184" s="1" a="1"/>
  <c r="S30" i="184" s="1"/>
  <c r="R30" i="184"/>
  <c r="Q31" i="184"/>
  <c r="R31" i="184"/>
  <c r="S31" i="184" a="1"/>
  <c r="S31" i="184"/>
  <c r="Q32" i="184"/>
  <c r="S32" i="184" s="1" a="1"/>
  <c r="S32" i="184" s="1"/>
  <c r="R32" i="184"/>
  <c r="Q33" i="184"/>
  <c r="R33" i="184"/>
  <c r="S33" i="184" a="1"/>
  <c r="S33" i="184"/>
  <c r="Q34" i="184"/>
  <c r="S34" i="184" s="1" a="1"/>
  <c r="S34" i="184" s="1"/>
  <c r="R34" i="184"/>
  <c r="Q35" i="184"/>
  <c r="R35" i="184"/>
  <c r="S35" i="184" a="1"/>
  <c r="S35" i="184"/>
  <c r="Q36" i="184"/>
  <c r="S36" i="184" s="1" a="1"/>
  <c r="S36" i="184" s="1"/>
  <c r="R36" i="184"/>
  <c r="Q37" i="184"/>
  <c r="R37" i="184"/>
  <c r="S37" i="184" a="1"/>
  <c r="S37" i="184"/>
  <c r="Q38" i="184"/>
  <c r="S38" i="184" s="1" a="1"/>
  <c r="S38" i="184" s="1"/>
  <c r="R38" i="184"/>
  <c r="Q39" i="184"/>
  <c r="R39" i="184"/>
  <c r="S39" i="184" a="1"/>
  <c r="S39" i="184"/>
  <c r="Q40" i="184"/>
  <c r="S40" i="184" s="1" a="1"/>
  <c r="S40" i="184" s="1"/>
  <c r="R40" i="184"/>
  <c r="Q41" i="184"/>
  <c r="R41" i="184"/>
  <c r="S41" i="184" a="1"/>
  <c r="S41" i="184"/>
  <c r="Q42" i="184"/>
  <c r="S42" i="184" s="1" a="1"/>
  <c r="S42" i="184" s="1"/>
  <c r="R42" i="184"/>
  <c r="Q43" i="184"/>
  <c r="R43" i="184"/>
  <c r="S43" i="184" a="1"/>
  <c r="S43" i="184"/>
  <c r="Q44" i="184"/>
  <c r="S44" i="184" s="1" a="1"/>
  <c r="S44" i="184" s="1"/>
  <c r="R44" i="184"/>
  <c r="Q45" i="184"/>
  <c r="R45" i="184"/>
  <c r="S45" i="184" a="1"/>
  <c r="S45" i="184"/>
  <c r="Q46" i="184"/>
  <c r="S46" i="184" s="1" a="1"/>
  <c r="S46" i="184" s="1"/>
  <c r="R46" i="184"/>
  <c r="Q47" i="184"/>
  <c r="R47" i="184"/>
  <c r="S47" i="184" a="1"/>
  <c r="S47" i="184"/>
  <c r="Q48" i="184"/>
  <c r="S48" i="184" s="1" a="1"/>
  <c r="S48" i="184" s="1"/>
  <c r="R48" i="184"/>
  <c r="Q49" i="184"/>
  <c r="R49" i="184"/>
  <c r="S49" i="184" a="1"/>
  <c r="S49" i="184"/>
  <c r="Q50" i="184"/>
  <c r="S50" i="184" s="1" a="1"/>
  <c r="S50" i="184" s="1"/>
  <c r="R50" i="184"/>
  <c r="Q51" i="184"/>
  <c r="R51" i="184"/>
  <c r="S51" i="184" a="1"/>
  <c r="S51" i="184"/>
  <c r="Q52" i="184"/>
  <c r="S52" i="184" s="1" a="1"/>
  <c r="S52" i="184" s="1"/>
  <c r="R52" i="184"/>
  <c r="Q53" i="184"/>
  <c r="R53" i="184"/>
  <c r="S53" i="184" a="1"/>
  <c r="S53" i="184"/>
  <c r="Q54" i="184"/>
  <c r="S54" i="184" s="1" a="1"/>
  <c r="S54" i="184" s="1"/>
  <c r="R54" i="184"/>
  <c r="Q55" i="184"/>
  <c r="R55" i="184"/>
  <c r="S55" i="184" a="1"/>
  <c r="S55" i="184"/>
  <c r="Q56" i="184"/>
  <c r="S56" i="184" s="1" a="1"/>
  <c r="S56" i="184" s="1"/>
  <c r="R56" i="184"/>
  <c r="Q57" i="184"/>
  <c r="R57" i="184"/>
  <c r="S57" i="184" a="1"/>
  <c r="S57" i="184"/>
  <c r="Q58" i="184"/>
  <c r="S58" i="184" s="1" a="1"/>
  <c r="S58" i="184" s="1"/>
  <c r="R58" i="184"/>
  <c r="Q59" i="184"/>
  <c r="R59" i="184"/>
  <c r="S59" i="184" a="1"/>
  <c r="S59" i="184"/>
  <c r="Q60" i="184"/>
  <c r="S60" i="184" s="1" a="1"/>
  <c r="S60" i="184" s="1"/>
  <c r="R60" i="184"/>
  <c r="Q61" i="184"/>
  <c r="R61" i="184"/>
  <c r="S61" i="184" a="1"/>
  <c r="S61" i="184"/>
  <c r="Q62" i="184"/>
  <c r="S62" i="184" s="1" a="1"/>
  <c r="S62" i="184" s="1"/>
  <c r="R62" i="184"/>
  <c r="Q63" i="184"/>
  <c r="R63" i="184"/>
  <c r="S63" i="184" a="1"/>
  <c r="S63" i="184"/>
  <c r="Q64" i="184"/>
  <c r="S64" i="184" s="1" a="1"/>
  <c r="S64" i="184" s="1"/>
  <c r="R64" i="184"/>
  <c r="Q65" i="184"/>
  <c r="R65" i="184"/>
  <c r="S65" i="184" a="1"/>
  <c r="S65" i="184"/>
  <c r="Q66" i="184"/>
  <c r="S66" i="184" s="1" a="1"/>
  <c r="S66" i="184" s="1"/>
  <c r="R66" i="184"/>
  <c r="Q67" i="184"/>
  <c r="R67" i="184"/>
  <c r="S67" i="184" a="1"/>
  <c r="S67" i="184"/>
  <c r="Q68" i="184"/>
  <c r="S68" i="184" s="1" a="1"/>
  <c r="S68" i="184" s="1"/>
  <c r="R68" i="184"/>
  <c r="Q69" i="184"/>
  <c r="R69" i="184"/>
  <c r="S69" i="184" a="1"/>
  <c r="S69" i="184"/>
  <c r="Q70" i="184"/>
  <c r="S70" i="184" s="1" a="1"/>
  <c r="S70" i="184" s="1"/>
  <c r="R70" i="184"/>
  <c r="Q71" i="184"/>
  <c r="R71" i="184"/>
  <c r="S71" i="184" a="1"/>
  <c r="S71" i="184"/>
  <c r="Q72" i="184"/>
  <c r="S72" i="184" s="1" a="1"/>
  <c r="S72" i="184" s="1"/>
  <c r="R72" i="184"/>
  <c r="Q73" i="184"/>
  <c r="R73" i="184"/>
  <c r="S73" i="184" a="1"/>
  <c r="S73" i="184"/>
  <c r="Q74" i="184"/>
  <c r="S74" i="184" s="1" a="1"/>
  <c r="S74" i="184" s="1"/>
  <c r="R74" i="184"/>
  <c r="Q75" i="184"/>
  <c r="R75" i="184"/>
  <c r="S75" i="184" a="1"/>
  <c r="S75" i="184"/>
  <c r="Q76" i="184"/>
  <c r="S76" i="184" s="1" a="1"/>
  <c r="S76" i="184" s="1"/>
  <c r="R76" i="184"/>
  <c r="Q77" i="184"/>
  <c r="R77" i="184"/>
  <c r="S77" i="184" a="1"/>
  <c r="S77" i="184"/>
  <c r="Q78" i="184"/>
  <c r="S78" i="184" s="1" a="1"/>
  <c r="S78" i="184" s="1"/>
  <c r="R78" i="184"/>
  <c r="Q79" i="184"/>
  <c r="R79" i="184"/>
  <c r="S79" i="184" a="1"/>
  <c r="S79" i="184"/>
  <c r="Q80" i="184"/>
  <c r="S80" i="184" s="1" a="1"/>
  <c r="S80" i="184" s="1"/>
  <c r="R80" i="184"/>
  <c r="Q81" i="184"/>
  <c r="R81" i="184"/>
  <c r="S81" i="184" a="1"/>
  <c r="S81" i="184"/>
  <c r="Q82" i="184"/>
  <c r="S82" i="184" s="1" a="1"/>
  <c r="S82" i="184" s="1"/>
  <c r="R82" i="184"/>
  <c r="Q83" i="184"/>
  <c r="R83" i="184"/>
  <c r="S83" i="184" a="1"/>
  <c r="S83" i="184"/>
  <c r="Q84" i="184"/>
  <c r="S84" i="184" s="1" a="1"/>
  <c r="S84" i="184" s="1"/>
  <c r="R84" i="184"/>
  <c r="Q85" i="184"/>
  <c r="R85" i="184"/>
  <c r="S85" i="184" a="1"/>
  <c r="S85" i="184"/>
  <c r="Q86" i="184"/>
  <c r="S86" i="184" s="1" a="1"/>
  <c r="S86" i="184" s="1"/>
  <c r="R86" i="184"/>
  <c r="Q87" i="184"/>
  <c r="R87" i="184"/>
  <c r="S87" i="184" a="1"/>
  <c r="S87" i="184"/>
  <c r="Q88" i="184"/>
  <c r="S88" i="184" s="1" a="1"/>
  <c r="S88" i="184" s="1"/>
  <c r="R88" i="184"/>
  <c r="Q89" i="184"/>
  <c r="R89" i="184"/>
  <c r="S89" i="184" a="1"/>
  <c r="S89" i="184"/>
  <c r="Q90" i="184"/>
  <c r="S90" i="184" s="1" a="1"/>
  <c r="S90" i="184" s="1"/>
  <c r="R90" i="184"/>
  <c r="Q91" i="184"/>
  <c r="R91" i="184"/>
  <c r="S91" i="184" a="1"/>
  <c r="S91" i="184"/>
  <c r="Q92" i="184"/>
  <c r="S92" i="184" s="1" a="1"/>
  <c r="S92" i="184" s="1"/>
  <c r="R92" i="184"/>
  <c r="Q93" i="184"/>
  <c r="R93" i="184"/>
  <c r="S93" i="184" a="1"/>
  <c r="S93" i="184"/>
  <c r="Q94" i="184"/>
  <c r="S94" i="184" s="1" a="1"/>
  <c r="S94" i="184" s="1"/>
  <c r="R94" i="184"/>
  <c r="Q95" i="184"/>
  <c r="R95" i="184"/>
  <c r="S95" i="184" a="1"/>
  <c r="S95" i="184"/>
  <c r="Q96" i="184"/>
  <c r="S96" i="184" s="1" a="1"/>
  <c r="S96" i="184" s="1"/>
  <c r="R96" i="184"/>
  <c r="Q97" i="184"/>
  <c r="R97" i="184"/>
  <c r="S97" i="184" a="1"/>
  <c r="S97" i="184"/>
  <c r="Q98" i="184"/>
  <c r="S98" i="184" s="1" a="1"/>
  <c r="S98" i="184" s="1"/>
  <c r="R98" i="184"/>
  <c r="Q99" i="184"/>
  <c r="R99" i="184"/>
  <c r="S99" i="184" a="1"/>
  <c r="S99" i="184"/>
  <c r="Q100" i="184"/>
  <c r="S100" i="184" s="1" a="1"/>
  <c r="S100" i="184" s="1"/>
  <c r="R100" i="184"/>
  <c r="Q101" i="184"/>
  <c r="R101" i="184"/>
  <c r="S101" i="184" a="1"/>
  <c r="S101" i="184"/>
  <c r="Q102" i="184"/>
  <c r="S102" i="184" s="1" a="1"/>
  <c r="S102" i="184" s="1"/>
  <c r="R102" i="184"/>
  <c r="Q103" i="184"/>
  <c r="R103" i="184"/>
  <c r="S103" i="184" a="1"/>
  <c r="S103" i="184"/>
  <c r="Q104" i="184"/>
  <c r="S104" i="184" s="1" a="1"/>
  <c r="S104" i="184" s="1"/>
  <c r="R104" i="184"/>
  <c r="Q105" i="184"/>
  <c r="R105" i="184"/>
  <c r="S105" i="184" a="1"/>
  <c r="S105" i="184"/>
  <c r="Q106" i="184"/>
  <c r="S106" i="184" s="1" a="1"/>
  <c r="S106" i="184" s="1"/>
  <c r="R106" i="184"/>
  <c r="Q107" i="184"/>
  <c r="R107" i="184"/>
  <c r="S107" i="184" a="1"/>
  <c r="S107" i="184"/>
  <c r="Q108" i="184"/>
  <c r="S108" i="184" s="1" a="1"/>
  <c r="S108" i="184" s="1"/>
  <c r="R108" i="184"/>
  <c r="Q109" i="184"/>
  <c r="R109" i="184"/>
  <c r="S109" i="184" a="1"/>
  <c r="S109" i="184"/>
  <c r="Q110" i="184"/>
  <c r="S110" i="184" s="1" a="1"/>
  <c r="S110" i="184" s="1"/>
  <c r="R110" i="184"/>
  <c r="Q111" i="184"/>
  <c r="R111" i="184"/>
  <c r="S111" i="184" a="1"/>
  <c r="S111" i="184"/>
  <c r="Q112" i="184"/>
  <c r="S112" i="184" s="1" a="1"/>
  <c r="S112" i="184" s="1"/>
  <c r="R112" i="184"/>
  <c r="Q113" i="184"/>
  <c r="R113" i="184"/>
  <c r="S113" i="184" a="1"/>
  <c r="S113" i="184"/>
  <c r="Q114" i="184"/>
  <c r="S114" i="184" s="1" a="1"/>
  <c r="S114" i="184" s="1"/>
  <c r="R114" i="184"/>
  <c r="Q115" i="184"/>
  <c r="R115" i="184"/>
  <c r="S115" i="184" a="1"/>
  <c r="S115" i="184"/>
  <c r="Q116" i="184"/>
  <c r="S116" i="184" s="1" a="1"/>
  <c r="S116" i="184" s="1"/>
  <c r="R116" i="184"/>
  <c r="Q117" i="184"/>
  <c r="R117" i="184"/>
  <c r="S117" i="184" a="1"/>
  <c r="S117" i="184"/>
  <c r="Q118" i="184"/>
  <c r="S118" i="184" s="1" a="1"/>
  <c r="S118" i="184" s="1"/>
  <c r="R118" i="184"/>
  <c r="Q119" i="184"/>
  <c r="R119" i="184"/>
  <c r="S119" i="184" a="1"/>
  <c r="S119" i="184"/>
  <c r="Q120" i="184"/>
  <c r="S120" i="184" s="1" a="1"/>
  <c r="S120" i="184" s="1"/>
  <c r="R120" i="184"/>
  <c r="Q121" i="184"/>
  <c r="R121" i="184"/>
  <c r="S121" i="184" a="1"/>
  <c r="S121" i="184"/>
  <c r="Q122" i="184"/>
  <c r="S122" i="184" s="1" a="1"/>
  <c r="S122" i="184" s="1"/>
  <c r="R122" i="184"/>
  <c r="Q123" i="184"/>
  <c r="R123" i="184"/>
  <c r="S123" i="184" a="1"/>
  <c r="S123" i="184"/>
  <c r="Q124" i="184"/>
  <c r="S124" i="184" s="1" a="1"/>
  <c r="S124" i="184" s="1"/>
  <c r="R124" i="184"/>
  <c r="Q125" i="184"/>
  <c r="R125" i="184"/>
  <c r="S125" i="184" a="1"/>
  <c r="S125" i="184"/>
  <c r="Q126" i="184"/>
  <c r="S126" i="184" s="1" a="1"/>
  <c r="S126" i="184" s="1"/>
  <c r="R126" i="184"/>
  <c r="Q127" i="184"/>
  <c r="R127" i="184"/>
  <c r="S127" i="184" a="1"/>
  <c r="S127" i="184"/>
  <c r="Q128" i="184"/>
  <c r="S128" i="184" s="1" a="1"/>
  <c r="S128" i="184" s="1"/>
  <c r="R128" i="184"/>
  <c r="Q129" i="184"/>
  <c r="R129" i="184"/>
  <c r="S129" i="184" a="1"/>
  <c r="S129" i="184"/>
  <c r="Q130" i="184"/>
  <c r="S130" i="184" s="1" a="1"/>
  <c r="S130" i="184" s="1"/>
  <c r="R130" i="184"/>
  <c r="Q131" i="184"/>
  <c r="R131" i="184"/>
  <c r="S131" i="184" a="1"/>
  <c r="S131" i="184"/>
  <c r="Q132" i="184"/>
  <c r="S132" i="184" s="1" a="1"/>
  <c r="S132" i="184" s="1"/>
  <c r="R132" i="184"/>
  <c r="Q133" i="184"/>
  <c r="R133" i="184"/>
  <c r="S133" i="184" a="1"/>
  <c r="S133" i="184"/>
  <c r="Q134" i="184"/>
  <c r="S134" i="184" s="1" a="1"/>
  <c r="S134" i="184" s="1"/>
  <c r="R134" i="184"/>
  <c r="Q135" i="184"/>
  <c r="R135" i="184"/>
  <c r="S135" i="184" a="1"/>
  <c r="S135" i="184"/>
  <c r="Q136" i="184"/>
  <c r="S136" i="184" s="1" a="1"/>
  <c r="S136" i="184" s="1"/>
  <c r="R136" i="184"/>
  <c r="Q137" i="184"/>
  <c r="R137" i="184"/>
  <c r="S137" i="184" a="1"/>
  <c r="S137" i="184"/>
  <c r="Q138" i="184"/>
  <c r="S138" i="184" s="1" a="1"/>
  <c r="S138" i="184" s="1"/>
  <c r="R138" i="184"/>
  <c r="Q139" i="184"/>
  <c r="R139" i="184"/>
  <c r="S139" i="184" a="1"/>
  <c r="S139" i="184"/>
  <c r="Q140" i="184"/>
  <c r="S140" i="184" s="1" a="1"/>
  <c r="S140" i="184" s="1"/>
  <c r="R140" i="184"/>
  <c r="Q141" i="184"/>
  <c r="R141" i="184"/>
  <c r="S141" i="184" a="1"/>
  <c r="S141" i="184"/>
  <c r="Q142" i="184"/>
  <c r="S142" i="184" s="1" a="1"/>
  <c r="S142" i="184" s="1"/>
  <c r="R142" i="184"/>
  <c r="Q143" i="184"/>
  <c r="R143" i="184"/>
  <c r="S143" i="184" a="1"/>
  <c r="S143" i="184"/>
  <c r="Q144" i="184"/>
  <c r="S144" i="184" s="1" a="1"/>
  <c r="S144" i="184" s="1"/>
  <c r="R144" i="184"/>
  <c r="Q145" i="184"/>
  <c r="R145" i="184"/>
  <c r="S145" i="184" a="1"/>
  <c r="S145" i="184"/>
  <c r="Q146" i="184"/>
  <c r="S146" i="184" s="1" a="1"/>
  <c r="S146" i="184" s="1"/>
  <c r="R146" i="184"/>
  <c r="Q147" i="184"/>
  <c r="R147" i="184"/>
  <c r="S147" i="184" a="1"/>
  <c r="S147" i="184"/>
  <c r="Q148" i="184"/>
  <c r="S148" i="184" s="1" a="1"/>
  <c r="S148" i="184" s="1"/>
  <c r="R148" i="184"/>
  <c r="Q149" i="184"/>
  <c r="R149" i="184"/>
  <c r="S149" i="184" a="1"/>
  <c r="S149" i="184"/>
  <c r="Q150" i="184"/>
  <c r="S150" i="184" s="1" a="1"/>
  <c r="S150" i="184" s="1"/>
  <c r="R150" i="184"/>
  <c r="Q151" i="184"/>
  <c r="R151" i="184"/>
  <c r="S151" i="184" a="1"/>
  <c r="S151" i="184"/>
  <c r="Q152" i="184"/>
  <c r="S152" i="184" s="1" a="1"/>
  <c r="S152" i="184" s="1"/>
  <c r="R152" i="184"/>
  <c r="Q153" i="184"/>
  <c r="R153" i="184"/>
  <c r="S153" i="184" a="1"/>
  <c r="S153" i="184"/>
  <c r="Q154" i="184"/>
  <c r="S154" i="184" s="1" a="1"/>
  <c r="S154" i="184" s="1"/>
  <c r="R154" i="184"/>
  <c r="Q155" i="184"/>
  <c r="R155" i="184"/>
  <c r="S155" i="184" a="1"/>
  <c r="S155" i="184"/>
  <c r="Q156" i="184"/>
  <c r="S156" i="184" s="1" a="1"/>
  <c r="S156" i="184" s="1"/>
  <c r="R156" i="184"/>
  <c r="Q157" i="184"/>
  <c r="R157" i="184"/>
  <c r="S157" i="184" a="1"/>
  <c r="S157" i="184"/>
  <c r="Q158" i="184"/>
  <c r="S158" i="184" s="1" a="1"/>
  <c r="S158" i="184" s="1"/>
  <c r="R158" i="184"/>
  <c r="Q159" i="184"/>
  <c r="R159" i="184"/>
  <c r="S159" i="184" a="1"/>
  <c r="S159" i="184"/>
  <c r="Q160" i="184"/>
  <c r="S160" i="184" s="1" a="1"/>
  <c r="S160" i="184" s="1"/>
  <c r="R160" i="184"/>
  <c r="Q161" i="184"/>
  <c r="R161" i="184"/>
  <c r="S161" i="184" a="1"/>
  <c r="S161" i="184"/>
  <c r="B16" i="184"/>
  <c r="C16" i="184"/>
  <c r="B17" i="184"/>
  <c r="C17" i="184"/>
  <c r="B18" i="184"/>
  <c r="C18" i="184"/>
  <c r="J18" i="184" s="1"/>
  <c r="B19" i="184"/>
  <c r="C19" i="184"/>
  <c r="B20" i="184"/>
  <c r="C20" i="184"/>
  <c r="B21" i="184"/>
  <c r="C21" i="184"/>
  <c r="B22" i="184"/>
  <c r="C22" i="184"/>
  <c r="J22" i="184" s="1"/>
  <c r="B23" i="184"/>
  <c r="C23" i="184"/>
  <c r="B24" i="184"/>
  <c r="C24" i="184"/>
  <c r="B25" i="184"/>
  <c r="C25" i="184"/>
  <c r="B26" i="184"/>
  <c r="C26" i="184"/>
  <c r="J26" i="184" s="1"/>
  <c r="B27" i="184"/>
  <c r="C27" i="184"/>
  <c r="B28" i="184"/>
  <c r="C28" i="184"/>
  <c r="B29" i="184"/>
  <c r="C29" i="184"/>
  <c r="B30" i="184"/>
  <c r="C30" i="184"/>
  <c r="J30" i="184" s="1"/>
  <c r="B31" i="184"/>
  <c r="C31" i="184"/>
  <c r="B32" i="184"/>
  <c r="C32" i="184"/>
  <c r="B33" i="184"/>
  <c r="C33" i="184"/>
  <c r="B34" i="184"/>
  <c r="C34" i="184"/>
  <c r="J34" i="184" s="1"/>
  <c r="B35" i="184"/>
  <c r="C35" i="184"/>
  <c r="Q120" i="180"/>
  <c r="R120" i="180"/>
  <c r="Q121" i="180"/>
  <c r="R121" i="180"/>
  <c r="S121" i="180" s="1" a="1"/>
  <c r="S121" i="180" s="1"/>
  <c r="B125" i="181" s="1"/>
  <c r="Q105" i="180"/>
  <c r="S105" i="180" s="1" a="1"/>
  <c r="S105" i="180" s="1"/>
  <c r="B109" i="181" s="1"/>
  <c r="R105" i="180"/>
  <c r="Q106" i="180"/>
  <c r="R106" i="180"/>
  <c r="S106" i="180" a="1"/>
  <c r="S106" i="180" s="1"/>
  <c r="B110" i="181" s="1"/>
  <c r="Q107" i="180"/>
  <c r="R107" i="180"/>
  <c r="Q108" i="180"/>
  <c r="R108" i="180"/>
  <c r="S108" i="180" a="1"/>
  <c r="S108" i="180" s="1"/>
  <c r="B112" i="181" s="1"/>
  <c r="Q109" i="180"/>
  <c r="R109" i="180"/>
  <c r="Q110" i="180"/>
  <c r="R110" i="180"/>
  <c r="Q111" i="180"/>
  <c r="S111" i="180" s="1" a="1"/>
  <c r="S111" i="180" s="1"/>
  <c r="B115" i="181" s="1"/>
  <c r="R111" i="180"/>
  <c r="Q112" i="180"/>
  <c r="R112" i="180"/>
  <c r="S112" i="180" a="1"/>
  <c r="S112" i="180" s="1"/>
  <c r="B116" i="181" s="1"/>
  <c r="Q113" i="180"/>
  <c r="R113" i="180"/>
  <c r="Q114" i="180"/>
  <c r="R114" i="180"/>
  <c r="S114" i="180" a="1"/>
  <c r="S114" i="180" s="1"/>
  <c r="B118" i="181" s="1"/>
  <c r="Q115" i="180"/>
  <c r="R115" i="180"/>
  <c r="Q116" i="180"/>
  <c r="R116" i="180"/>
  <c r="Q117" i="180"/>
  <c r="S117" i="180" s="1" a="1"/>
  <c r="S117" i="180" s="1"/>
  <c r="B121" i="181" s="1"/>
  <c r="R117" i="180"/>
  <c r="Q118" i="180"/>
  <c r="R118" i="180"/>
  <c r="S118" i="180" a="1"/>
  <c r="S118" i="180"/>
  <c r="B122" i="181" s="1"/>
  <c r="Q119" i="180"/>
  <c r="R119" i="180"/>
  <c r="Q85" i="180"/>
  <c r="S85" i="180" s="1" a="1"/>
  <c r="S85" i="180" s="1"/>
  <c r="B89" i="181" s="1"/>
  <c r="R85" i="180"/>
  <c r="Q86" i="180"/>
  <c r="S86" i="180" s="1" a="1"/>
  <c r="S86" i="180" s="1"/>
  <c r="B90" i="181" s="1"/>
  <c r="R86" i="180"/>
  <c r="Q87" i="180"/>
  <c r="S87" i="180" s="1" a="1"/>
  <c r="S87" i="180" s="1"/>
  <c r="B91" i="181" s="1"/>
  <c r="R87" i="180"/>
  <c r="Q88" i="180"/>
  <c r="S88" i="180" s="1" a="1"/>
  <c r="S88" i="180" s="1"/>
  <c r="B92" i="181" s="1"/>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S93" i="180" s="1" a="1"/>
  <c r="S93" i="180" s="1"/>
  <c r="B97" i="181" s="1"/>
  <c r="R93" i="180"/>
  <c r="Q94" i="180"/>
  <c r="R94" i="180"/>
  <c r="Q95" i="180"/>
  <c r="S95" i="180" s="1" a="1"/>
  <c r="S95" i="180" s="1"/>
  <c r="B99" i="181" s="1"/>
  <c r="R95" i="180"/>
  <c r="Q96" i="180"/>
  <c r="R96" i="180"/>
  <c r="Q97" i="180"/>
  <c r="S97" i="180" s="1" a="1"/>
  <c r="S97" i="180" s="1"/>
  <c r="B101" i="181" s="1"/>
  <c r="R97" i="180"/>
  <c r="Q98" i="180"/>
  <c r="R98" i="180"/>
  <c r="Q99" i="180"/>
  <c r="S99" i="180" s="1" a="1"/>
  <c r="S99" i="180" s="1"/>
  <c r="B103" i="181" s="1"/>
  <c r="R99" i="180"/>
  <c r="Q100" i="180"/>
  <c r="S100" i="180" s="1" a="1"/>
  <c r="S100" i="180" s="1"/>
  <c r="B104" i="181" s="1"/>
  <c r="R100" i="180"/>
  <c r="Q101" i="180"/>
  <c r="S101" i="180" s="1" a="1"/>
  <c r="S101" i="180" s="1"/>
  <c r="B105" i="181" s="1"/>
  <c r="R101" i="180"/>
  <c r="Q102" i="180"/>
  <c r="S102" i="180" s="1" a="1"/>
  <c r="S102" i="180" s="1"/>
  <c r="B106" i="181" s="1"/>
  <c r="R102" i="180"/>
  <c r="Q103" i="180"/>
  <c r="S103" i="180" s="1" a="1"/>
  <c r="S103" i="180" s="1"/>
  <c r="B107" i="181" s="1"/>
  <c r="R103" i="180"/>
  <c r="Q104" i="180"/>
  <c r="R104" i="180"/>
  <c r="Q60" i="180"/>
  <c r="S60" i="180" s="1" a="1"/>
  <c r="S60" i="180" s="1"/>
  <c r="B64" i="181" s="1"/>
  <c r="R60" i="180"/>
  <c r="Q61" i="180"/>
  <c r="R61" i="180"/>
  <c r="S61" i="180" s="1" a="1"/>
  <c r="S61" i="180" s="1"/>
  <c r="B65" i="181" s="1"/>
  <c r="Q62" i="180"/>
  <c r="S62" i="180" s="1" a="1"/>
  <c r="S62" i="180" s="1"/>
  <c r="B66" i="181" s="1"/>
  <c r="R62" i="180"/>
  <c r="Q63" i="180"/>
  <c r="R63" i="180"/>
  <c r="S63" i="180" s="1" a="1"/>
  <c r="S63" i="180" s="1"/>
  <c r="B67" i="181" s="1"/>
  <c r="Q64" i="180"/>
  <c r="S64" i="180" s="1" a="1"/>
  <c r="S64" i="180" s="1"/>
  <c r="B68" i="181" s="1"/>
  <c r="R64" i="180"/>
  <c r="Q65" i="180"/>
  <c r="R65" i="180"/>
  <c r="S65" i="180" s="1" a="1"/>
  <c r="S65" i="180" s="1"/>
  <c r="B69" i="181" s="1"/>
  <c r="Q66" i="180"/>
  <c r="S66" i="180" s="1" a="1"/>
  <c r="S66" i="180" s="1"/>
  <c r="B70" i="181" s="1"/>
  <c r="R66" i="180"/>
  <c r="Q67" i="180"/>
  <c r="R67" i="180"/>
  <c r="S67" i="180" s="1" a="1"/>
  <c r="S67" i="180" s="1"/>
  <c r="B71" i="181" s="1"/>
  <c r="Q68" i="180"/>
  <c r="S68" i="180" s="1" a="1"/>
  <c r="S68" i="180" s="1"/>
  <c r="B72" i="181" s="1"/>
  <c r="R68" i="180"/>
  <c r="Q69" i="180"/>
  <c r="R69" i="180"/>
  <c r="S69" i="180" s="1" a="1"/>
  <c r="S69" i="180" s="1"/>
  <c r="B73" i="181" s="1"/>
  <c r="Q70" i="180"/>
  <c r="S70" i="180" s="1" a="1"/>
  <c r="S70" i="180" s="1"/>
  <c r="B74" i="181" s="1"/>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S75" i="180" s="1" a="1"/>
  <c r="S75" i="180" s="1"/>
  <c r="B79" i="181" s="1"/>
  <c r="Q76" i="180"/>
  <c r="S76" i="180" s="1" a="1"/>
  <c r="S76" i="180" s="1"/>
  <c r="B80" i="181" s="1"/>
  <c r="R76" i="180"/>
  <c r="Q77" i="180"/>
  <c r="R77" i="180"/>
  <c r="S77" i="180" s="1" a="1"/>
  <c r="S77" i="180" s="1"/>
  <c r="B81" i="181" s="1"/>
  <c r="Q78" i="180"/>
  <c r="S78" i="180" s="1" a="1"/>
  <c r="S78" i="180" s="1"/>
  <c r="B82" i="181" s="1"/>
  <c r="R78" i="180"/>
  <c r="Q79" i="180"/>
  <c r="R79" i="180"/>
  <c r="S79" i="180" s="1" a="1"/>
  <c r="S79" i="180" s="1"/>
  <c r="B83" i="181" s="1"/>
  <c r="Q80" i="180"/>
  <c r="S80" i="180" s="1" a="1"/>
  <c r="S80" i="180" s="1"/>
  <c r="B84" i="181" s="1"/>
  <c r="R80" i="180"/>
  <c r="Q81" i="180"/>
  <c r="R81" i="180"/>
  <c r="S81" i="180" s="1" a="1"/>
  <c r="S81" i="180" s="1"/>
  <c r="B85" i="181" s="1"/>
  <c r="Q82" i="180"/>
  <c r="S82" i="180" s="1" a="1"/>
  <c r="S82" i="180" s="1"/>
  <c r="B86" i="181" s="1"/>
  <c r="R82" i="180"/>
  <c r="Q83" i="180"/>
  <c r="R83" i="180"/>
  <c r="S83" i="180" s="1" a="1"/>
  <c r="S83" i="180" s="1"/>
  <c r="B87" i="181" s="1"/>
  <c r="Q84" i="180"/>
  <c r="S84" i="180" s="1" a="1"/>
  <c r="S84" i="180" s="1"/>
  <c r="B88" i="181" s="1"/>
  <c r="R84" i="180"/>
  <c r="Q38" i="180"/>
  <c r="S38" i="180" s="1" a="1"/>
  <c r="S38" i="180" s="1"/>
  <c r="B42" i="181" s="1"/>
  <c r="R38" i="180"/>
  <c r="Q39" i="180"/>
  <c r="S39" i="180" s="1" a="1"/>
  <c r="S39" i="180" s="1"/>
  <c r="B43" i="181" s="1"/>
  <c r="R39" i="180"/>
  <c r="Q40" i="180"/>
  <c r="S40" i="180" s="1" a="1"/>
  <c r="S40" i="180" s="1"/>
  <c r="B44" i="181" s="1"/>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S45" i="180" s="1" a="1"/>
  <c r="S45" i="180" s="1"/>
  <c r="B49" i="181" s="1"/>
  <c r="R45" i="180"/>
  <c r="Q46" i="180"/>
  <c r="S46" i="180" s="1" a="1"/>
  <c r="S46" i="180" s="1"/>
  <c r="B50" i="181" s="1"/>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S51" i="180" s="1" a="1"/>
  <c r="S51" i="180" s="1"/>
  <c r="B55" i="181" s="1"/>
  <c r="R51" i="180"/>
  <c r="Q52" i="180"/>
  <c r="S52" i="180" s="1" a="1"/>
  <c r="S52" i="180" s="1"/>
  <c r="B56" i="181" s="1"/>
  <c r="R52" i="180"/>
  <c r="Q53" i="180"/>
  <c r="S53" i="180" s="1" a="1"/>
  <c r="S53" i="180" s="1"/>
  <c r="B57" i="181" s="1"/>
  <c r="R53" i="180"/>
  <c r="Q54" i="180"/>
  <c r="S54" i="180" s="1" a="1"/>
  <c r="S54" i="180" s="1"/>
  <c r="B58" i="181" s="1"/>
  <c r="R54" i="180"/>
  <c r="Q55" i="180"/>
  <c r="S55" i="180" s="1" a="1"/>
  <c r="S55" i="180" s="1"/>
  <c r="B59" i="181" s="1"/>
  <c r="R55" i="180"/>
  <c r="Q56" i="180"/>
  <c r="S56" i="180" s="1" a="1"/>
  <c r="S56" i="180" s="1"/>
  <c r="B60" i="181" s="1"/>
  <c r="R56" i="180"/>
  <c r="Q57" i="180"/>
  <c r="S57" i="180" s="1" a="1"/>
  <c r="S57" i="180" s="1"/>
  <c r="B61" i="181" s="1"/>
  <c r="R57" i="180"/>
  <c r="Q58" i="180"/>
  <c r="S58" i="180" s="1" a="1"/>
  <c r="S58" i="180" s="1"/>
  <c r="B62" i="181" s="1"/>
  <c r="R58" i="180"/>
  <c r="Q59" i="180"/>
  <c r="S59" i="180" s="1" a="1"/>
  <c r="S59" i="180" s="1"/>
  <c r="B63" i="181" s="1"/>
  <c r="R59"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B25" i="181" s="1"/>
  <c r="R21" i="180"/>
  <c r="Q22" i="180"/>
  <c r="S22" i="180" s="1" a="1"/>
  <c r="S22" i="180" s="1"/>
  <c r="B26" i="181"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S27" i="180" s="1" a="1"/>
  <c r="S27" i="180" s="1"/>
  <c r="B31" i="181" s="1"/>
  <c r="R27" i="180"/>
  <c r="Q28" i="180"/>
  <c r="S28" i="180" s="1" a="1"/>
  <c r="S28" i="180" s="1"/>
  <c r="B32" i="181" s="1"/>
  <c r="R28" i="180"/>
  <c r="Q29" i="180"/>
  <c r="S29" i="180" s="1" a="1"/>
  <c r="S29" i="180" s="1"/>
  <c r="B33" i="181" s="1"/>
  <c r="R29" i="180"/>
  <c r="Q30" i="180"/>
  <c r="S30" i="180" s="1" a="1"/>
  <c r="S30" i="180" s="1"/>
  <c r="B34" i="181" s="1"/>
  <c r="R30" i="180"/>
  <c r="Q31" i="180"/>
  <c r="S31" i="180" s="1" a="1"/>
  <c r="S31" i="180" s="1"/>
  <c r="B35" i="181" s="1"/>
  <c r="R31" i="180"/>
  <c r="Q32" i="180"/>
  <c r="S32" i="180" s="1" a="1"/>
  <c r="S32" i="180" s="1"/>
  <c r="B36" i="181" s="1"/>
  <c r="R32" i="180"/>
  <c r="Q33" i="180"/>
  <c r="S33" i="180" s="1" a="1"/>
  <c r="S33" i="180" s="1"/>
  <c r="B37" i="181" s="1"/>
  <c r="R33" i="180"/>
  <c r="Q34" i="180"/>
  <c r="S34" i="180" s="1" a="1"/>
  <c r="S34" i="180" s="1"/>
  <c r="B38" i="181" s="1"/>
  <c r="R34" i="180"/>
  <c r="Q35" i="180"/>
  <c r="S35" i="180" s="1" a="1"/>
  <c r="S35" i="180" s="1"/>
  <c r="B39" i="181" s="1"/>
  <c r="R35" i="180"/>
  <c r="Q36" i="180"/>
  <c r="S36" i="180" s="1" a="1"/>
  <c r="S36" i="180" s="1"/>
  <c r="B40" i="181" s="1"/>
  <c r="R36" i="180"/>
  <c r="Q37" i="180"/>
  <c r="S37" i="180" s="1" a="1"/>
  <c r="S37" i="180" s="1"/>
  <c r="B41" i="181" s="1"/>
  <c r="R37"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K28" i="180"/>
  <c r="L28" i="180"/>
  <c r="M28" i="180"/>
  <c r="N28" i="180"/>
  <c r="I29" i="180"/>
  <c r="J29" i="180"/>
  <c r="K29" i="180"/>
  <c r="L29" i="180"/>
  <c r="M29" i="180"/>
  <c r="N29" i="180"/>
  <c r="I30" i="180"/>
  <c r="J30" i="180"/>
  <c r="K30" i="180"/>
  <c r="L30" i="180"/>
  <c r="M30" i="180"/>
  <c r="N30" i="180"/>
  <c r="S110" i="180" s="1" a="1"/>
  <c r="S110" i="180" s="1"/>
  <c r="B114" i="181" s="1"/>
  <c r="I31" i="180"/>
  <c r="J31" i="180"/>
  <c r="K31" i="180"/>
  <c r="L31" i="180"/>
  <c r="M31" i="180"/>
  <c r="N31" i="180"/>
  <c r="S116" i="180" s="1" a="1"/>
  <c r="S116" i="180" s="1"/>
  <c r="B120" i="181" s="1"/>
  <c r="I32" i="180"/>
  <c r="J32" i="180"/>
  <c r="K32" i="180"/>
  <c r="L32" i="180"/>
  <c r="M32" i="180"/>
  <c r="N32" i="180"/>
  <c r="N33" i="180"/>
  <c r="N34" i="180"/>
  <c r="N35" i="180"/>
  <c r="N36" i="180"/>
  <c r="N37" i="180"/>
  <c r="N38" i="180"/>
  <c r="N39" i="180"/>
  <c r="N40" i="180"/>
  <c r="N41" i="180"/>
  <c r="N42" i="180"/>
  <c r="B29" i="180"/>
  <c r="C29" i="180"/>
  <c r="B30" i="180"/>
  <c r="C30" i="180"/>
  <c r="B31" i="180"/>
  <c r="C31" i="180"/>
  <c r="B32" i="180"/>
  <c r="C32" i="180"/>
  <c r="B26" i="180"/>
  <c r="C26" i="180"/>
  <c r="B27" i="180"/>
  <c r="C27" i="180"/>
  <c r="B28" i="180"/>
  <c r="C28" i="180"/>
  <c r="J28" i="180" s="1"/>
  <c r="B16" i="180"/>
  <c r="C16" i="180"/>
  <c r="J16" i="180" s="1"/>
  <c r="B17" i="180"/>
  <c r="C17" i="180"/>
  <c r="B18" i="180"/>
  <c r="C18" i="180"/>
  <c r="J18" i="180" s="1"/>
  <c r="B19" i="180"/>
  <c r="C19" i="180"/>
  <c r="J19" i="180" s="1"/>
  <c r="B20" i="180"/>
  <c r="C20" i="180"/>
  <c r="J20" i="180" s="1"/>
  <c r="B21" i="180"/>
  <c r="C21" i="180"/>
  <c r="B22" i="180"/>
  <c r="C22" i="180"/>
  <c r="J22" i="180" s="1"/>
  <c r="B23" i="180"/>
  <c r="C23" i="180"/>
  <c r="B24" i="180"/>
  <c r="C24" i="180"/>
  <c r="B25" i="180"/>
  <c r="C25" i="180"/>
  <c r="C64" i="171"/>
  <c r="C65" i="171"/>
  <c r="C66" i="171"/>
  <c r="C67" i="171"/>
  <c r="C68" i="171"/>
  <c r="C69" i="171"/>
  <c r="C70" i="171"/>
  <c r="C73" i="171"/>
  <c r="C74" i="171"/>
  <c r="C75" i="171"/>
  <c r="C76" i="171"/>
  <c r="C77" i="171"/>
  <c r="C78" i="171"/>
  <c r="C79" i="171"/>
  <c r="C80" i="171"/>
  <c r="C81" i="171"/>
  <c r="C82" i="171"/>
  <c r="C83" i="171"/>
  <c r="C84" i="171"/>
  <c r="C85" i="171"/>
  <c r="C86" i="171"/>
  <c r="C87" i="171"/>
  <c r="C88" i="171"/>
  <c r="C89" i="171"/>
  <c r="C90" i="171"/>
  <c r="C91" i="171"/>
  <c r="C93" i="171"/>
  <c r="C94" i="171"/>
  <c r="C95" i="171"/>
  <c r="C111" i="171"/>
  <c r="C112" i="171"/>
  <c r="C113" i="171"/>
  <c r="L56" i="169"/>
  <c r="L57" i="169"/>
  <c r="L58" i="169"/>
  <c r="L59" i="169"/>
  <c r="J56" i="169"/>
  <c r="J57" i="169"/>
  <c r="J58" i="169"/>
  <c r="J59" i="169"/>
  <c r="L9" i="169"/>
  <c r="L10" i="169"/>
  <c r="L11" i="169"/>
  <c r="L12" i="169"/>
  <c r="L13" i="169"/>
  <c r="L14" i="169"/>
  <c r="L15" i="169"/>
  <c r="L18" i="169"/>
  <c r="L19" i="169"/>
  <c r="L20" i="169"/>
  <c r="L21" i="169"/>
  <c r="L22" i="169"/>
  <c r="L23" i="169"/>
  <c r="L24" i="169"/>
  <c r="L25" i="169"/>
  <c r="L26" i="169"/>
  <c r="L27" i="169"/>
  <c r="L28" i="169"/>
  <c r="L29" i="169"/>
  <c r="L30" i="169"/>
  <c r="L31" i="169"/>
  <c r="L32" i="169"/>
  <c r="L33" i="169"/>
  <c r="L34" i="169"/>
  <c r="L35" i="169"/>
  <c r="L36" i="169"/>
  <c r="L38" i="169"/>
  <c r="L39" i="169"/>
  <c r="L40" i="169"/>
  <c r="L48" i="169"/>
  <c r="C103" i="171" s="1"/>
  <c r="L49" i="169"/>
  <c r="C104" i="171" s="1"/>
  <c r="L50" i="169"/>
  <c r="C105" i="171" s="1"/>
  <c r="J16" i="169"/>
  <c r="C16" i="171" s="1"/>
  <c r="J17" i="169"/>
  <c r="C17" i="171" s="1"/>
  <c r="J18" i="169"/>
  <c r="J19" i="169"/>
  <c r="J20" i="169"/>
  <c r="J21" i="169"/>
  <c r="J22" i="169"/>
  <c r="J23" i="169"/>
  <c r="J24" i="169"/>
  <c r="J25" i="169"/>
  <c r="J26" i="169"/>
  <c r="J27" i="169"/>
  <c r="J28" i="169"/>
  <c r="J29" i="169"/>
  <c r="J30" i="169"/>
  <c r="J31" i="169"/>
  <c r="J32" i="169"/>
  <c r="J33" i="169"/>
  <c r="J34" i="169"/>
  <c r="J35" i="169"/>
  <c r="J36" i="169"/>
  <c r="J37" i="169"/>
  <c r="L37" i="169" s="1"/>
  <c r="C92" i="171" s="1"/>
  <c r="J38" i="169"/>
  <c r="J39" i="169"/>
  <c r="J40" i="169"/>
  <c r="J41" i="169"/>
  <c r="L41" i="169" s="1"/>
  <c r="C96" i="171" s="1"/>
  <c r="J42" i="169"/>
  <c r="C42" i="171" s="1"/>
  <c r="J43" i="169"/>
  <c r="L43" i="169" s="1"/>
  <c r="C98" i="171" s="1"/>
  <c r="J44" i="169"/>
  <c r="L44" i="169" s="1"/>
  <c r="C99" i="171" s="1"/>
  <c r="J45" i="169"/>
  <c r="L45" i="169" s="1"/>
  <c r="C100" i="171" s="1"/>
  <c r="J46" i="169"/>
  <c r="L46" i="169" s="1"/>
  <c r="C101" i="171" s="1"/>
  <c r="J47" i="169"/>
  <c r="L47" i="169" s="1"/>
  <c r="C102" i="171" s="1"/>
  <c r="J48" i="169"/>
  <c r="J49" i="169"/>
  <c r="C49" i="171" s="1"/>
  <c r="J50" i="169"/>
  <c r="C50" i="171" s="1"/>
  <c r="J51" i="169"/>
  <c r="L51" i="169" s="1"/>
  <c r="C106" i="171" s="1"/>
  <c r="J52" i="169"/>
  <c r="C52" i="171" s="1"/>
  <c r="J53" i="169"/>
  <c r="L53" i="169" s="1"/>
  <c r="C108" i="171" s="1"/>
  <c r="J54" i="169"/>
  <c r="L54" i="169" s="1"/>
  <c r="C109" i="171" s="1"/>
  <c r="J55" i="169"/>
  <c r="C55" i="171" s="1"/>
  <c r="J9" i="169"/>
  <c r="J10" i="169"/>
  <c r="J11" i="169"/>
  <c r="J12" i="169"/>
  <c r="J13" i="169"/>
  <c r="J14" i="169"/>
  <c r="J15" i="169"/>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Q25" i="185"/>
  <c r="R25" i="185"/>
  <c r="Q26" i="185"/>
  <c r="R26" i="185"/>
  <c r="B365" i="181"/>
  <c r="Q27" i="185"/>
  <c r="R27" i="185"/>
  <c r="Q28" i="185"/>
  <c r="R28" i="185"/>
  <c r="Q29" i="185"/>
  <c r="B368" i="181" s="1"/>
  <c r="R29" i="185"/>
  <c r="Q30" i="185"/>
  <c r="R30" i="185"/>
  <c r="B369" i="181"/>
  <c r="Q31" i="185"/>
  <c r="R31" i="185"/>
  <c r="Q32" i="185"/>
  <c r="R32" i="185"/>
  <c r="Q33" i="185"/>
  <c r="R33" i="185"/>
  <c r="Q34" i="185"/>
  <c r="R34" i="185"/>
  <c r="Q35" i="185"/>
  <c r="R35" i="185"/>
  <c r="Q36" i="185"/>
  <c r="R36" i="185"/>
  <c r="R22" i="185"/>
  <c r="Q22" i="185"/>
  <c r="C22" i="185"/>
  <c r="C15" i="185"/>
  <c r="J15" i="185" s="1"/>
  <c r="B15" i="185"/>
  <c r="B22" i="185"/>
  <c r="N22" i="185"/>
  <c r="M22" i="185"/>
  <c r="L22" i="185"/>
  <c r="K22" i="185"/>
  <c r="J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E3" i="185"/>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7" i="184"/>
  <c r="J28" i="184"/>
  <c r="J16" i="184"/>
  <c r="J17" i="184"/>
  <c r="J19" i="184"/>
  <c r="J20" i="184"/>
  <c r="J21" i="184"/>
  <c r="J23" i="184"/>
  <c r="C15" i="184"/>
  <c r="B15" i="184"/>
  <c r="B207" i="181"/>
  <c r="R15" i="184"/>
  <c r="Q15" i="184"/>
  <c r="N15" i="184"/>
  <c r="M15" i="184"/>
  <c r="L15" i="184"/>
  <c r="K15" i="184"/>
  <c r="J15" i="184"/>
  <c r="B14" i="184"/>
  <c r="I21" i="184" s="1"/>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82" i="181" s="1"/>
  <c r="B137"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J21" i="180"/>
  <c r="J17" i="180"/>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J16" i="178"/>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I18" i="178" s="1"/>
  <c r="B17" i="179"/>
  <c r="E3" i="178"/>
  <c r="E6" i="178" s="1"/>
  <c r="B16" i="179" s="1"/>
  <c r="B15" i="179"/>
  <c r="B13" i="179"/>
  <c r="B12" i="179"/>
  <c r="B9" i="179"/>
  <c r="B8" i="179"/>
  <c r="B4" i="179"/>
  <c r="R15" i="178"/>
  <c r="Q15" i="178"/>
  <c r="N15" i="178"/>
  <c r="M15" i="178"/>
  <c r="L15" i="178"/>
  <c r="K15" i="178"/>
  <c r="C27" i="174" l="1"/>
  <c r="L44" i="172"/>
  <c r="C105" i="174" s="1"/>
  <c r="C43" i="174"/>
  <c r="C19" i="174"/>
  <c r="C61" i="174"/>
  <c r="L56" i="172"/>
  <c r="C117" i="174" s="1"/>
  <c r="L24" i="172"/>
  <c r="C85" i="174" s="1"/>
  <c r="C42" i="174"/>
  <c r="C34" i="174"/>
  <c r="C26" i="174"/>
  <c r="C18" i="174"/>
  <c r="C60" i="174"/>
  <c r="L36" i="172"/>
  <c r="C97" i="174" s="1"/>
  <c r="C41" i="174"/>
  <c r="C33" i="174"/>
  <c r="C25" i="174"/>
  <c r="C17" i="174"/>
  <c r="C59" i="174"/>
  <c r="C51" i="174"/>
  <c r="C40" i="174"/>
  <c r="C32" i="174"/>
  <c r="C58" i="174"/>
  <c r="C50" i="174"/>
  <c r="C39" i="174"/>
  <c r="C31" i="174"/>
  <c r="C23" i="174"/>
  <c r="C15" i="174"/>
  <c r="C57" i="174"/>
  <c r="C49" i="174"/>
  <c r="C11" i="174"/>
  <c r="C38" i="174"/>
  <c r="C30" i="174"/>
  <c r="C22" i="174"/>
  <c r="C14" i="174"/>
  <c r="L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4" i="180" a="1"/>
  <c r="S104" i="180" s="1"/>
  <c r="B108" i="181" s="1"/>
  <c r="S98" i="180" a="1"/>
  <c r="S98" i="180" s="1"/>
  <c r="B102" i="181" s="1"/>
  <c r="S119" i="180" a="1"/>
  <c r="S119" i="180" s="1"/>
  <c r="B123" i="181" s="1"/>
  <c r="S113" i="180" a="1"/>
  <c r="S113" i="180" s="1"/>
  <c r="B117" i="181" s="1"/>
  <c r="S107" i="180" a="1"/>
  <c r="S107" i="180" s="1"/>
  <c r="B111" i="181" s="1"/>
  <c r="S120" i="180" a="1"/>
  <c r="S120" i="180" s="1"/>
  <c r="B124" i="181" s="1"/>
  <c r="S115" i="180" a="1"/>
  <c r="S115" i="180" s="1"/>
  <c r="B119" i="181" s="1"/>
  <c r="S109" i="180" a="1"/>
  <c r="S109" i="180" s="1"/>
  <c r="B113" i="181" s="1"/>
  <c r="S96" i="180" a="1"/>
  <c r="S96"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L52" i="169"/>
  <c r="C107" i="171" s="1"/>
  <c r="L42" i="169"/>
  <c r="C97" i="171" s="1"/>
  <c r="C41" i="171"/>
  <c r="C54" i="171"/>
  <c r="L55" i="169"/>
  <c r="C110" i="171" s="1"/>
  <c r="S94" i="180" a="1"/>
  <c r="S94" i="180" s="1"/>
  <c r="B98" i="181" s="1"/>
  <c r="L17" i="169"/>
  <c r="C72" i="171" s="1"/>
  <c r="L16" i="169"/>
  <c r="C71" i="171" s="1"/>
  <c r="I16" i="182"/>
  <c r="I18" i="182"/>
  <c r="B362" i="181"/>
  <c r="S21" i="183" a="1"/>
  <c r="S21" i="183" s="1"/>
  <c r="I25" i="184"/>
  <c r="I33" i="184"/>
  <c r="I29" i="184"/>
  <c r="I17" i="180"/>
  <c r="I19" i="184"/>
  <c r="I20" i="180"/>
  <c r="I17" i="184"/>
  <c r="I19" i="180"/>
  <c r="I16" i="180"/>
  <c r="S45" i="182" a="1"/>
  <c r="S45" i="182" s="1"/>
  <c r="I17" i="182"/>
  <c r="S27" i="182" a="1"/>
  <c r="S27" i="182" s="1"/>
  <c r="I15" i="184"/>
  <c r="S15" i="184" s="1" a="1"/>
  <c r="S15" i="184" s="1"/>
  <c r="B210" i="181" s="1"/>
  <c r="I32" i="184"/>
  <c r="I28" i="184"/>
  <c r="I24" i="184"/>
  <c r="I20" i="184"/>
  <c r="I16" i="184"/>
  <c r="S16" i="183" a="1"/>
  <c r="S16" i="183" s="1"/>
  <c r="S33" i="182" a="1"/>
  <c r="S33" i="182" s="1"/>
  <c r="S21" i="182" a="1"/>
  <c r="S21" i="182" s="1"/>
  <c r="I21" i="180"/>
  <c r="I18" i="180"/>
  <c r="I34" i="184"/>
  <c r="I30" i="184"/>
  <c r="I26" i="184"/>
  <c r="I22" i="184"/>
  <c r="I18" i="184"/>
  <c r="S46" i="182" a="1"/>
  <c r="S46" i="182" s="1"/>
  <c r="I35" i="184"/>
  <c r="I31" i="184"/>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B361" i="181" s="1"/>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39" i="181" s="1"/>
  <c r="E6" i="180"/>
  <c r="B16" i="181" s="1"/>
  <c r="I15" i="180"/>
  <c r="S15" i="180" s="1" a="1"/>
  <c r="S15" i="180" s="1"/>
  <c r="B19" i="181" s="1"/>
  <c r="B21" i="179"/>
  <c r="B14" i="179"/>
  <c r="S143" i="178" l="1"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S32" i="201" a="1"/>
  <c r="S32" i="201" s="1"/>
  <c r="S26" i="201" a="1"/>
  <c r="S26" i="201" s="1"/>
  <c r="S20" i="201" a="1"/>
  <c r="S20" i="201"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E21" i="170" s="1"/>
  <c r="B22" i="170"/>
  <c r="E22" i="170" s="1"/>
  <c r="B23" i="170"/>
  <c r="E23" i="170" s="1"/>
  <c r="B24" i="170"/>
  <c r="E24" i="170" s="1"/>
  <c r="B25" i="170"/>
  <c r="E25" i="170" s="1"/>
  <c r="B26" i="170"/>
  <c r="E26" i="170" s="1"/>
  <c r="B27" i="170"/>
  <c r="E27" i="170" s="1"/>
  <c r="B28" i="170"/>
  <c r="E28" i="170" s="1"/>
  <c r="B29" i="170"/>
  <c r="E29" i="170" s="1"/>
  <c r="B30" i="170"/>
  <c r="E30" i="170" s="1"/>
  <c r="B31" i="170"/>
  <c r="E31" i="170" s="1"/>
  <c r="B32" i="170"/>
  <c r="E32" i="170" s="1"/>
  <c r="B33" i="170"/>
  <c r="E33" i="170" s="1"/>
  <c r="B34" i="170"/>
  <c r="E34" i="170" s="1"/>
  <c r="B35" i="170"/>
  <c r="E35" i="170" s="1"/>
  <c r="B36" i="170"/>
  <c r="E36" i="170" s="1"/>
  <c r="B37" i="170"/>
  <c r="E37" i="170" s="1"/>
  <c r="B38" i="170"/>
  <c r="E38" i="170" s="1"/>
  <c r="B39" i="170"/>
  <c r="E39" i="170" s="1"/>
  <c r="B40" i="170"/>
  <c r="E40" i="170" s="1"/>
  <c r="C2" i="171"/>
  <c r="C1" i="171"/>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L8" i="172" l="1"/>
  <c r="C69" i="174" s="1"/>
  <c r="L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<sst xmlns="http://schemas.openxmlformats.org/spreadsheetml/2006/main" count="7489" uniqueCount="2560">
  <si>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</si>
  <si>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</si>
  <si>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</si>
  <si>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</si>
  <si>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</si>
  <si>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</si>
  <si>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</si>
  <si>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</si>
  <si>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</si>
  <si>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</si>
  <si>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</si>
  <si>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</si>
  <si>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</si>
  <si>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</si>
  <si>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</si>
  <si>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</si>
  <si>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</si>
  <si>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</si>
  <si>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</si>
  <si>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</si>
  <si>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</si>
  <si>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</si>
  <si>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</si>
  <si>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</si>
  <si>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</si>
  <si>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</si>
  <si>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</si>
  <si>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</si>
  <si>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</si>
  <si>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</si>
  <si>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</si>
  <si>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</si>
  <si>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</si>
  <si>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</si>
  <si>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</si>
  <si>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</si>
  <si>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</si>
  <si>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</si>
  <si>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</si>
  <si>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</si>
  <si>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</si>
  <si>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</si>
  <si>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</si>
  <si>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</si>
  <si>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</si>
  <si>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</si>
  <si>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</si>
  <si>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</si>
  <si>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</si>
  <si>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</si>
  <si>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</si>
  <si>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</si>
  <si>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</si>
  <si>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</si>
  <si>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</si>
  <si>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</si>
  <si>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</si>
  <si>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</si>
  <si>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</si>
  <si>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</si>
  <si>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</si>
  <si>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</si>
  <si>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</si>
  <si>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</si>
  <si>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</si>
  <si>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</si>
  <si>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</si>
  <si>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</si>
  <si>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</si>
  <si>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</si>
  <si>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</si>
  <si>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</si>
  <si>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</si>
  <si>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</si>
  <si>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</si>
  <si>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</si>
  <si>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</si>
  <si>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</si>
  <si>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</si>
  <si>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</si>
  <si>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</si>
  <si>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</si>
  <si>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</si>
  <si>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</si>
  <si>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</si>
  <si>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</si>
  <si>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</si>
  <si>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</si>
  <si>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</si>
  <si>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</si>
  <si>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</si>
  <si>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</si>
  <si>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</si>
  <si>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</si>
  <si>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</si>
  <si>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</si>
  <si>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</si>
  <si>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</si>
  <si>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</si>
  <si>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</si>
  <si>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</si>
  <si>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</si>
  <si>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</si>
  <si>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</si>
  <si>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</si>
  <si>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</si>
  <si>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</si>
  <si>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</si>
  <si>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</si>
  <si>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</si>
  <si>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</si>
  <si>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</si>
  <si>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</si>
  <si>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</si>
  <si>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</si>
  <si>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</si>
  <si>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</si>
  <si>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</si>
  <si>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</si>
  <si>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</si>
  <si>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</si>
  <si>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</si>
  <si>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</si>
  <si>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</si>
  <si>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</si>
  <si>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</si>
  <si>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</si>
  <si>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</si>
  <si>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</si>
  <si>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</si>
  <si>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</si>
  <si>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</si>
  <si>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</si>
  <si>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</si>
  <si>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</si>
  <si>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</si>
  <si>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</si>
  <si>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</si>
  <si>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</si>
  <si>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</si>
  <si>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</si>
  <si>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</si>
  <si>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</si>
  <si>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</si>
  <si>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</si>
  <si>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</si>
  <si>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</si>
  <si>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</si>
  <si>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</si>
  <si>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</si>
  <si>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</si>
  <si>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</si>
  <si>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</si>
  <si>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</si>
  <si>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</si>
  <si>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</si>
  <si>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</si>
  <si>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</si>
  <si>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</si>
  <si>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</si>
  <si>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</si>
  <si>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</si>
  <si>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</si>
  <si>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</si>
  <si>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</si>
  <si>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</si>
  <si>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</si>
  <si>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</si>
  <si>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</si>
  <si>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</si>
  <si>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</si>
  <si>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</si>
  <si>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</si>
  <si>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</si>
  <si>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</si>
  <si>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</si>
  <si>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</si>
  <si>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</si>
  <si>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</si>
  <si>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</si>
  <si>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</si>
  <si>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</si>
  <si>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</si>
  <si>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</si>
  <si>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</si>
  <si>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</si>
  <si>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</si>
  <si>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</si>
  <si>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</si>
  <si>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</si>
  <si>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</si>
  <si>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</si>
  <si>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</si>
  <si>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</si>
  <si>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</si>
  <si>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</si>
  <si>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</si>
  <si>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</si>
  <si>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</si>
  <si>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</si>
  <si>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</si>
  <si>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</si>
  <si>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</si>
  <si>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</si>
  <si>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</si>
  <si>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</si>
  <si>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</si>
  <si>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</si>
  <si>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</si>
  <si>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</si>
  <si>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</si>
  <si>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</si>
  <si>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</si>
  <si>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</si>
  <si>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</si>
  <si>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</si>
  <si>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</si>
  <si>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</si>
  <si>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</si>
  <si>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</si>
  <si>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</si>
  <si>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</si>
  <si>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</si>
  <si>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</si>
  <si>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</si>
  <si>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</si>
  <si>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</si>
  <si>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</si>
  <si>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</si>
  <si>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</si>
  <si>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</si>
  <si>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</si>
  <si>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</si>
  <si>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</si>
  <si>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</si>
  <si>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</si>
  <si>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</si>
  <si>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</si>
  <si>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</si>
  <si>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</si>
  <si>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</si>
  <si>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</si>
  <si>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</si>
  <si>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</si>
  <si>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</si>
  <si>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</si>
  <si>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</si>
  <si>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</si>
  <si>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</si>
  <si>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</si>
  <si>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</si>
  <si>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</si>
  <si>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</si>
  <si>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</si>
  <si>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</si>
  <si>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</si>
  <si>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</si>
  <si>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</si>
  <si>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</si>
  <si>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</si>
  <si>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</si>
  <si>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</si>
  <si>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</si>
  <si>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</si>
  <si>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</si>
  <si>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</si>
  <si>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</si>
  <si>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</si>
  <si>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</si>
  <si>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</si>
  <si>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</si>
  <si>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</si>
  <si>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</si>
  <si>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</si>
  <si>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</si>
  <si>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</si>
  <si>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</si>
  <si>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</si>
  <si>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</si>
  <si>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</si>
  <si>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</si>
  <si>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</si>
  <si>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</si>
  <si>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</si>
  <si>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</si>
  <si>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</si>
  <si>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</si>
  <si>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</si>
  <si>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</si>
  <si>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</si>
  <si>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</si>
  <si>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</si>
  <si>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</si>
  <si>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</si>
  <si>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</si>
  <si>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</si>
  <si>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</si>
  <si>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</si>
  <si>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</si>
  <si>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</si>
  <si>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</si>
  <si>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</si>
  <si>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</si>
  <si>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</si>
  <si>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</si>
  <si>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</si>
  <si>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</si>
  <si>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</si>
  <si>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</si>
  <si>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</si>
  <si>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</si>
  <si>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</si>
  <si>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</si>
  <si>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</si>
  <si>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</si>
  <si>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</si>
  <si>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</si>
  <si>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</si>
  <si>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</si>
  <si>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</si>
  <si>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</si>
  <si>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</si>
  <si>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</si>
  <si>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</si>
  <si>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</si>
  <si>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</si>
  <si>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</si>
  <si>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</si>
  <si>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</si>
  <si>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</si>
  <si>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</si>
  <si>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</si>
  <si>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</si>
  <si>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</si>
  <si>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</si>
  <si>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</si>
  <si>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</si>
  <si>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</si>
  <si>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</si>
  <si>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</si>
  <si>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</si>
  <si>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</si>
  <si>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</si>
  <si>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</si>
  <si>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</si>
  <si>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</si>
  <si>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</si>
  <si>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</si>
  <si>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</si>
  <si>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</si>
  <si>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</si>
  <si>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</si>
  <si>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</si>
  <si>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</si>
  <si>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</si>
  <si>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</si>
  <si>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</si>
  <si>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</si>
  <si>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</si>
  <si>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</si>
  <si>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</si>
  <si>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</si>
  <si>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</si>
  <si>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</si>
  <si>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</si>
  <si>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</si>
  <si>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</si>
  <si>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</si>
  <si>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</si>
  <si>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</si>
  <si>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</si>
  <si>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</si>
  <si>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</si>
  <si>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</si>
  <si>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</si>
  <si>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</si>
  <si>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</si>
  <si>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</si>
  <si>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</si>
  <si>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</si>
  <si>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</si>
  <si>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</si>
  <si>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</si>
  <si>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</si>
  <si>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</si>
  <si>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</si>
  <si>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</si>
  <si>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</si>
  <si>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</si>
  <si>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</si>
  <si>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</si>
  <si>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</si>
  <si>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</si>
  <si>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</si>
  <si>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</si>
  <si>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</si>
  <si>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</si>
  <si>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</si>
  <si>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</si>
  <si>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</si>
  <si>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</si>
  <si>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</si>
  <si>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</si>
  <si>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</si>
  <si>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</si>
  <si>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</si>
  <si>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</si>
  <si>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</si>
  <si>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</si>
  <si>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</si>
  <si>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</si>
  <si>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</si>
  <si>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</si>
  <si>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</si>
  <si>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</si>
  <si>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</si>
  <si>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</si>
  <si>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</si>
  <si>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</si>
  <si>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</si>
  <si>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</si>
  <si>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</si>
  <si>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</si>
  <si>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</si>
  <si>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</si>
  <si>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</si>
  <si>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</si>
  <si>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</si>
  <si>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</si>
  <si>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</si>
  <si>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</si>
  <si>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</si>
  <si>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</si>
  <si>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</si>
  <si>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</si>
  <si>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</si>
  <si>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</si>
  <si>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</si>
  <si>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</si>
  <si>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</si>
  <si>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</si>
  <si>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</si>
  <si>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</si>
  <si>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</si>
  <si>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</si>
  <si>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</si>
  <si>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</si>
  <si>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</si>
  <si>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</si>
  <si>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</si>
  <si>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</si>
  <si>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</si>
  <si>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</si>
  <si>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</si>
  <si>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</si>
  <si>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</si>
  <si>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</si>
  <si>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</si>
  <si>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</si>
  <si>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</si>
  <si>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</si>
  <si>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</si>
  <si>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</si>
  <si>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</si>
  <si>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</si>
  <si>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</si>
  <si>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</si>
  <si>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</si>
  <si>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</si>
  <si>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</si>
  <si>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</si>
  <si>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</si>
  <si>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</si>
  <si>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</si>
  <si>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</si>
  <si>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</si>
  <si>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</si>
  <si>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</si>
  <si>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</si>
  <si>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</si>
  <si>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</si>
  <si>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</si>
  <si>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</si>
  <si>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</si>
  <si>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</si>
  <si>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</si>
  <si>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</si>
  <si>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</si>
  <si>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</si>
  <si>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</si>
  <si>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</si>
  <si>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</si>
  <si>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</si>
  <si>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</si>
  <si>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</si>
  <si>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</si>
  <si>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</si>
  <si>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</si>
  <si>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</si>
  <si>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</si>
  <si>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</si>
  <si>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</si>
  <si>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</si>
  <si>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</si>
  <si>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</si>
  <si>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</si>
  <si>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</si>
  <si>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</si>
  <si>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</si>
  <si>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</si>
  <si>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</si>
  <si>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</si>
  <si>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</si>
  <si>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</si>
  <si>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</si>
  <si>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</si>
  <si>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</si>
  <si>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</si>
  <si>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</si>
  <si>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</si>
  <si>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</si>
  <si>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</si>
  <si>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</si>
  <si>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</si>
  <si>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</si>
  <si>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</si>
  <si>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</si>
  <si>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</si>
  <si>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</si>
  <si>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</si>
  <si>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</si>
  <si>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</si>
  <si>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</si>
  <si>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</si>
  <si>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</si>
  <si>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</si>
  <si>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</si>
  <si>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</si>
  <si>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</si>
  <si>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</si>
  <si>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</si>
  <si>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</si>
  <si>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</si>
  <si>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</si>
  <si>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</si>
  <si>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</si>
  <si>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</si>
  <si>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</si>
  <si>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</si>
  <si>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</si>
  <si>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</si>
  <si>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</si>
  <si>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</si>
  <si>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</si>
  <si>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</si>
  <si>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</si>
  <si>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</si>
  <si>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</si>
  <si>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</si>
  <si>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</si>
  <si>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</si>
  <si>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</si>
  <si>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</si>
  <si>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</si>
  <si>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</si>
  <si>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</si>
  <si>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</si>
  <si>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</si>
  <si>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</si>
  <si>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</si>
  <si>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</si>
  <si>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</si>
  <si>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</si>
  <si>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</si>
  <si>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</si>
  <si>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</si>
  <si>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</si>
  <si>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</si>
  <si>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</si>
  <si>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</si>
  <si>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</si>
  <si>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</si>
  <si>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</si>
  <si>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</si>
  <si>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</si>
  <si>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</si>
  <si>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</si>
  <si>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</si>
  <si>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</si>
  <si>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</si>
  <si>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</si>
  <si>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</si>
  <si>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</si>
  <si>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</si>
  <si>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</si>
  <si>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</si>
  <si>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</si>
  <si>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</si>
  <si>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</si>
  <si>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</si>
  <si>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</si>
  <si>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</si>
  <si>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</si>
  <si>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</si>
  <si>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</si>
  <si>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</si>
  <si>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</si>
  <si>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</si>
  <si>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</si>
  <si>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</si>
  <si>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</si>
  <si>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</si>
  <si>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</si>
  <si>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</si>
  <si>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</si>
  <si>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</si>
  <si>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</si>
  <si>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</si>
  <si>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</si>
  <si>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</si>
  <si>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</si>
  <si>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</si>
  <si>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</si>
  <si>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</si>
  <si>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</si>
  <si>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</si>
  <si>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</si>
  <si>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</si>
  <si>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</si>
  <si>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</si>
  <si>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</si>
  <si>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</si>
  <si>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</si>
  <si>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</si>
  <si>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</si>
  <si>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</si>
  <si>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</si>
  <si>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</si>
  <si>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</si>
  <si>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</si>
  <si>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</si>
  <si>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</si>
  <si>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</si>
  <si>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</si>
  <si>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</si>
  <si>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</si>
  <si>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</si>
  <si>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</si>
  <si>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</si>
  <si>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</si>
  <si>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</si>
  <si>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</si>
  <si>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</si>
  <si>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</si>
  <si>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</si>
  <si>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</si>
  <si>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</si>
  <si>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</si>
  <si>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</si>
  <si>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</si>
  <si>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</si>
  <si>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</si>
  <si>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</si>
  <si>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</si>
  <si>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</si>
  <si>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</si>
  <si>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</si>
  <si>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</si>
  <si>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</si>
  <si>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</si>
  <si>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</si>
  <si>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</si>
  <si>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</si>
  <si>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</si>
  <si>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</si>
  <si>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</si>
  <si>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</si>
  <si>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</si>
  <si>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</si>
  <si>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</si>
  <si>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</si>
  <si>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</si>
  <si>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</si>
  <si>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</si>
  <si>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</si>
  <si>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</si>
  <si>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</si>
  <si>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</si>
  <si>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</si>
  <si>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</si>
  <si>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</si>
  <si>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</si>
  <si>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</si>
  <si>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</si>
  <si>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</si>
  <si>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</si>
  <si>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</si>
  <si>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</si>
  <si>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</si>
  <si>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</si>
  <si>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</si>
  <si>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</si>
  <si>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</si>
  <si>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</si>
  <si>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</si>
  <si>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</si>
  <si>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</si>
  <si>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</si>
  <si>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</si>
  <si>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</si>
  <si>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</si>
  <si>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</si>
  <si>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</si>
  <si>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</si>
  <si>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</si>
  <si>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</si>
  <si>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</si>
  <si>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</si>
  <si>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</si>
  <si>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</si>
  <si>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</si>
  <si>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</si>
  <si>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</si>
  <si>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</si>
  <si>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</si>
  <si>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</si>
  <si>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</si>
  <si>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</si>
  <si>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</si>
  <si>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</si>
  <si>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</si>
  <si>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</si>
  <si>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</si>
  <si>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</si>
  <si>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</si>
  <si>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</si>
  <si>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</si>
  <si>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</si>
  <si>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</si>
  <si>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</si>
  <si>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</si>
  <si>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</si>
  <si>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</si>
  <si>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</si>
  <si>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</si>
  <si>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</si>
  <si>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</si>
  <si>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</si>
  <si>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</si>
  <si>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</si>
  <si>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</si>
  <si>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</si>
  <si>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</si>
  <si>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</si>
  <si>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</si>
  <si>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</si>
  <si>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</si>
  <si>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</si>
  <si>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</si>
  <si>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</si>
  <si>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</si>
  <si>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</si>
  <si>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</si>
  <si>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</si>
  <si>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</si>
  <si>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</si>
  <si>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</si>
  <si>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</si>
  <si>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</si>
  <si>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</si>
  <si>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</si>
  <si>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</si>
  <si>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</si>
  <si>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</si>
  <si>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</si>
  <si>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</si>
  <si>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</si>
  <si>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</si>
  <si>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</si>
  <si>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</si>
  <si>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</si>
  <si>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</si>
  <si>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</si>
  <si>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</si>
  <si>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</si>
  <si>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</si>
  <si>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</si>
  <si>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</si>
  <si>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</si>
  <si>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</si>
  <si>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</si>
  <si>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</si>
  <si>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</si>
  <si>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</si>
  <si>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</si>
  <si>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</si>
  <si>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</si>
  <si>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</si>
  <si>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</si>
  <si>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</si>
  <si>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</si>
  <si>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</si>
  <si>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</si>
  <si>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</si>
  <si>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</si>
  <si>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</si>
  <si>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</si>
  <si>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</si>
  <si>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</si>
  <si>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</si>
  <si>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</si>
  <si>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</si>
  <si>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</si>
  <si>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</si>
  <si>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</si>
  <si>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</si>
  <si>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</si>
  <si>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</si>
  <si>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</si>
  <si>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</si>
  <si>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</si>
  <si>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</si>
  <si>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</si>
  <si>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</si>
  <si>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</si>
  <si>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</si>
  <si>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</si>
  <si>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</si>
  <si>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</si>
  <si>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</si>
  <si>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</si>
  <si>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</si>
  <si>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</si>
  <si>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</si>
  <si>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</si>
  <si>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</si>
  <si>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</si>
  <si>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</si>
  <si>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</si>
  <si>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</si>
  <si>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</si>
  <si>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</si>
  <si>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</si>
  <si>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</si>
  <si>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</si>
  <si>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</si>
  <si>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</si>
  <si>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</si>
  <si>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</si>
  <si>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</si>
  <si>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</si>
  <si>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</si>
  <si>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</si>
  <si>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</si>
  <si>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</si>
  <si>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</si>
  <si>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</si>
  <si>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</si>
  <si>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</si>
  <si>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</si>
  <si>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</si>
  <si>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</si>
  <si>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</si>
  <si>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</si>
  <si>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</si>
  <si>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</si>
  <si>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</si>
  <si>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</si>
  <si>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</si>
  <si>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</si>
  <si>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</si>
  <si>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</si>
  <si>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</si>
  <si>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</si>
  <si>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</si>
  <si>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</si>
  <si>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</si>
  <si>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</si>
  <si>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</si>
  <si>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</si>
  <si>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</si>
  <si>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</si>
  <si>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</si>
  <si>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</si>
  <si>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</si>
  <si>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</si>
  <si>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</si>
  <si>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</si>
  <si>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</si>
  <si>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</si>
  <si>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</si>
  <si>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</si>
  <si>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</si>
  <si>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</si>
  <si>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</si>
  <si>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</si>
  <si>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</si>
  <si>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</si>
  <si>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</si>
  <si>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</si>
  <si>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</si>
  <si>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</si>
  <si>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</si>
  <si>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</si>
  <si>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</si>
  <si>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</si>
  <si>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</si>
  <si>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</si>
  <si>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</si>
  <si>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</si>
  <si>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</si>
  <si>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</si>
  <si>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</si>
  <si>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</si>
  <si>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</si>
  <si>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</si>
  <si>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</si>
  <si>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</si>
  <si>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</si>
  <si>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</si>
  <si>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</si>
  <si>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</si>
  <si>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</si>
  <si>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</si>
  <si>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</si>
  <si>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</si>
  <si>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</si>
  <si>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</si>
  <si>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</si>
  <si>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</si>
  <si>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</si>
  <si>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</si>
  <si>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</si>
  <si>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</si>
  <si>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</si>
  <si>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</si>
  <si>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</si>
  <si>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</si>
  <si>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</si>
  <si>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</si>
  <si>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</si>
  <si>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</si>
  <si>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</si>
  <si>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</si>
  <si>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</si>
  <si>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</si>
  <si>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</si>
  <si>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</si>
  <si>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</si>
  <si>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</si>
  <si>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</si>
  <si>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</si>
  <si>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</si>
  <si>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</si>
  <si>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</si>
  <si>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</si>
  <si>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</si>
  <si>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</si>
  <si>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</si>
  <si>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</si>
  <si>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</si>
  <si>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</si>
  <si>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</si>
  <si>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</si>
  <si>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</si>
  <si>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</si>
  <si>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</si>
  <si>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</si>
  <si>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</si>
  <si>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</si>
  <si>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</si>
  <si>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</si>
  <si>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</si>
  <si>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</si>
  <si>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</si>
  <si>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</si>
  <si>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</si>
  <si>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</si>
  <si>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</si>
  <si>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</si>
  <si>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</si>
  <si>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</si>
  <si>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</si>
  <si>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</si>
  <si>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</si>
  <si>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</si>
  <si>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</si>
  <si>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</si>
  <si>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</si>
  <si>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</si>
  <si>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</si>
  <si>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</si>
  <si>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</si>
  <si>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</si>
  <si>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</si>
  <si>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</si>
  <si>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</si>
  <si>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</si>
  <si>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</si>
  <si>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</si>
  <si>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</si>
  <si>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</si>
  <si>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</si>
  <si>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</si>
  <si>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</si>
  <si>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</si>
  <si>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</si>
  <si>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</si>
  <si>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</si>
  <si>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</si>
  <si>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</si>
  <si>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</si>
  <si>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</si>
  <si>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</si>
  <si>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</si>
  <si>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</si>
  <si>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</si>
  <si>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</si>
  <si>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</si>
  <si>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</si>
  <si>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</si>
  <si>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</si>
  <si>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</si>
  <si>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</si>
  <si>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</si>
  <si>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</si>
  <si>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</si>
  <si>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</si>
  <si>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</si>
  <si>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</si>
  <si>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</si>
  <si>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</si>
  <si>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</si>
  <si>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</si>
  <si>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</si>
  <si>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</si>
  <si>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</si>
  <si>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</si>
  <si>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</si>
  <si>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</si>
  <si>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</si>
  <si>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</si>
  <si>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</si>
  <si>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</si>
  <si>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</si>
  <si>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</si>
  <si>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</si>
  <si>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</si>
  <si>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</si>
  <si>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</si>
  <si>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</si>
  <si>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</si>
  <si>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</si>
  <si>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</si>
  <si>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</si>
  <si>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</si>
  <si>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</si>
  <si>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</si>
  <si>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</si>
  <si>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</si>
  <si>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</si>
  <si>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</si>
  <si>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</si>
  <si>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</si>
  <si>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</si>
  <si>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</si>
  <si>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</si>
  <si>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</si>
  <si>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</si>
  <si>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</si>
  <si>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</si>
  <si>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</si>
  <si>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</si>
  <si>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</si>
  <si>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</si>
  <si>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</si>
  <si>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</si>
  <si>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</si>
  <si>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</si>
  <si>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</si>
  <si>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</si>
  <si>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</si>
  <si>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</si>
  <si>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</si>
  <si>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</si>
  <si>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</si>
  <si>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</si>
  <si>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</si>
  <si>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</si>
  <si>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</si>
  <si>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</si>
  <si>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</si>
  <si>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</si>
  <si>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</si>
  <si>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</si>
  <si>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</si>
  <si>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</si>
  <si>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</si>
  <si>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</si>
  <si>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</si>
  <si>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</si>
  <si>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</si>
  <si>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</si>
  <si>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</si>
  <si>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</si>
  <si>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</si>
  <si>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</si>
  <si>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</si>
  <si>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</si>
  <si>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</si>
  <si>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</si>
  <si>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</si>
  <si>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</si>
  <si>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</si>
  <si>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</si>
  <si>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</si>
  <si>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</si>
  <si>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</si>
  <si>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</si>
  <si>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</si>
  <si>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</si>
  <si>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</si>
  <si>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</si>
  <si>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</si>
  <si>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</si>
  <si>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</si>
  <si>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</si>
  <si>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</si>
  <si>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</si>
  <si>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</si>
  <si>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</si>
  <si>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</si>
  <si>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</si>
  <si>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</si>
  <si>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</si>
  <si>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</si>
  <si>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</si>
  <si>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</si>
  <si>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</si>
  <si>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</si>
  <si>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</si>
  <si>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</si>
  <si>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</si>
  <si>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</si>
  <si>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</si>
  <si>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</si>
  <si>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</si>
  <si>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</si>
  <si>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</si>
  <si>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</si>
  <si>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</si>
  <si>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</si>
  <si>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</si>
  <si>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</si>
  <si>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</si>
  <si>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</si>
  <si>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</si>
  <si>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</si>
  <si>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</si>
  <si>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</si>
  <si>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</si>
  <si>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</si>
  <si>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</si>
  <si>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</si>
  <si>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</si>
  <si>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</si>
  <si>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</si>
  <si>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</si>
  <si>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</si>
  <si>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</si>
  <si>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</si>
  <si>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</si>
  <si>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</si>
  <si>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</si>
  <si>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</si>
  <si>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</si>
  <si>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</si>
  <si>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</si>
  <si>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</si>
  <si>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</si>
  <si>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</si>
  <si>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</si>
  <si>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</si>
  <si>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</si>
  <si>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</si>
  <si>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</si>
  <si>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</si>
  <si>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</si>
  <si>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</si>
  <si>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</si>
  <si>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</si>
  <si>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</si>
  <si>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</si>
  <si>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</si>
  <si>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</si>
  <si>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</si>
  <si>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</si>
  <si>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</si>
  <si>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</si>
  <si>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</si>
  <si>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</si>
  <si>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</si>
  <si>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</si>
  <si>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</si>
  <si>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</si>
  <si>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</si>
  <si>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</si>
  <si>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</si>
  <si>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</si>
  <si>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</si>
  <si>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</si>
  <si>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</si>
  <si>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</si>
  <si>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</si>
  <si>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</si>
  <si>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</si>
  <si>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</si>
  <si>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</si>
  <si>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</si>
  <si>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</si>
  <si>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</si>
  <si>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</si>
  <si>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</si>
  <si>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</si>
  <si>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</si>
  <si>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</si>
  <si>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</si>
  <si>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</si>
  <si>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</si>
  <si>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</si>
  <si>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</si>
  <si>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</si>
  <si>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</si>
  <si>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</si>
  <si>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</si>
  <si>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</si>
  <si>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</si>
  <si>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</si>
  <si>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</si>
  <si>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</si>
  <si>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</si>
  <si>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</si>
  <si>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</si>
  <si>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</si>
  <si>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</si>
  <si>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</si>
  <si>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</si>
  <si>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</si>
  <si>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</si>
  <si>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</si>
  <si>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</si>
  <si>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</si>
  <si>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</si>
  <si>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</si>
  <si>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</si>
  <si>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</si>
  <si>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</si>
  <si>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</si>
  <si>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</si>
  <si>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</si>
  <si>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</si>
  <si>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</si>
  <si>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</si>
  <si>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</si>
  <si>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</si>
  <si>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</si>
  <si>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</si>
  <si>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</si>
  <si>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</si>
  <si>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</si>
  <si>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</si>
  <si>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</si>
  <si>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</si>
  <si>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</si>
  <si>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</si>
  <si>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</si>
  <si>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</si>
  <si>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</si>
  <si>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</si>
  <si>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</si>
  <si>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</si>
  <si>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</si>
  <si>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</si>
  <si>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</si>
  <si>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</si>
  <si>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</si>
  <si>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</si>
  <si>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</si>
  <si>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</si>
  <si>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</si>
  <si>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</si>
  <si>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</si>
  <si>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</si>
  <si>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</si>
  <si>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</si>
  <si>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</si>
  <si>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</si>
  <si>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</si>
  <si>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</si>
  <si>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</si>
  <si>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</si>
  <si>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</si>
  <si>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</si>
  <si>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</si>
  <si>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</si>
  <si>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</si>
  <si>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</si>
  <si>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</si>
  <si>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</si>
  <si>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</si>
  <si>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</si>
  <si>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</si>
  <si>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</si>
  <si>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</si>
  <si>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</si>
  <si>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</si>
  <si>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</si>
  <si>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</si>
  <si>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</si>
  <si>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</si>
  <si>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</si>
  <si>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</si>
  <si>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</si>
  <si>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</si>
  <si>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</si>
  <si>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</si>
  <si>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</si>
  <si>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</si>
  <si>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</si>
  <si>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</si>
  <si>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</si>
  <si>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</si>
  <si>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</si>
  <si>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</si>
  <si>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</si>
  <si>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</si>
  <si>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</si>
  <si>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</si>
  <si>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</si>
  <si>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</si>
  <si>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</si>
  <si>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</si>
  <si>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</si>
  <si>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</si>
  <si>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</si>
  <si>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</si>
  <si>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</si>
  <si>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</si>
  <si>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</si>
  <si>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</si>
  <si>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</si>
  <si>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</si>
  <si>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</si>
  <si>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</si>
  <si>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</si>
  <si>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</si>
  <si>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</si>
  <si>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</si>
  <si>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</si>
  <si>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</si>
  <si>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</si>
  <si>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</si>
  <si>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</si>
  <si>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</si>
  <si>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</si>
  <si>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</si>
  <si>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</si>
  <si>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</si>
  <si>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</si>
  <si>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</si>
  <si>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</si>
  <si>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</si>
  <si>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</si>
  <si>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</si>
  <si>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</si>
  <si>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</si>
  <si>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</si>
  <si>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</si>
  <si>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</si>
  <si>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</si>
  <si>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</si>
  <si>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</si>
  <si>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</si>
  <si>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</si>
  <si>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</si>
  <si>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</si>
  <si>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</si>
  <si>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</si>
  <si>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</si>
  <si>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</si>
  <si>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</si>
  <si>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</si>
  <si>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</si>
  <si>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</si>
  <si>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</si>
  <si>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</si>
  <si>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</si>
  <si>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</si>
  <si>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</si>
  <si>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</si>
  <si>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</si>
  <si>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</si>
  <si>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</si>
  <si>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</si>
  <si>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</si>
  <si>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</si>
  <si>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</si>
  <si>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</si>
  <si>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</si>
  <si>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</si>
  <si>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</si>
  <si>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</si>
  <si>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</si>
  <si>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</si>
  <si>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</si>
  <si>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</si>
  <si>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</si>
  <si>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</si>
  <si>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</si>
  <si>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</si>
  <si>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</si>
  <si>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</si>
  <si>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</si>
  <si>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</si>
  <si>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</si>
  <si>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</si>
  <si>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</si>
  <si>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</si>
  <si>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</si>
  <si>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</si>
  <si>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</si>
  <si>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</si>
  <si>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</si>
  <si>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</si>
  <si>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</si>
  <si>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</si>
  <si>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</si>
  <si>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</si>
  <si>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</si>
  <si>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</si>
  <si>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</si>
  <si>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</si>
  <si>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</si>
  <si>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</si>
  <si>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</si>
  <si>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</si>
  <si>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</si>
  <si>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</si>
  <si>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</si>
  <si>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</si>
  <si>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</si>
  <si>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</si>
  <si>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</si>
  <si>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</si>
  <si>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</si>
  <si>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</si>
  <si>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</si>
  <si>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</si>
  <si>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</si>
  <si>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</si>
  <si>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</si>
  <si>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</si>
  <si>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</si>
  <si>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</si>
  <si>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</si>
  <si>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</si>
  <si>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</si>
  <si>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</si>
  <si>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</si>
  <si>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</si>
  <si>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</si>
  <si>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</si>
  <si>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</si>
  <si>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</si>
  <si>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</si>
  <si>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</si>
  <si>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</si>
  <si>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</si>
  <si>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</si>
  <si>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</si>
  <si>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</si>
  <si>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</si>
  <si>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</si>
  <si>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</si>
  <si>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</si>
  <si>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</si>
  <si>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</si>
  <si>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</si>
  <si>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</si>
  <si>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</si>
  <si>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</si>
  <si>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</si>
  <si>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</si>
  <si>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</si>
  <si>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</si>
  <si>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</si>
  <si>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</si>
  <si>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</si>
  <si>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</si>
  <si>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</si>
  <si>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</si>
  <si>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</si>
  <si>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</si>
  <si>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</si>
  <si>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</si>
  <si>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</si>
  <si>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</si>
  <si>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</si>
  <si>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</si>
  <si>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</si>
  <si>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</si>
  <si>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</si>
  <si>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</si>
  <si>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</si>
  <si>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</si>
  <si>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</si>
  <si>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</si>
  <si>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</si>
  <si>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</si>
  <si>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</si>
  <si>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</si>
  <si>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</si>
  <si>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</si>
  <si>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</si>
  <si>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</si>
  <si>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</si>
  <si>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</si>
  <si>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</si>
  <si>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</si>
  <si>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</si>
  <si>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</si>
  <si>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</si>
  <si>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</si>
  <si>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</si>
  <si>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</si>
  <si>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</si>
  <si>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</si>
  <si>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</si>
  <si>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</si>
  <si>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</si>
  <si>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</si>
  <si>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</si>
  <si>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</si>
  <si>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</si>
  <si>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</si>
  <si>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</si>
  <si>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</si>
  <si>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</si>
  <si>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</si>
  <si>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</si>
  <si>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</si>
  <si>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</si>
  <si>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</si>
  <si>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</si>
  <si>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</si>
  <si>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</si>
  <si>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</si>
  <si>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</si>
  <si>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</si>
  <si>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</si>
  <si>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</si>
  <si>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</si>
  <si>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</si>
  <si>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</si>
  <si>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</si>
  <si>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</si>
  <si>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</si>
  <si>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</si>
  <si>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</si>
  <si>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</si>
  <si>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</si>
  <si>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</si>
  <si>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</si>
  <si>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</si>
  <si>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</si>
  <si>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</si>
  <si>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</si>
  <si>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</si>
  <si>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</si>
  <si>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</si>
  <si>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</si>
  <si>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</si>
  <si>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</si>
  <si>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</si>
  <si>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</si>
  <si>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</si>
  <si>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</si>
  <si>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</si>
  <si>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</si>
  <si>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</si>
  <si>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</si>
  <si>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</si>
  <si>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</si>
  <si>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</si>
  <si>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</si>
  <si>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</si>
  <si>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</si>
  <si>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</si>
  <si>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</si>
  <si>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</si>
  <si>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</si>
  <si>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</si>
  <si>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</si>
  <si>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</si>
  <si>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</si>
  <si>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</si>
  <si>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</si>
  <si>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</si>
  <si>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</si>
  <si>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</si>
  <si>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</si>
  <si>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</si>
  <si>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</si>
  <si>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</si>
  <si>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</si>
  <si>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</si>
  <si>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</si>
  <si>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</si>
  <si>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</si>
  <si>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</si>
  <si>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</si>
  <si>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</si>
  <si>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</si>
  <si>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</si>
  <si>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</si>
  <si>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</si>
  <si>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</si>
  <si>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</si>
  <si>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</si>
  <si>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</si>
  <si>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</si>
  <si>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</si>
  <si>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</si>
  <si>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</si>
  <si>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</si>
  <si>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</si>
  <si>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</si>
  <si>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</si>
  <si>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</si>
  <si>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</si>
  <si>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</si>
  <si>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</si>
  <si>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</si>
  <si>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</si>
  <si>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</si>
  <si>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</si>
  <si>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</si>
  <si>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</si>
  <si>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</si>
  <si>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</si>
  <si>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</si>
  <si>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</si>
  <si>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</si>
  <si>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</si>
  <si>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</si>
  <si>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</si>
  <si>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</si>
  <si>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</si>
  <si>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</si>
  <si>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</si>
  <si>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</si>
  <si>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</si>
  <si>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</si>
  <si>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</si>
  <si>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</si>
  <si>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</si>
  <si>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</si>
  <si>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</si>
  <si>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</si>
  <si>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</si>
  <si>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</si>
  <si>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</si>
  <si>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</si>
  <si>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</si>
  <si>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</si>
  <si>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</si>
  <si>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</si>
  <si>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</si>
  <si>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</si>
  <si>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</si>
  <si>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</si>
  <si>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</si>
  <si>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</si>
  <si>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</si>
  <si>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</si>
  <si>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</si>
  <si>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</si>
  <si>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</si>
  <si>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</si>
  <si>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</si>
  <si>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</si>
  <si>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</si>
  <si>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</si>
  <si>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</si>
  <si>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</si>
  <si>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</si>
  <si>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</si>
  <si>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</si>
  <si>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</si>
  <si>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</si>
  <si>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</si>
  <si>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</si>
  <si>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</si>
  <si>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</si>
  <si>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</si>
  <si>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</si>
  <si>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</si>
  <si>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</si>
  <si>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</si>
  <si>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</si>
  <si>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</si>
  <si>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</si>
  <si>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</si>
  <si>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</si>
  <si>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</si>
  <si>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</si>
  <si>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</si>
  <si>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</si>
  <si>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</si>
  <si>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</si>
  <si>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</si>
  <si>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</si>
  <si>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</si>
  <si>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</si>
  <si>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</si>
  <si>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</si>
  <si>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</si>
  <si>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</si>
  <si>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</si>
  <si>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</si>
  <si>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</si>
  <si>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</si>
  <si>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</si>
  <si>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</si>
  <si>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</si>
  <si>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</si>
  <si>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</si>
  <si>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</si>
  <si>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</si>
  <si>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</si>
  <si>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</si>
  <si>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</si>
  <si>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</si>
  <si>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</si>
  <si>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</si>
  <si>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</si>
  <si>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</si>
  <si>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</si>
  <si>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</si>
  <si>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</si>
  <si>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</si>
  <si>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</si>
  <si>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</si>
  <si>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</si>
  <si>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</si>
  <si>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</si>
  <si>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</si>
  <si>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</si>
  <si>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</si>
  <si>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</si>
  <si>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</si>
  <si>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</si>
  <si>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</si>
  <si>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</si>
  <si>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</si>
  <si>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</si>
  <si>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</si>
  <si>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</si>
  <si>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</si>
  <si>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</si>
  <si>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</si>
  <si>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</si>
  <si>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</si>
  <si>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</si>
  <si>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</si>
  <si>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</si>
  <si>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</si>
  <si>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</si>
  <si>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</si>
  <si>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</si>
  <si>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</si>
  <si>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</si>
  <si>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</si>
  <si>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</si>
  <si>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</si>
  <si>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</si>
  <si>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</si>
  <si>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</si>
  <si>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</si>
  <si>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</si>
  <si>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</si>
  <si>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</si>
  <si>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</si>
  <si>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</si>
  <si>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</si>
  <si>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</si>
  <si>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</si>
  <si>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</si>
  <si>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</si>
  <si>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</si>
  <si>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</si>
  <si>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</si>
  <si>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</si>
  <si>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</si>
  <si>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</si>
  <si>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</si>
  <si>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</si>
  <si>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</si>
  <si>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</si>
  <si>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</si>
  <si>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</si>
  <si>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</si>
  <si>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</si>
  <si>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</si>
  <si>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</si>
  <si>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</si>
  <si>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</si>
  <si>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</si>
  <si>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</si>
  <si>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</si>
  <si>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</si>
  <si>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</si>
  <si>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</si>
  <si>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</si>
  <si>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</si>
  <si>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</si>
  <si>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</si>
  <si>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</si>
  <si>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</si>
  <si>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</si>
  <si>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</si>
  <si>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</si>
  <si>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</si>
  <si>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</si>
  <si>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</si>
  <si>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</si>
  <si>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</si>
  <si>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</si>
  <si>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</si>
  <si>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</si>
  <si>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</si>
  <si>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</si>
  <si>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</si>
  <si>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</si>
  <si>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</si>
  <si>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</si>
  <si>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</si>
  <si>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</si>
  <si>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</si>
  <si>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</si>
  <si>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</si>
  <si>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</si>
  <si>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</si>
  <si>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</si>
  <si>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</si>
  <si>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</si>
  <si>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</si>
  <si>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</si>
  <si>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</si>
  <si>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</si>
  <si>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</si>
  <si>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</si>
  <si>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</si>
  <si>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</si>
  <si>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</si>
  <si>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</si>
  <si>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</si>
  <si>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</si>
  <si>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</si>
  <si>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</si>
  <si>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</si>
  <si>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</si>
  <si>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</si>
  <si>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</si>
  <si>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</si>
  <si>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</si>
  <si>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</si>
  <si>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</si>
  <si>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</si>
  <si>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</si>
  <si>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</si>
  <si>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</si>
  <si>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</si>
  <si>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</si>
  <si>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</si>
  <si>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</si>
  <si>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</si>
  <si>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</si>
  <si>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</si>
  <si>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</si>
  <si>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</si>
  <si>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</si>
  <si>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</si>
  <si>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</si>
  <si>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</si>
  <si>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</si>
  <si>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</si>
  <si>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</si>
  <si>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</si>
  <si>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</si>
  <si>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</si>
  <si>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</si>
  <si>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</si>
  <si>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</si>
  <si>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</si>
  <si>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</si>
  <si>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</si>
  <si>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</si>
  <si>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</si>
  <si>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</si>
  <si>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</si>
  <si>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</si>
  <si>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</si>
  <si>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</si>
  <si>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</si>
  <si>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</si>
  <si>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</si>
  <si>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</si>
  <si>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</si>
  <si>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</si>
  <si>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</si>
  <si>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</si>
  <si>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</si>
  <si>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</si>
  <si>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</si>
  <si>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</si>
  <si>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</si>
  <si>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</si>
  <si>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</si>
  <si>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</si>
  <si>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</si>
  <si>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</si>
  <si>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</si>
  <si>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</si>
  <si>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</si>
  <si>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</si>
  <si>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</si>
  <si>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</si>
  <si>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</si>
  <si>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</si>
  <si>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</si>
  <si>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</si>
  <si>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</si>
  <si>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</si>
  <si>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</si>
  <si>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</si>
  <si>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</si>
  <si>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</si>
  <si>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</si>
  <si>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</si>
  <si>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</si>
  <si>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</si>
  <si>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</si>
  <si>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</si>
  <si>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</si>
  <si>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</si>
  <si>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</si>
  <si>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</si>
  <si>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</si>
  <si>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</si>
  <si>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</si>
  <si>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</si>
  <si>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</si>
  <si>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</si>
  <si>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</si>
  <si>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</si>
  <si>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</si>
  <si>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</si>
  <si>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</si>
  <si>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</si>
  <si>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</si>
  <si>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</si>
  <si>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</si>
  <si>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</si>
  <si>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</si>
  <si>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</si>
  <si>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</si>
  <si>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</si>
  <si>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</si>
  <si>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</si>
  <si>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</si>
  <si>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</si>
  <si>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</si>
  <si>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</si>
  <si>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</si>
  <si>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</si>
  <si>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</si>
  <si>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</si>
  <si>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</si>
  <si>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</si>
  <si>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</si>
  <si>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</si>
  <si>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</si>
  <si>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</si>
  <si>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</si>
  <si>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</si>
  <si>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</si>
  <si>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</si>
  <si>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</si>
  <si>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</si>
  <si>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</si>
  <si>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</si>
  <si>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</si>
  <si>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</si>
  <si>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</si>
  <si>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</si>
  <si>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</si>
  <si>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</si>
  <si>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</si>
  <si>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</si>
  <si>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</si>
  <si>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</si>
  <si>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</si>
  <si>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</si>
  <si>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</si>
  <si>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</si>
  <si>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</si>
  <si>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</si>
  <si>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</si>
  <si>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</si>
  <si>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</si>
  <si>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</si>
  <si>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</si>
  <si>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</si>
  <si>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</si>
  <si>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</si>
  <si>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</si>
  <si>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</si>
  <si>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</si>
  <si>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</si>
  <si>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</si>
  <si>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</si>
  <si>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</si>
  <si>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</si>
  <si>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</si>
  <si>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</si>
  <si>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</si>
  <si>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</si>
  <si>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</si>
  <si>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</si>
  <si>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</si>
  <si>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</si>
  <si>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</si>
  <si>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</si>
  <si>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</si>
  <si>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</si>
  <si>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</si>
  <si>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</si>
  <si>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</si>
  <si>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</si>
  <si>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</si>
  <si>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</si>
  <si>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</si>
  <si>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</si>
  <si>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</si>
  <si>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</si>
  <si>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</si>
  <si>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</si>
  <si>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</si>
  <si>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</si>
  <si>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</si>
  <si>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</si>
  <si>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</si>
  <si>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</si>
  <si>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</si>
  <si>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</si>
  <si>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</si>
  <si>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</si>
  <si>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</si>
  <si>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</si>
  <si>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</si>
  <si>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</si>
  <si>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</si>
  <si>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</si>
  <si>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</si>
  <si>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</si>
  <si>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</si>
  <si>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</si>
  <si>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</si>
  <si>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</si>
  <si>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</si>
  <si>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</si>
  <si>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</si>
  <si>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</si>
  <si>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</si>
  <si>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</si>
  <si>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</si>
  <si>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</si>
  <si>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</si>
  <si>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</si>
  <si>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</si>
  <si>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</si>
  <si>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</si>
  <si>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</si>
  <si>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</si>
  <si>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</si>
  <si>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</si>
  <si>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</si>
  <si>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</si>
  <si>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</si>
  <si>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</si>
  <si>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</si>
  <si>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</si>
  <si>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</si>
  <si>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</si>
  <si>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</si>
  <si>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</si>
  <si>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</si>
  <si>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</si>
  <si>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</si>
  <si>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</si>
  <si>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</si>
  <si>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</si>
  <si>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</si>
  <si>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</si>
  <si>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</si>
  <si>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</si>
  <si>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</si>
  <si>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</si>
  <si>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</si>
  <si>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</si>
  <si>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</si>
  <si>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</si>
  <si>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</si>
  <si>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</si>
  <si>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</si>
  <si>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</si>
  <si>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</si>
  <si>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</si>
  <si>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</si>
  <si>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</si>
  <si>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</si>
  <si>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</si>
  <si>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</si>
  <si>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</si>
  <si>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</si>
  <si>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</si>
  <si>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</si>
  <si>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</si>
  <si>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</si>
  <si>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</si>
  <si>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</si>
  <si>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</si>
  <si>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</si>
  <si>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</si>
  <si>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</si>
  <si>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</si>
  <si>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</si>
  <si>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</si>
  <si>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</si>
  <si>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</si>
  <si>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</si>
  <si>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</si>
  <si>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</si>
  <si>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</si>
  <si>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</si>
  <si>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</si>
  <si>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</si>
  <si>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</si>
  <si>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</si>
  <si>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</si>
  <si>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</si>
  <si>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</si>
  <si>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</si>
  <si>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</si>
  <si>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</si>
  <si>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</si>
  <si>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</si>
  <si>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</si>
  <si>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</si>
  <si>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</si>
  <si>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</si>
  <si>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</si>
  <si>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</si>
  <si>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</si>
  <si>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</si>
  <si>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</si>
  <si>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</si>
  <si>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</si>
  <si>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</si>
  <si>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</si>
  <si>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</si>
  <si>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</si>
  <si>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</si>
  <si>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</si>
  <si>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</si>
  <si>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</si>
  <si>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</si>
  <si>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</si>
  <si>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</si>
  <si>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</si>
  <si>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</si>
  <si>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</si>
  <si>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</si>
  <si>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</si>
  <si>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</si>
  <si>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</si>
  <si>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</si>
  <si>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</si>
  <si>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</si>
  <si>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</si>
  <si>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</si>
  <si>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</si>
  <si>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</si>
  <si>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</si>
  <si>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</si>
  <si>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</si>
  <si>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</si>
  <si>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</si>
  <si>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</si>
  <si>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</si>
  <si>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</si>
  <si>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</si>
  <si>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</si>
  <si>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</si>
  <si>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</si>
  <si>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</si>
  <si>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</si>
  <si>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</si>
  <si>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</si>
  <si>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</si>
  <si>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</si>
  <si>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</si>
  <si>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</si>
  <si>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</si>
  <si>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</si>
  <si>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</si>
  <si>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</si>
  <si>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</si>
  <si>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</si>
  <si>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</si>
  <si>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</si>
  <si>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</si>
  <si>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</si>
  <si>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</si>
  <si>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</si>
  <si>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</si>
  <si>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</si>
  <si>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</si>
  <si>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</si>
  <si>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</si>
  <si>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</si>
  <si>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</si>
  <si>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</si>
  <si>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</si>
  <si>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</si>
  <si>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</si>
  <si>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</si>
  <si>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</si>
  <si>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</si>
  <si>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</si>
  <si>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</si>
  <si>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</si>
  <si>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</si>
  <si>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</si>
  <si>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</si>
  <si>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</si>
  <si>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</si>
  <si>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</si>
  <si>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</si>
  <si>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</si>
  <si>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</si>
  <si>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</si>
  <si>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</si>
  <si>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</si>
  <si>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</si>
  <si>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</si>
  <si>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</si>
  <si>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</si>
  <si>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</si>
  <si>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</si>
  <si>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</si>
  <si>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</si>
  <si>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</si>
  <si>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</si>
  <si>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</si>
  <si>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</si>
  <si>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</si>
  <si>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</si>
  <si>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</si>
  <si>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</si>
  <si>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</si>
  <si>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</si>
  <si>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</si>
  <si>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</si>
  <si>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</si>
  <si>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</si>
  <si>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</si>
  <si>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</si>
  <si>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</si>
  <si>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</si>
  <si>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</si>
  <si>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</si>
  <si>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</si>
  <si>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</si>
  <si>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</si>
  <si>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</si>
  <si>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</si>
  <si>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</si>
  <si>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</si>
  <si>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</si>
  <si>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</si>
  <si>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</si>
  <si>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</si>
  <si>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</si>
  <si>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</si>
  <si>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</si>
  <si>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</si>
  <si>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</si>
  <si>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</si>
  <si>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</si>
  <si>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</si>
  <si>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</si>
  <si>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</si>
  <si>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</si>
  <si>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</si>
  <si>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</si>
  <si>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</si>
  <si>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</si>
  <si>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</si>
  <si>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</si>
  <si>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</si>
  <si>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</si>
  <si>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</si>
  <si>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</si>
  <si>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</si>
  <si>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</si>
  <si>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</si>
  <si>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</si>
  <si>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</si>
  <si>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</si>
  <si>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</si>
  <si>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</si>
  <si>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</si>
  <si>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</si>
  <si>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</si>
  <si>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</si>
  <si>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</si>
  <si>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</si>
  <si>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</si>
  <si>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</si>
  <si>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</si>
  <si>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</si>
  <si>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</si>
  <si>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</si>
  <si>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</si>
  <si>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</si>
  <si>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</si>
  <si>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</si>
  <si>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</si>
  <si>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</si>
  <si>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</si>
  <si>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</si>
  <si>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</si>
  <si>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</si>
  <si>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</si>
  <si>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</si>
  <si>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</si>
  <si>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</si>
  <si>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</si>
  <si>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</si>
  <si>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</si>
  <si>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</si>
  <si>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</si>
  <si>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</si>
  <si>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</si>
  <si>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</si>
  <si>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</si>
  <si>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</si>
  <si>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</si>
  <si>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</si>
  <si>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</si>
  <si>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</si>
  <si>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</si>
  <si>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</si>
  <si>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</si>
  <si>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</si>
  <si>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</si>
  <si>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</si>
  <si>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</si>
  <si>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</si>
  <si>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</si>
  <si>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</si>
  <si>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</si>
  <si>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</si>
  <si>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</si>
  <si>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</si>
  <si>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</si>
  <si>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</si>
  <si>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</si>
  <si>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</si>
  <si>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</si>
  <si>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</si>
  <si>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</si>
  <si>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</si>
  <si>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</si>
  <si>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</si>
  <si>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</si>
  <si>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</si>
  <si>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</si>
  <si>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</si>
  <si>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</si>
  <si>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</si>
  <si>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</si>
  <si>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</si>
  <si>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</si>
  <si>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</si>
  <si>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</si>
  <si>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</si>
  <si>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</si>
  <si>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</si>
  <si>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</si>
  <si>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</si>
  <si>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</si>
  <si>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</si>
  <si>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</si>
  <si>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</si>
  <si>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</si>
  <si>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</si>
  <si>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</si>
  <si>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</si>
  <si>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</si>
  <si>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</si>
  <si>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</si>
  <si>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</si>
  <si>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</si>
  <si>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</si>
  <si>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</si>
  <si>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</si>
  <si>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</si>
  <si>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</si>
  <si>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</si>
  <si>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</si>
  <si>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</si>
  <si>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</si>
  <si>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</si>
  <si>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</si>
  <si>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</si>
  <si>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</si>
  <si>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</si>
  <si>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</si>
  <si>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</si>
  <si>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</si>
  <si>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</si>
  <si>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</si>
  <si>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</si>
  <si>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</si>
  <si>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</si>
  <si>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</si>
  <si>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</si>
  <si>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</si>
  <si>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</si>
  <si>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</si>
  <si>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</si>
  <si>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</si>
  <si>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</si>
  <si>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</si>
  <si>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</si>
  <si>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</si>
  <si>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</si>
  <si>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</si>
  <si>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</si>
  <si>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</si>
  <si>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</si>
  <si>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</si>
  <si>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</si>
  <si>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</si>
  <si>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</si>
  <si>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</si>
  <si>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</si>
  <si>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</si>
  <si>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</si>
  <si>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</si>
  <si>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</si>
  <si>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</si>
  <si>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</si>
  <si>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</si>
  <si>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</si>
  <si>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</si>
  <si>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</si>
  <si>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</si>
  <si>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</si>
  <si>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</si>
  <si>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</si>
  <si>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</si>
  <si>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</si>
  <si>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</si>
  <si>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histologySubgroup.adipocyticTumours</t>
  </si>
  <si>
    <t>histologySubgroup.fmtTumours</t>
  </si>
  <si>
    <t>histologySubgroup.socalledFibrohistiocyticTumours</t>
  </si>
  <si>
    <t>subsites</t>
  </si>
  <si>
    <t>subsites.nasalCavityAndParanasalSinusesSubsite</t>
  </si>
  <si>
    <t>subsites.nasopharynxSubsite</t>
  </si>
  <si>
    <t>subsites.hypopharynxSubsite</t>
  </si>
  <si>
    <t>subsites.oropharynxSubsite</t>
  </si>
  <si>
    <t>subsites.larynxSubsite</t>
  </si>
  <si>
    <t>subsites.oralCavitySubsite</t>
  </si>
  <si>
    <t>subsites.lipSubsite</t>
  </si>
  <si>
    <t>subsites.upperAndLowerLimbsSubsite</t>
  </si>
  <si>
    <t>subsites.trunkWallSubsite</t>
  </si>
  <si>
    <t>subsites.intraAbdominalSubsite</t>
  </si>
  <si>
    <t>subsites.intraThoracicSubsite</t>
  </si>
  <si>
    <t>subsites.genitoUrinarySubsite</t>
  </si>
  <si>
    <t>subsites.headAndNeckSubsite</t>
  </si>
  <si>
    <t>subsites.breastSubsite</t>
  </si>
  <si>
    <t>subsites.otherSubsite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</si>
  <si>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</si>
  <si>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</si>
  <si>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</si>
  <si>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</si>
  <si>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</si>
  <si>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</si>
  <si>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</si>
  <si>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</si>
  <si>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</si>
  <si>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</si>
  <si>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</si>
  <si>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</si>
  <si>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</si>
  <si>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</si>
  <si>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</si>
  <si>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</si>
  <si>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</si>
  <si>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</si>
  <si>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</si>
  <si>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</si>
  <si>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</si>
  <si>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</si>
  <si>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</si>
  <si>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</si>
  <si>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</si>
  <si>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</si>
  <si>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</si>
  <si>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</si>
  <si>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</si>
  <si>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</si>
  <si>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</si>
  <si>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</si>
  <si>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</si>
  <si>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</si>
  <si>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</si>
  <si>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</si>
  <si>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</si>
  <si>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</si>
  <si>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</si>
  <si>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</si>
  <si>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tumorGroup</t>
  </si>
  <si>
    <t>Tumor group (TBD)</t>
  </si>
  <si>
    <t>TO BE CHECKED . Added tpo group other tumors</t>
  </si>
  <si>
    <t>tumorGroup.vascularTumours</t>
  </si>
  <si>
    <t>tumorGroup.pericyticPerivascularTumours</t>
  </si>
  <si>
    <t>tumorGroup.smoothMuscleTumours</t>
  </si>
  <si>
    <t>tumorGroup.skeletalMuscleTumours</t>
  </si>
  <si>
    <t>tumorGroup.chondroOsseousTumours</t>
  </si>
  <si>
    <t>tumorGroup.peripheralNerveSheathTumours</t>
  </si>
  <si>
    <t>tumorGroup.tumoursOfUncertainDifferentiation</t>
  </si>
  <si>
    <t>tumorGroup.undifSmallRCelSarcBonAndSofTis</t>
  </si>
  <si>
    <t>tumorGroup.miscellaniousMesenchimalTumors</t>
  </si>
  <si>
    <t>tumorGroup.mixedEpithelialAndMesenchymalTumours</t>
  </si>
  <si>
    <t>tumorGroup.endStrAndRelatedTumours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</si>
</sst>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9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xf numFmtId="0" fontId="47" fillId="0" borderId="1" xfId="0" applyFont="1" applyBorder="1"/>
    <xf numFmtId="0" fontId="0" fillId="23" borderId="2" xfId="0" applyFill="1" applyBorder="1"/>
    <xf numFmtId="0" fontId="0" fillId="0" borderId="32" xfId="0" applyBorder="1"/>
    <xf numFmtId="0" fontId="0" fillId="23" borderId="20" xfId="0" applyFill="1" applyBorder="1"/>
    <xf numFmtId="0" fontId="0" fillId="20" borderId="20" xfId="0" applyFill="1" applyBorder="1" applyAlignment="1">
      <alignment wrapText="1"/>
    </xf>
    <xf numFmtId="0" fontId="0" fillId="0" borderId="33" xfId="0" applyBorder="1"/>
    <xf numFmtId="0" fontId="0" fillId="0" borderId="20" xfId="0" applyBorder="1" applyAlignment="1">
      <alignment wrapText="1"/>
    </xf>
    <xf numFmtId="0" fontId="0" fillId="20" borderId="20" xfId="0"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tyles" Target="styles.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onnections" Target="connections.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externalLink" Target="externalLinks/externalLink1.xml"/><Relationship Id="rId86"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10/relationships/person" Target="persons/person.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A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A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F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1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1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6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8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8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A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0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0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2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5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7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9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C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6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8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B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C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C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E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77" t="s">
        <v>1462</v>
      </c>
      <c r="B1" s="178"/>
      <c r="C1" s="178"/>
      <c r="D1" s="178"/>
      <c r="E1" s="178"/>
      <c r="F1" s="178"/>
      <c r="G1" s="178"/>
      <c r="H1" s="178"/>
      <c r="I1" s="178"/>
      <c r="J1" s="178"/>
      <c r="K1" s="178"/>
      <c r="L1" s="178"/>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79" t="s">
        <v>1496</v>
      </c>
      <c r="B10" s="180"/>
      <c r="C10" s="180"/>
      <c r="D10" s="180"/>
      <c r="E10" s="180"/>
      <c r="F10" s="180"/>
      <c r="G10" s="180"/>
      <c r="H10" s="180"/>
      <c r="I10" s="180"/>
      <c r="J10" s="180"/>
      <c r="K10" s="180"/>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81" t="s">
        <v>1538</v>
      </c>
      <c r="B18" s="180"/>
      <c r="C18" s="180"/>
      <c r="D18" s="180"/>
      <c r="E18" s="180"/>
      <c r="F18" s="180"/>
      <c r="G18" s="180"/>
      <c r="H18" s="180"/>
      <c r="I18" s="180"/>
      <c r="J18" s="180"/>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82" t="s">
        <v>23</v>
      </c>
      <c r="B1" s="182"/>
      <c r="C1" s="182"/>
      <c r="D1" s="182"/>
      <c r="E1" s="182"/>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83" t="s">
        <v>120</v>
      </c>
      <c r="E24" s="30" t="s">
        <v>41</v>
      </c>
      <c r="F24" s="30" t="s">
        <v>118</v>
      </c>
      <c r="G24" s="30" t="s">
        <v>48</v>
      </c>
      <c r="H24" s="31" t="s">
        <v>37</v>
      </c>
    </row>
    <row r="25" spans="1:9" ht="42">
      <c r="A25" s="33" t="s">
        <v>121</v>
      </c>
      <c r="B25" s="30" t="s">
        <v>39</v>
      </c>
      <c r="C25" s="183"/>
      <c r="E25" s="30" t="s">
        <v>41</v>
      </c>
      <c r="F25" s="30" t="s">
        <v>118</v>
      </c>
      <c r="G25" s="30" t="s">
        <v>48</v>
      </c>
      <c r="H25" s="31" t="s">
        <v>37</v>
      </c>
      <c r="I25" s="42"/>
    </row>
    <row r="26" spans="1:9" ht="42">
      <c r="A26" s="33" t="s">
        <v>122</v>
      </c>
      <c r="B26" s="30" t="s">
        <v>39</v>
      </c>
      <c r="C26" s="183"/>
      <c r="E26" s="30" t="s">
        <v>41</v>
      </c>
      <c r="F26" s="30" t="s">
        <v>118</v>
      </c>
      <c r="G26" s="30" t="s">
        <v>48</v>
      </c>
      <c r="H26" s="31" t="s">
        <v>37</v>
      </c>
    </row>
    <row r="27" spans="1:9" ht="42">
      <c r="A27" s="33" t="s">
        <v>123</v>
      </c>
      <c r="B27" s="30" t="s">
        <v>39</v>
      </c>
      <c r="C27" s="183"/>
      <c r="E27" s="30" t="s">
        <v>41</v>
      </c>
      <c r="F27" s="30" t="s">
        <v>118</v>
      </c>
      <c r="G27" s="30" t="s">
        <v>48</v>
      </c>
      <c r="H27" s="31" t="s">
        <v>37</v>
      </c>
    </row>
    <row r="28" spans="1:9" ht="42">
      <c r="A28" s="33" t="s">
        <v>124</v>
      </c>
      <c r="B28" s="30" t="s">
        <v>39</v>
      </c>
      <c r="C28" s="183"/>
      <c r="E28" s="30" t="s">
        <v>41</v>
      </c>
      <c r="F28" s="30" t="s">
        <v>118</v>
      </c>
      <c r="G28" s="30" t="s">
        <v>48</v>
      </c>
      <c r="H28" s="31" t="s">
        <v>37</v>
      </c>
    </row>
    <row r="29" spans="1:9" ht="42">
      <c r="A29" s="33" t="s">
        <v>125</v>
      </c>
      <c r="B29" s="30" t="s">
        <v>39</v>
      </c>
      <c r="C29" s="183"/>
      <c r="E29" s="30" t="s">
        <v>41</v>
      </c>
      <c r="F29" s="30" t="s">
        <v>118</v>
      </c>
      <c r="G29" s="30" t="s">
        <v>48</v>
      </c>
      <c r="H29" s="31" t="s">
        <v>37</v>
      </c>
    </row>
    <row r="30" spans="1:9" ht="42">
      <c r="A30" s="33" t="s">
        <v>126</v>
      </c>
      <c r="B30" s="30" t="s">
        <v>39</v>
      </c>
      <c r="C30" s="183"/>
      <c r="E30" s="30" t="s">
        <v>41</v>
      </c>
      <c r="F30" s="30" t="s">
        <v>118</v>
      </c>
      <c r="G30" s="30" t="s">
        <v>48</v>
      </c>
      <c r="H30" s="31" t="s">
        <v>37</v>
      </c>
    </row>
    <row r="31" spans="1:9" ht="42">
      <c r="A31" s="33" t="s">
        <v>127</v>
      </c>
      <c r="B31" s="30" t="s">
        <v>39</v>
      </c>
      <c r="C31" s="183"/>
      <c r="E31" s="30" t="s">
        <v>41</v>
      </c>
      <c r="F31" s="30" t="s">
        <v>118</v>
      </c>
      <c r="G31" s="30" t="s">
        <v>48</v>
      </c>
      <c r="H31" s="31" t="s">
        <v>37</v>
      </c>
    </row>
    <row r="32" spans="1:9" ht="42">
      <c r="A32" s="33" t="s">
        <v>128</v>
      </c>
      <c r="B32" s="30" t="s">
        <v>39</v>
      </c>
      <c r="C32" s="183"/>
      <c r="E32" s="30" t="s">
        <v>41</v>
      </c>
      <c r="F32" s="30" t="s">
        <v>118</v>
      </c>
      <c r="G32" s="30" t="s">
        <v>48</v>
      </c>
      <c r="H32" s="31" t="s">
        <v>37</v>
      </c>
    </row>
    <row r="33" spans="1:9" ht="42">
      <c r="A33" s="33" t="s">
        <v>129</v>
      </c>
      <c r="B33" s="30" t="s">
        <v>39</v>
      </c>
      <c r="C33" s="183"/>
      <c r="E33" s="30" t="s">
        <v>41</v>
      </c>
      <c r="F33" s="30" t="s">
        <v>118</v>
      </c>
      <c r="G33" s="30" t="s">
        <v>48</v>
      </c>
      <c r="H33" s="31" t="s">
        <v>37</v>
      </c>
    </row>
    <row r="34" spans="1:9" ht="42">
      <c r="A34" s="33" t="s">
        <v>130</v>
      </c>
      <c r="B34" s="30" t="s">
        <v>39</v>
      </c>
      <c r="C34" s="183"/>
      <c r="E34" s="30" t="s">
        <v>41</v>
      </c>
      <c r="F34" s="30" t="s">
        <v>118</v>
      </c>
      <c r="G34" s="30" t="s">
        <v>48</v>
      </c>
      <c r="H34" s="31" t="s">
        <v>37</v>
      </c>
    </row>
    <row r="35" spans="1:9" ht="42">
      <c r="A35" s="33" t="s">
        <v>131</v>
      </c>
      <c r="B35" s="30" t="s">
        <v>39</v>
      </c>
      <c r="C35" s="183"/>
      <c r="E35" s="30" t="s">
        <v>41</v>
      </c>
      <c r="F35" s="30" t="s">
        <v>118</v>
      </c>
      <c r="G35" s="30" t="s">
        <v>48</v>
      </c>
      <c r="H35" s="31" t="s">
        <v>37</v>
      </c>
    </row>
    <row r="36" spans="1:9" ht="42">
      <c r="A36" s="33" t="s">
        <v>132</v>
      </c>
      <c r="B36" s="30" t="s">
        <v>39</v>
      </c>
      <c r="C36" s="183"/>
      <c r="E36" s="30" t="s">
        <v>41</v>
      </c>
      <c r="F36" s="30" t="s">
        <v>118</v>
      </c>
      <c r="G36" s="30" t="s">
        <v>48</v>
      </c>
      <c r="H36" s="31" t="s">
        <v>37</v>
      </c>
    </row>
    <row r="37" spans="1:9" ht="42">
      <c r="A37" s="33" t="s">
        <v>133</v>
      </c>
      <c r="B37" s="30" t="s">
        <v>39</v>
      </c>
      <c r="C37" s="183"/>
      <c r="E37" s="30" t="s">
        <v>41</v>
      </c>
      <c r="F37" s="30" t="s">
        <v>118</v>
      </c>
      <c r="G37" s="30" t="s">
        <v>48</v>
      </c>
      <c r="H37" s="31" t="s">
        <v>37</v>
      </c>
    </row>
    <row r="38" spans="1:9" ht="42">
      <c r="A38" s="33" t="s">
        <v>134</v>
      </c>
      <c r="B38" s="30" t="s">
        <v>39</v>
      </c>
      <c r="C38" s="183"/>
      <c r="E38" s="30" t="s">
        <v>41</v>
      </c>
      <c r="F38" s="30" t="s">
        <v>118</v>
      </c>
      <c r="G38" s="30" t="s">
        <v>48</v>
      </c>
      <c r="H38" s="31" t="s">
        <v>37</v>
      </c>
    </row>
    <row r="39" spans="1:9" ht="42">
      <c r="A39" s="33" t="s">
        <v>135</v>
      </c>
      <c r="B39" s="30" t="s">
        <v>39</v>
      </c>
      <c r="C39" s="183"/>
      <c r="E39" s="30" t="s">
        <v>41</v>
      </c>
      <c r="F39" s="30" t="s">
        <v>118</v>
      </c>
      <c r="G39" s="30" t="s">
        <v>48</v>
      </c>
      <c r="H39" s="31" t="s">
        <v>37</v>
      </c>
    </row>
    <row r="40" spans="1:9" ht="42">
      <c r="A40" s="33" t="s">
        <v>136</v>
      </c>
      <c r="B40" s="30" t="s">
        <v>39</v>
      </c>
      <c r="C40" s="183"/>
      <c r="E40" s="30" t="s">
        <v>41</v>
      </c>
      <c r="F40" s="30" t="s">
        <v>118</v>
      </c>
      <c r="G40" s="30" t="s">
        <v>48</v>
      </c>
      <c r="H40" s="31" t="s">
        <v>37</v>
      </c>
    </row>
    <row r="41" spans="1:9" ht="42">
      <c r="A41" s="33" t="s">
        <v>137</v>
      </c>
      <c r="B41" s="30" t="s">
        <v>39</v>
      </c>
      <c r="C41" s="183"/>
      <c r="E41" s="30" t="s">
        <v>41</v>
      </c>
      <c r="F41" s="30" t="s">
        <v>118</v>
      </c>
      <c r="G41" s="30" t="s">
        <v>48</v>
      </c>
      <c r="H41" s="31" t="s">
        <v>37</v>
      </c>
    </row>
    <row r="42" spans="1:9" ht="42">
      <c r="A42" s="33" t="s">
        <v>138</v>
      </c>
      <c r="B42" s="30" t="s">
        <v>39</v>
      </c>
      <c r="C42" s="183"/>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1760</v>
      </c>
      <c r="B1" s="100" t="s">
        <v>1759</v>
      </c>
      <c r="C1" s="100" t="s">
        <v>1758</v>
      </c>
      <c r="D1" s="100" t="s">
        <v>4</v>
      </c>
      <c r="E1" s="100" t="s">
        <v>7</v>
      </c>
      <c r="F1" s="100" t="s">
        <v>1469</v>
      </c>
      <c r="G1" s="100" t="s">
        <v>1757</v>
      </c>
      <c r="H1" s="100" t="s">
        <v>5</v>
      </c>
      <c r="I1" s="100" t="s">
        <v>6</v>
      </c>
    </row>
    <row r="2" spans="1:11">
      <c r="A2">
        <v>0</v>
      </c>
      <c r="B2" t="s">
        <v>1756</v>
      </c>
      <c r="C2" t="s">
        <v>14</v>
      </c>
      <c r="D2" t="s">
        <v>1755</v>
      </c>
      <c r="E2" t="s">
        <v>1754</v>
      </c>
      <c r="F2" t="s">
        <v>1753</v>
      </c>
      <c r="H2">
        <v>1</v>
      </c>
      <c r="I2">
        <v>1</v>
      </c>
      <c r="K2" s="112"/>
    </row>
    <row r="3" spans="1:11">
      <c r="A3">
        <v>1</v>
      </c>
      <c r="B3" t="s">
        <v>1752</v>
      </c>
      <c r="C3" t="s">
        <v>1472</v>
      </c>
      <c r="D3" t="s">
        <v>1475</v>
      </c>
      <c r="E3" t="s">
        <v>209</v>
      </c>
      <c r="F3" t="s">
        <v>213</v>
      </c>
      <c r="H3">
        <v>1</v>
      </c>
      <c r="I3">
        <v>1</v>
      </c>
    </row>
    <row r="4" spans="1:11">
      <c r="A4">
        <v>2</v>
      </c>
      <c r="B4" t="s">
        <v>1751</v>
      </c>
      <c r="C4" t="s">
        <v>1479</v>
      </c>
      <c r="D4" t="s">
        <v>1750</v>
      </c>
      <c r="E4" t="s">
        <v>1749</v>
      </c>
      <c r="F4" t="s">
        <v>1748</v>
      </c>
      <c r="H4">
        <v>1</v>
      </c>
      <c r="I4">
        <v>1</v>
      </c>
    </row>
    <row r="5" spans="1:11">
      <c r="A5">
        <v>3</v>
      </c>
      <c r="B5" t="s">
        <v>1747</v>
      </c>
      <c r="C5" t="s">
        <v>1483</v>
      </c>
      <c r="D5" t="s">
        <v>1484</v>
      </c>
      <c r="E5" t="s">
        <v>1485</v>
      </c>
      <c r="F5" t="s">
        <v>1488</v>
      </c>
      <c r="H5">
        <v>1</v>
      </c>
      <c r="I5">
        <v>1</v>
      </c>
    </row>
    <row r="6" spans="1:11">
      <c r="A6">
        <v>4</v>
      </c>
      <c r="B6" t="s">
        <v>1746</v>
      </c>
      <c r="C6" t="s">
        <v>1745</v>
      </c>
      <c r="D6" t="s">
        <v>1744</v>
      </c>
      <c r="E6" t="s">
        <v>275</v>
      </c>
      <c r="F6" t="s">
        <v>1743</v>
      </c>
      <c r="G6" t="s">
        <v>1743</v>
      </c>
      <c r="H6">
        <v>0</v>
      </c>
      <c r="I6">
        <v>1</v>
      </c>
    </row>
    <row r="7" spans="1:11">
      <c r="A7">
        <v>5</v>
      </c>
      <c r="B7" t="s">
        <v>1742</v>
      </c>
      <c r="C7" t="s">
        <v>1489</v>
      </c>
      <c r="D7" t="s">
        <v>1491</v>
      </c>
      <c r="E7" t="s">
        <v>275</v>
      </c>
      <c r="F7" t="s">
        <v>1741</v>
      </c>
      <c r="G7" t="s">
        <v>1740</v>
      </c>
      <c r="H7">
        <v>1</v>
      </c>
      <c r="I7">
        <v>1</v>
      </c>
    </row>
    <row r="8" spans="1:11">
      <c r="A8">
        <v>7</v>
      </c>
      <c r="B8" t="s">
        <v>1739</v>
      </c>
      <c r="C8" t="s">
        <v>1499</v>
      </c>
      <c r="D8" t="s">
        <v>1500</v>
      </c>
      <c r="E8" t="s">
        <v>185</v>
      </c>
      <c r="F8" t="s">
        <v>1738</v>
      </c>
      <c r="G8" t="s">
        <v>1737</v>
      </c>
      <c r="H8">
        <v>1</v>
      </c>
      <c r="I8">
        <v>1</v>
      </c>
    </row>
    <row r="9" spans="1:11">
      <c r="A9">
        <v>8</v>
      </c>
      <c r="B9" t="s">
        <v>1736</v>
      </c>
      <c r="C9" t="s">
        <v>1505</v>
      </c>
      <c r="D9" t="s">
        <v>1506</v>
      </c>
      <c r="E9" t="s">
        <v>185</v>
      </c>
      <c r="F9" t="s">
        <v>1735</v>
      </c>
      <c r="G9" t="s">
        <v>1734</v>
      </c>
      <c r="H9">
        <v>1</v>
      </c>
      <c r="I9">
        <v>1</v>
      </c>
    </row>
    <row r="10" spans="1:11">
      <c r="A10">
        <v>9</v>
      </c>
      <c r="B10" t="s">
        <v>1733</v>
      </c>
      <c r="C10" t="s">
        <v>1511</v>
      </c>
      <c r="D10" t="s">
        <v>1512</v>
      </c>
      <c r="E10" t="s">
        <v>185</v>
      </c>
      <c r="F10" t="s">
        <v>1732</v>
      </c>
      <c r="G10" t="s">
        <v>1731</v>
      </c>
      <c r="H10">
        <v>1</v>
      </c>
      <c r="I10">
        <v>1</v>
      </c>
    </row>
    <row r="11" spans="1:11">
      <c r="A11">
        <v>10</v>
      </c>
      <c r="B11" t="s">
        <v>1730</v>
      </c>
      <c r="C11" t="s">
        <v>1517</v>
      </c>
      <c r="D11" t="s">
        <v>1518</v>
      </c>
      <c r="E11" t="s">
        <v>185</v>
      </c>
      <c r="F11" t="s">
        <v>1729</v>
      </c>
      <c r="G11" t="s">
        <v>1728</v>
      </c>
      <c r="H11">
        <v>1</v>
      </c>
      <c r="I11">
        <v>1</v>
      </c>
    </row>
    <row r="12" spans="1:11">
      <c r="A12">
        <v>11</v>
      </c>
      <c r="B12" t="s">
        <v>1727</v>
      </c>
      <c r="C12" t="s">
        <v>1523</v>
      </c>
      <c r="D12" t="s">
        <v>1524</v>
      </c>
      <c r="E12" t="s">
        <v>185</v>
      </c>
      <c r="F12" t="s">
        <v>1726</v>
      </c>
      <c r="G12" t="s">
        <v>1725</v>
      </c>
      <c r="H12">
        <v>1</v>
      </c>
      <c r="I12">
        <v>1</v>
      </c>
    </row>
    <row r="13" spans="1:11">
      <c r="A13">
        <v>13</v>
      </c>
      <c r="B13" t="s">
        <v>1724</v>
      </c>
      <c r="C13" t="s">
        <v>1539</v>
      </c>
      <c r="D13" t="s">
        <v>1541</v>
      </c>
      <c r="E13" t="s">
        <v>185</v>
      </c>
      <c r="F13" t="s">
        <v>1723</v>
      </c>
      <c r="G13" t="s">
        <v>1722</v>
      </c>
      <c r="H13">
        <v>1</v>
      </c>
      <c r="I13">
        <v>1</v>
      </c>
    </row>
    <row r="14" spans="1:11">
      <c r="A14">
        <v>14</v>
      </c>
      <c r="B14" t="s">
        <v>1721</v>
      </c>
      <c r="C14" t="s">
        <v>1545</v>
      </c>
      <c r="D14" t="s">
        <v>1546</v>
      </c>
      <c r="E14" t="s">
        <v>185</v>
      </c>
      <c r="F14" t="s">
        <v>1720</v>
      </c>
      <c r="G14" t="s">
        <v>1719</v>
      </c>
      <c r="H14">
        <v>1</v>
      </c>
      <c r="I14">
        <v>1</v>
      </c>
    </row>
    <row r="15" spans="1:11">
      <c r="A15">
        <v>15</v>
      </c>
      <c r="B15" t="s">
        <v>1718</v>
      </c>
      <c r="C15" t="s">
        <v>1548</v>
      </c>
      <c r="D15" t="s">
        <v>1549</v>
      </c>
      <c r="E15" t="s">
        <v>185</v>
      </c>
      <c r="F15" t="s">
        <v>1717</v>
      </c>
      <c r="G15" t="s">
        <v>1716</v>
      </c>
      <c r="H15">
        <v>1</v>
      </c>
      <c r="I15">
        <v>1</v>
      </c>
    </row>
    <row r="16" spans="1:11">
      <c r="A16">
        <v>16</v>
      </c>
      <c r="B16" t="s">
        <v>1715</v>
      </c>
      <c r="C16" t="s">
        <v>1551</v>
      </c>
      <c r="D16" t="s">
        <v>1552</v>
      </c>
      <c r="E16" t="s">
        <v>185</v>
      </c>
      <c r="F16" t="s">
        <v>1714</v>
      </c>
      <c r="G16" t="s">
        <v>1713</v>
      </c>
      <c r="H16">
        <v>1</v>
      </c>
      <c r="I16">
        <v>1</v>
      </c>
    </row>
    <row r="17" spans="1:9">
      <c r="A17">
        <v>17</v>
      </c>
      <c r="B17" t="s">
        <v>1712</v>
      </c>
      <c r="C17" t="s">
        <v>1554</v>
      </c>
      <c r="D17" t="s">
        <v>1555</v>
      </c>
      <c r="E17" t="s">
        <v>185</v>
      </c>
      <c r="F17" t="s">
        <v>1711</v>
      </c>
      <c r="G17" t="s">
        <v>1710</v>
      </c>
      <c r="H17">
        <v>1</v>
      </c>
      <c r="I17">
        <v>1</v>
      </c>
    </row>
    <row r="18" spans="1:9">
      <c r="A18">
        <v>18</v>
      </c>
      <c r="B18" t="s">
        <v>1709</v>
      </c>
      <c r="C18" t="s">
        <v>1557</v>
      </c>
      <c r="D18" t="s">
        <v>1558</v>
      </c>
      <c r="E18" t="s">
        <v>185</v>
      </c>
      <c r="F18" t="s">
        <v>1559</v>
      </c>
      <c r="G18" t="s">
        <v>1708</v>
      </c>
      <c r="H18">
        <v>1</v>
      </c>
      <c r="I18">
        <v>1</v>
      </c>
    </row>
    <row r="19" spans="1:9">
      <c r="A19">
        <v>19</v>
      </c>
      <c r="B19" t="s">
        <v>1707</v>
      </c>
      <c r="C19" t="s">
        <v>1560</v>
      </c>
      <c r="D19" t="s">
        <v>1561</v>
      </c>
      <c r="E19" t="s">
        <v>185</v>
      </c>
      <c r="F19" t="s">
        <v>1562</v>
      </c>
      <c r="G19" t="s">
        <v>1706</v>
      </c>
      <c r="H19">
        <v>1</v>
      </c>
      <c r="I19">
        <v>1</v>
      </c>
    </row>
    <row r="20" spans="1:9">
      <c r="A20">
        <v>20</v>
      </c>
      <c r="B20" t="s">
        <v>1705</v>
      </c>
      <c r="C20" t="s">
        <v>1563</v>
      </c>
      <c r="D20" t="s">
        <v>1564</v>
      </c>
      <c r="E20" t="s">
        <v>185</v>
      </c>
      <c r="F20" t="s">
        <v>1566</v>
      </c>
      <c r="G20" t="s">
        <v>1702</v>
      </c>
      <c r="H20">
        <v>0</v>
      </c>
      <c r="I20">
        <v>1</v>
      </c>
    </row>
    <row r="21" spans="1:9">
      <c r="A21">
        <v>21</v>
      </c>
      <c r="B21" t="s">
        <v>1704</v>
      </c>
      <c r="C21" t="s">
        <v>1574</v>
      </c>
      <c r="D21" t="s">
        <v>1575</v>
      </c>
      <c r="E21" t="s">
        <v>185</v>
      </c>
      <c r="F21" t="s">
        <v>1577</v>
      </c>
      <c r="G21" t="s">
        <v>1702</v>
      </c>
      <c r="H21">
        <v>0</v>
      </c>
      <c r="I21">
        <v>1</v>
      </c>
    </row>
    <row r="22" spans="1:9">
      <c r="A22">
        <v>22</v>
      </c>
      <c r="B22" t="s">
        <v>1703</v>
      </c>
      <c r="C22" t="s">
        <v>1600</v>
      </c>
      <c r="D22" t="s">
        <v>1601</v>
      </c>
      <c r="E22" t="s">
        <v>185</v>
      </c>
      <c r="F22" t="s">
        <v>1585</v>
      </c>
      <c r="G22" t="s">
        <v>1702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75"/>
  <sheetViews>
    <sheetView zoomScale="85" zoomScaleNormal="85" workbookViewId="0">
      <selection activeCell="E24" sqref="E24"/>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1766</v>
      </c>
      <c r="J4" s="16" t="str">
        <f>CONCATENATE("Logical: ",B4)</f>
        <v>Logical: CancerEpisodeI4rc</v>
      </c>
    </row>
    <row r="5" spans="1:12">
      <c r="A5" s="14" t="s">
        <v>16</v>
      </c>
      <c r="B5" s="46" t="s">
        <v>1767</v>
      </c>
      <c r="J5" s="16" t="str">
        <f>CONCATENATE("Id: ",B5)</f>
        <v>Id: CancerEpisode</v>
      </c>
    </row>
    <row r="6" spans="1:12">
      <c r="A6" s="14" t="s">
        <v>10</v>
      </c>
      <c r="B6" s="47" t="s">
        <v>1862</v>
      </c>
      <c r="J6" s="17" t="str">
        <f>CONCATENATE("Title: ##34#",B6,"##34#")</f>
        <v>Title: ##34#Cancer  Episode##34#</v>
      </c>
    </row>
    <row r="7" spans="1:12" ht="30.25" thickBot="1">
      <c r="A7" s="26" t="s">
        <v>2</v>
      </c>
      <c r="B7" s="48" t="s">
        <v>1768</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1783</v>
      </c>
      <c r="C8" s="12" t="s">
        <v>14</v>
      </c>
      <c r="D8" s="12" t="s">
        <v>1755</v>
      </c>
      <c r="E8" s="11">
        <v>1</v>
      </c>
      <c r="F8" s="11">
        <v>1</v>
      </c>
      <c r="G8" s="113" t="s">
        <v>1761</v>
      </c>
      <c r="I8" s="25"/>
      <c r="J8" s="12" t="str">
        <f t="shared" ref="J8"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c>
    </row>
    <row r="9" spans="1:12" ht="44.25">
      <c r="A9" s="11">
        <v>1</v>
      </c>
      <c r="B9" s="109" t="s">
        <v>1784</v>
      </c>
      <c r="C9" s="12" t="s">
        <v>1472</v>
      </c>
      <c r="D9" s="12" t="s">
        <v>1475</v>
      </c>
      <c r="E9" s="11">
        <v>1</v>
      </c>
      <c r="F9" s="11">
        <v>1</v>
      </c>
      <c r="G9" s="108" t="s">
        <v>156</v>
      </c>
      <c r="I9" s="25"/>
      <c r="J9" s="12" t="str">
        <f t="shared" ref="J9:J62" si="1">CONCATENATE("* ",B9, " ",E9,"..",F9," ",G9," ##34#",C9,"##34# ##334#",D9,"##334#")</f>
        <v>* dateOfDiagnosis 1..1 date ##34#Date of diagnosis (biopsy or surgical piece)##34# ##334#Date of the procedure from which the specimen was obtained that allowed the histological diagnosis.##334#</v>
      </c>
      <c r="L9" s="12" t="str">
        <f t="shared" ref="L9:L62" si="2">IF(H9="",IF(J9="*  ..  ##34###34# ##334###334#",J9,""),IF(J9="*  ..  ##34###34# ##334###334#",J9,CONCATENATE("* ",B9," ^comment = ##334#",H9,"##334#")))</f>
        <v/>
      </c>
    </row>
    <row r="10" spans="1:12" ht="177">
      <c r="A10" s="11">
        <v>2</v>
      </c>
      <c r="B10" t="s">
        <v>2448</v>
      </c>
      <c r="C10" t="s">
        <v>2449</v>
      </c>
      <c r="D10" s="2" t="s">
        <v>2450</v>
      </c>
      <c r="E10" s="11">
        <v>1</v>
      </c>
      <c r="F10" s="11">
        <v>1</v>
      </c>
      <c r="G10" s="12" t="s">
        <v>1764</v>
      </c>
      <c r="H10" s="2" t="s">
        <v>2542</v>
      </c>
      <c r="I10" s="25"/>
      <c r="J10" s="12" t="str">
        <f t="shared" si="1"/>
        <v>* typeOfBiopsy 1..1 CodeableConcept ##34#Type of biopsy##34# ##334#Type of biopsy performed##334#</v>
      </c>
      <c r="L10" s="12" t="str">
        <f t="shared" si="2"/>
        <v>* typeOfBiopsy ^comment = ##334#FNA
core-trcut
incisional
excisional
unplanned excision
Fine needle biopsy - 4171863
Core needle biopsy - 4321878
Incisional biopsy - 4321986
Excisional biopsy - 4228202
Excision - 4279903
##334#</v>
      </c>
    </row>
    <row r="11" spans="1:12" ht="44.25">
      <c r="A11" s="11">
        <v>3</v>
      </c>
      <c r="B11" s="107" t="s">
        <v>1785</v>
      </c>
      <c r="C11" s="12" t="s">
        <v>1479</v>
      </c>
      <c r="D11" s="12" t="s">
        <v>1750</v>
      </c>
      <c r="E11" s="11">
        <v>1</v>
      </c>
      <c r="F11" s="11">
        <v>1</v>
      </c>
      <c r="G11" s="108" t="s">
        <v>1764</v>
      </c>
      <c r="I11" s="25"/>
      <c r="J11" s="12" t="str">
        <f t="shared" si="1"/>
        <v>* biopsyDoneBy 1..1 CodeableConcept ##34#Biopsy done by##34# ##334#Describes the institution where diagnostic procedure was performed##334#</v>
      </c>
      <c r="L11" s="12" t="str">
        <f t="shared" si="2"/>
        <v/>
      </c>
    </row>
    <row r="12" spans="1:12" ht="29.5">
      <c r="A12" s="11">
        <v>4</v>
      </c>
      <c r="B12" s="107" t="s">
        <v>1786</v>
      </c>
      <c r="C12" s="12" t="s">
        <v>1483</v>
      </c>
      <c r="D12" s="12" t="s">
        <v>1484</v>
      </c>
      <c r="E12" s="11">
        <v>1</v>
      </c>
      <c r="F12" s="11">
        <v>1</v>
      </c>
      <c r="G12" s="108" t="s">
        <v>1762</v>
      </c>
      <c r="I12" s="25"/>
      <c r="J12" s="12" t="str">
        <f t="shared" si="1"/>
        <v>* ageAtDiagnosis 1..1 integer  ##34#Age at diagnosis##34# ##334#Age of the patient at the time of the diagnosis.##334#</v>
      </c>
      <c r="L12" s="12" t="str">
        <f t="shared" si="2"/>
        <v/>
      </c>
    </row>
    <row r="13" spans="1:12" ht="73.75">
      <c r="A13" s="11">
        <v>5</v>
      </c>
      <c r="B13" t="s">
        <v>2451</v>
      </c>
      <c r="C13" t="s">
        <v>2452</v>
      </c>
      <c r="D13" s="2" t="s">
        <v>2453</v>
      </c>
      <c r="E13" s="11">
        <v>1</v>
      </c>
      <c r="F13" s="11">
        <v>1</v>
      </c>
      <c r="G13" s="12" t="s">
        <v>157</v>
      </c>
      <c r="H13" s="2" t="s">
        <v>2543</v>
      </c>
      <c r="I13" s="25"/>
      <c r="J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L13" s="12" t="str">
        <f t="shared" si="2"/>
        <v>* radiotherapyInducedSarcoma ^comment = ##334#Radiation therapy induced change
Radiation therapy induced change - 37117814
##334#</v>
      </c>
    </row>
    <row r="14" spans="1:12" ht="147.5">
      <c r="A14" s="11">
        <v>6</v>
      </c>
      <c r="B14" s="107" t="s">
        <v>1787</v>
      </c>
      <c r="C14" s="12" t="s">
        <v>1745</v>
      </c>
      <c r="D14" s="12" t="s">
        <v>1744</v>
      </c>
      <c r="E14" s="11">
        <v>0</v>
      </c>
      <c r="F14" s="11">
        <v>1</v>
      </c>
      <c r="G14" s="108" t="s">
        <v>1764</v>
      </c>
      <c r="H14" s="2" t="s">
        <v>2544</v>
      </c>
      <c r="I14" s="25"/>
      <c r="J14" s="12" t="str">
        <f t="shared" si="1"/>
        <v>* grading 0..1 CodeableConcept ##34#Grading##34# ##334#Grading of the cancer##334#</v>
      </c>
      <c r="L14" s="12" t="str">
        <f t="shared" si="2"/>
        <v>* grading ^comment = ##334#1
2
3
high
low
Grade-1 - 1634371
Grade-2 - 1634752
Grade-3 - 1633749
Grade-H - 1635587
Grade-L - 1634085##334#</v>
      </c>
    </row>
    <row r="15" spans="1:12" s="102" customFormat="1" ht="29.5">
      <c r="A15" s="11">
        <v>7</v>
      </c>
      <c r="B15" s="6" t="s">
        <v>1788</v>
      </c>
      <c r="C15" s="4" t="s">
        <v>1763</v>
      </c>
      <c r="D15" s="4" t="s">
        <v>1763</v>
      </c>
      <c r="E15" s="6">
        <v>1</v>
      </c>
      <c r="F15" s="6">
        <v>1</v>
      </c>
      <c r="G15" s="4" t="s">
        <v>1</v>
      </c>
      <c r="H15" s="4" t="s">
        <v>2545</v>
      </c>
      <c r="I15" s="115"/>
      <c r="J15" s="12" t="str">
        <f t="shared" si="1"/>
        <v>* histologySubGroup 1..1 BackboneElement ##34#Histology Subgroups##34# ##334#Histology Subgroups##334#</v>
      </c>
      <c r="K15"/>
      <c r="L15" s="12" t="str">
        <f t="shared" si="2"/>
        <v>* histologySubGroup ^comment = ##334#Added to the model for grouping elements##334#</v>
      </c>
    </row>
    <row r="16" spans="1:12" s="2" customFormat="1" ht="409.5">
      <c r="A16" s="11">
        <v>8</v>
      </c>
      <c r="B16" s="109" t="s">
        <v>1789</v>
      </c>
      <c r="C16" s="12" t="s">
        <v>1499</v>
      </c>
      <c r="D16" s="12" t="s">
        <v>1500</v>
      </c>
      <c r="E16" s="116">
        <v>1</v>
      </c>
      <c r="F16" s="11">
        <v>1</v>
      </c>
      <c r="G16" s="114" t="s">
        <v>1764</v>
      </c>
      <c r="H16" s="2" t="s">
        <v>2523</v>
      </c>
      <c r="I16" s="25"/>
      <c r="J16" s="12" t="str">
        <f t="shared" si="1"/>
        <v>* histologySubGroup.histologySquamous 1..1 CodeableConcept ##34#Histology Squamous##34# ##334#Specifies the histological subgroup for squamous cancers##334#</v>
      </c>
      <c r="K16"/>
      <c r="L16" s="12" t="str">
        <f t="shared" si="2"/>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7" spans="1:12" s="2" customFormat="1" ht="409.5">
      <c r="A17" s="11">
        <v>9</v>
      </c>
      <c r="B17" s="109" t="s">
        <v>1790</v>
      </c>
      <c r="C17" s="12" t="s">
        <v>1505</v>
      </c>
      <c r="D17" s="12" t="s">
        <v>1506</v>
      </c>
      <c r="E17" s="116">
        <v>1</v>
      </c>
      <c r="F17" s="11">
        <v>1</v>
      </c>
      <c r="G17" s="114" t="s">
        <v>1764</v>
      </c>
      <c r="H17" s="2" t="s">
        <v>2524</v>
      </c>
      <c r="I17" s="25"/>
      <c r="J17" s="12" t="str">
        <f t="shared" si="1"/>
        <v>* histologySubGroup.histologyAdenocarcinoma 1..1 CodeableConcept ##34#Histology Adenocarcinoma##34# ##334#Specifies the histological subgroup for adenocarcinomas##334#</v>
      </c>
      <c r="K17"/>
      <c r="L17" s="12" t="str">
        <f t="shared" si="2"/>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8" spans="1:12" s="2" customFormat="1" ht="250.75">
      <c r="A18" s="11">
        <v>10</v>
      </c>
      <c r="B18" s="109" t="s">
        <v>1791</v>
      </c>
      <c r="C18" s="12" t="s">
        <v>1511</v>
      </c>
      <c r="D18" s="12" t="s">
        <v>1512</v>
      </c>
      <c r="E18" s="116">
        <v>1</v>
      </c>
      <c r="F18" s="11">
        <v>1</v>
      </c>
      <c r="G18" s="114" t="s">
        <v>1764</v>
      </c>
      <c r="H18" s="2" t="s">
        <v>2525</v>
      </c>
      <c r="I18" s="25"/>
      <c r="J18" s="12" t="str">
        <f t="shared" si="1"/>
        <v>* histologySubGroup.histologyNeuroendocrine 1..1 CodeableConcept ##34#Histology Neuroendocrine##34# ##334#Specifies the histological subgroup for neuroendocrine cancers ##334#</v>
      </c>
      <c r="K18"/>
      <c r="L18" s="12" t="str">
        <f t="shared" si="2"/>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9" spans="1:12" s="2" customFormat="1" ht="295">
      <c r="A19" s="11">
        <v>11</v>
      </c>
      <c r="B19" s="109" t="s">
        <v>1792</v>
      </c>
      <c r="C19" s="12" t="s">
        <v>1517</v>
      </c>
      <c r="D19" s="12" t="s">
        <v>1518</v>
      </c>
      <c r="E19" s="116">
        <v>1</v>
      </c>
      <c r="F19" s="11">
        <v>1</v>
      </c>
      <c r="G19" s="114" t="s">
        <v>1764</v>
      </c>
      <c r="H19" s="2" t="s">
        <v>2526</v>
      </c>
      <c r="I19" s="25"/>
      <c r="J19" s="12" t="str">
        <f t="shared" si="1"/>
        <v>* histologySubGroup.histologyOdontogenicCarcinoma 1..1 CodeableConcept ##34#Histology Odontogenic Carcinoma##34# ##334#Specifies the histological subgroup for odontogenic carcinomas##334#</v>
      </c>
      <c r="K19"/>
      <c r="L19" s="12" t="str">
        <f t="shared" si="2"/>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20" spans="1:12" s="2" customFormat="1" ht="103.25">
      <c r="A20" s="11">
        <v>12</v>
      </c>
      <c r="B20" s="109" t="s">
        <v>1793</v>
      </c>
      <c r="C20" s="12" t="s">
        <v>1523</v>
      </c>
      <c r="D20" s="12" t="s">
        <v>1524</v>
      </c>
      <c r="E20" s="116">
        <v>1</v>
      </c>
      <c r="F20" s="11">
        <v>1</v>
      </c>
      <c r="G20" s="114" t="s">
        <v>1764</v>
      </c>
      <c r="H20" s="2" t="s">
        <v>2527</v>
      </c>
      <c r="I20" s="25"/>
      <c r="J20" s="12" t="str">
        <f t="shared" si="1"/>
        <v>* histologySubGroup.histologySNUC 1..1 CodeableConcept ##34#Histology Sinonasal undifferentiated carcinoma##34# ##334#Specifies the histological subgroup for sinonasl undifferentiated carcinomas##334#</v>
      </c>
      <c r="K20"/>
      <c r="L20" s="12" t="str">
        <f t="shared" si="2"/>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21" spans="1:12" s="2" customFormat="1" ht="206.5">
      <c r="A21" s="11">
        <v>13</v>
      </c>
      <c r="B21" t="s">
        <v>2487</v>
      </c>
      <c r="C21" t="s">
        <v>2454</v>
      </c>
      <c r="D21" s="2" t="s">
        <v>2455</v>
      </c>
      <c r="E21" s="116">
        <v>1</v>
      </c>
      <c r="F21" s="11">
        <v>1</v>
      </c>
      <c r="G21" s="12" t="s">
        <v>1764</v>
      </c>
      <c r="H21" s="2" t="s">
        <v>2528</v>
      </c>
      <c r="I21" s="25"/>
      <c r="J21" s="12" t="str">
        <f t="shared" si="1"/>
        <v>* histologySubgroup.adipocyticTumours 1..1 CodeableConcept ##34#Histology subgroup Adipocytic tumours##34# ##334#Specifies the histological subgroup for adipocytic tumours##334#</v>
      </c>
      <c r="K21"/>
      <c r="L21" s="12" t="str">
        <f t="shared" si="2"/>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22" spans="1:12" s="2" customFormat="1" ht="409.5">
      <c r="A22" s="11">
        <v>14</v>
      </c>
      <c r="B22" t="s">
        <v>2488</v>
      </c>
      <c r="C22" t="s">
        <v>2456</v>
      </c>
      <c r="D22" t="s">
        <v>2456</v>
      </c>
      <c r="E22" s="116">
        <v>1</v>
      </c>
      <c r="F22" s="11">
        <v>1</v>
      </c>
      <c r="G22" s="12" t="s">
        <v>1764</v>
      </c>
      <c r="H22" s="2" t="s">
        <v>2529</v>
      </c>
      <c r="I22" s="25"/>
      <c r="J22" s="12" t="str">
        <f t="shared" si="1"/>
        <v>* histologySubgroup.fmtTumours 1..1 CodeableConcept ##34#Histology subgroup Fibroblastic and myofibroblastic tumours##34# ##334#Histology subgroup Fibroblastic and myofibroblastic tumours##334#</v>
      </c>
      <c r="K22"/>
      <c r="L22" s="12" t="str">
        <f t="shared" si="2"/>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23" spans="1:12" s="2" customFormat="1" ht="162.25">
      <c r="A23" s="11">
        <v>15</v>
      </c>
      <c r="B23" t="s">
        <v>2489</v>
      </c>
      <c r="C23" t="s">
        <v>2457</v>
      </c>
      <c r="D23" t="s">
        <v>2457</v>
      </c>
      <c r="E23" s="116">
        <v>1</v>
      </c>
      <c r="F23" s="11">
        <v>1</v>
      </c>
      <c r="G23" s="12" t="s">
        <v>1764</v>
      </c>
      <c r="H23" s="2" t="s">
        <v>2530</v>
      </c>
      <c r="I23" s="25"/>
      <c r="J23" s="12" t="str">
        <f t="shared" si="1"/>
        <v>* histologySubgroup.socalledFibrohistiocyticTumours 1..1 CodeableConcept ##34#Histology subgroup So-called fibrohistiocytic tumours
##34# ##334#Histology subgroup So-called fibrohistiocytic tumours
##334#</v>
      </c>
      <c r="K23"/>
      <c r="L23" s="12" t="str">
        <f t="shared" si="2"/>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24" spans="1:12" s="2" customFormat="1" ht="29.5">
      <c r="A24" s="6"/>
      <c r="B24" s="73" t="s">
        <v>2546</v>
      </c>
      <c r="C24" s="73" t="s">
        <v>2547</v>
      </c>
      <c r="D24" s="73" t="s">
        <v>2547</v>
      </c>
      <c r="E24" s="6">
        <v>1</v>
      </c>
      <c r="F24" s="6">
        <v>1</v>
      </c>
      <c r="G24" s="12" t="s">
        <v>1</v>
      </c>
      <c r="H24" s="102" t="s">
        <v>2548</v>
      </c>
      <c r="I24" s="25"/>
      <c r="J24" s="12" t="str">
        <f t="shared" si="1"/>
        <v>* tumorGroup 1..1 BackboneElement ##34#Tumor group (TBD)##34# ##334#Tumor group (TBD)##334#</v>
      </c>
      <c r="K24"/>
      <c r="L24" s="12" t="str">
        <f t="shared" si="2"/>
        <v>* tumorGroup ^comment = ##334#TO BE CHECKED . Added tpo group other tumors##334#</v>
      </c>
    </row>
    <row r="25" spans="1:12" s="2" customFormat="1" ht="324.5">
      <c r="A25" s="11">
        <v>16</v>
      </c>
      <c r="B25" t="s">
        <v>2549</v>
      </c>
      <c r="C25" t="s">
        <v>2458</v>
      </c>
      <c r="D25" t="s">
        <v>2458</v>
      </c>
      <c r="E25" s="116">
        <v>1</v>
      </c>
      <c r="F25" s="11">
        <v>1</v>
      </c>
      <c r="G25" s="12" t="s">
        <v>1764</v>
      </c>
      <c r="H25" s="2" t="s">
        <v>2531</v>
      </c>
      <c r="I25" s="25"/>
      <c r="J25" s="12" t="str">
        <f t="shared" si="1"/>
        <v>* tumorGroup.vascularTumours 1..1 CodeableConcept ##34#Vascular tumours ##34# ##334#Vascular tumours ##334#</v>
      </c>
      <c r="K25"/>
      <c r="L25" s="12" t="str">
        <f t="shared" si="2"/>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26" spans="1:12" s="2" customFormat="1" ht="73.75">
      <c r="A26" s="11">
        <v>17</v>
      </c>
      <c r="B26" t="s">
        <v>2550</v>
      </c>
      <c r="C26" t="s">
        <v>2459</v>
      </c>
      <c r="D26" t="s">
        <v>2459</v>
      </c>
      <c r="E26" s="116">
        <v>1</v>
      </c>
      <c r="F26" s="11">
        <v>1</v>
      </c>
      <c r="G26" s="12" t="s">
        <v>1764</v>
      </c>
      <c r="H26" s="2" t="s">
        <v>2532</v>
      </c>
      <c r="I26" s="25"/>
      <c r="J26" s="12" t="str">
        <f t="shared" si="1"/>
        <v>* tumorGroup.pericyticPerivascularTumours 1..1 CodeableConcept ##34#Pericytic (perivascular) tumours
##34# ##334#Pericytic (perivascular) tumours
##334#</v>
      </c>
      <c r="K26"/>
      <c r="L26" s="12" t="str">
        <f t="shared" si="2"/>
        <v>* tumorGroup.pericyticPerivascularTumours ^comment = ##334#Glomus tumour NOS
Glomus tumour - 40571984
##334#</v>
      </c>
    </row>
    <row r="27" spans="1:12" s="2" customFormat="1" ht="354">
      <c r="A27" s="3">
        <v>18</v>
      </c>
      <c r="B27" t="s">
        <v>2551</v>
      </c>
      <c r="C27" t="s">
        <v>2460</v>
      </c>
      <c r="D27" t="s">
        <v>2460</v>
      </c>
      <c r="E27" s="170">
        <v>1</v>
      </c>
      <c r="F27" s="3">
        <v>1</v>
      </c>
      <c r="G27" s="12" t="s">
        <v>1764</v>
      </c>
      <c r="H27" s="2" t="s">
        <v>2533</v>
      </c>
      <c r="I27" s="171"/>
      <c r="J27" s="12" t="str">
        <f t="shared" si="1"/>
        <v>* tumorGroup.smoothMuscleTumours 1..1 CodeableConcept ##34#Smooth muscle tumours##34# ##334#Smooth muscle tumours##334#</v>
      </c>
      <c r="K27"/>
      <c r="L27" s="12" t="str">
        <f t="shared" si="2"/>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28" spans="1:12" s="2" customFormat="1" ht="191.75">
      <c r="A28" s="11">
        <v>19</v>
      </c>
      <c r="B28" s="11" t="s">
        <v>2552</v>
      </c>
      <c r="C28" s="11" t="s">
        <v>2461</v>
      </c>
      <c r="D28" s="11" t="s">
        <v>2461</v>
      </c>
      <c r="E28" s="116">
        <v>1</v>
      </c>
      <c r="F28" s="11">
        <v>1</v>
      </c>
      <c r="G28" s="12" t="s">
        <v>1764</v>
      </c>
      <c r="H28" s="12" t="s">
        <v>2534</v>
      </c>
      <c r="I28" s="11"/>
      <c r="J28" s="12" t="str">
        <f t="shared" si="1"/>
        <v>* tumorGroup.skeletalMuscleTumours 1..1 CodeableConcept ##34#Skeletal muscle tumours##34# ##334#Skeletal muscle tumours##334#</v>
      </c>
      <c r="K28"/>
      <c r="L28" s="12" t="str">
        <f t="shared" si="2"/>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29" spans="1:12" s="2" customFormat="1" ht="73.75">
      <c r="A29" s="11">
        <v>20</v>
      </c>
      <c r="B29" s="11" t="s">
        <v>2553</v>
      </c>
      <c r="C29" s="11" t="s">
        <v>2462</v>
      </c>
      <c r="D29" s="11" t="s">
        <v>2462</v>
      </c>
      <c r="E29" s="116">
        <v>1</v>
      </c>
      <c r="F29" s="11">
        <v>1</v>
      </c>
      <c r="G29" s="12" t="s">
        <v>1764</v>
      </c>
      <c r="H29" s="12" t="s">
        <v>2535</v>
      </c>
      <c r="I29" s="11"/>
      <c r="J29" s="12" t="str">
        <f t="shared" si="1"/>
        <v>* tumorGroup.chondroOsseousTumours 1..1 CodeableConcept ##34#Chondro-osseous tumours
##34# ##334#Chondro-osseous tumours
##334#</v>
      </c>
      <c r="K29"/>
      <c r="L29" s="12" t="str">
        <f t="shared" si="2"/>
        <v>* tumorGroup.chondroOsseousTumours ^comment = ##334#Extraskeletal osteosarcoma
Extraskeletal osteosarcoma - 4298240
##334#</v>
      </c>
    </row>
    <row r="30" spans="1:12" s="2" customFormat="1" ht="177">
      <c r="A30" s="11">
        <v>21</v>
      </c>
      <c r="B30" s="11" t="s">
        <v>2554</v>
      </c>
      <c r="C30" s="11" t="s">
        <v>2463</v>
      </c>
      <c r="D30" s="11" t="s">
        <v>2463</v>
      </c>
      <c r="E30" s="116">
        <v>1</v>
      </c>
      <c r="F30" s="11">
        <v>1</v>
      </c>
      <c r="G30" s="12" t="s">
        <v>1764</v>
      </c>
      <c r="H30" s="12" t="s">
        <v>2536</v>
      </c>
      <c r="I30" s="11"/>
      <c r="J30" s="12" t="str">
        <f t="shared" si="1"/>
        <v>* tumorGroup.peripheralNerveSheathTumours 1..1 CodeableConcept ##34#Peripheral nerve sheath tumours##34# ##334#Peripheral nerve sheath tumours##334#</v>
      </c>
      <c r="K30"/>
      <c r="L30" s="12" t="str">
        <f t="shared" si="2"/>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31" spans="1:12" s="2" customFormat="1" ht="409.5">
      <c r="A31" s="11">
        <v>22</v>
      </c>
      <c r="B31" s="11" t="s">
        <v>2555</v>
      </c>
      <c r="C31" s="11" t="s">
        <v>2464</v>
      </c>
      <c r="D31" s="11" t="s">
        <v>2464</v>
      </c>
      <c r="E31" s="116">
        <v>1</v>
      </c>
      <c r="F31" s="11">
        <v>1</v>
      </c>
      <c r="G31" s="12" t="s">
        <v>1764</v>
      </c>
      <c r="H31" s="12" t="s">
        <v>2537</v>
      </c>
      <c r="I31" s="11"/>
      <c r="J31" s="12" t="str">
        <f t="shared" si="1"/>
        <v>* tumorGroup.tumoursOfUncertainDifferentiation 1..1 CodeableConcept ##34#Tumours of uncertain differentiation##34# ##334#Tumours of uncertain differentiation##334#</v>
      </c>
      <c r="K31"/>
      <c r="L31" s="12" t="str">
        <f t="shared" si="2"/>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32" spans="1:12" s="2" customFormat="1" ht="162.25">
      <c r="A32" s="11">
        <v>23</v>
      </c>
      <c r="B32" s="11" t="s">
        <v>2556</v>
      </c>
      <c r="C32" s="11" t="s">
        <v>2465</v>
      </c>
      <c r="D32" s="11" t="s">
        <v>2465</v>
      </c>
      <c r="E32" s="116">
        <v>1</v>
      </c>
      <c r="F32" s="11">
        <v>1</v>
      </c>
      <c r="G32" s="12" t="s">
        <v>1764</v>
      </c>
      <c r="H32" s="12" t="s">
        <v>2538</v>
      </c>
      <c r="I32" s="11"/>
      <c r="J32" s="12" t="str">
        <f t="shared" si="1"/>
        <v>* tumorGroup.undifSmallRCelSarcBonAndSofTis 1..1 CodeableConcept ##34#Undifferentiated small round cell sarcomas of bone and soft tissue##34# ##334#Undifferentiated small round cell sarcomas of bone and soft tissue##334#</v>
      </c>
      <c r="K32"/>
      <c r="L32" s="12" t="str">
        <f t="shared" si="2"/>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33" spans="1:12" s="2" customFormat="1" ht="103.25">
      <c r="A33" s="11">
        <v>24</v>
      </c>
      <c r="B33" s="11" t="s">
        <v>2559</v>
      </c>
      <c r="C33" s="11" t="s">
        <v>2466</v>
      </c>
      <c r="D33" s="11" t="s">
        <v>2466</v>
      </c>
      <c r="E33" s="116">
        <v>1</v>
      </c>
      <c r="F33" s="11">
        <v>1</v>
      </c>
      <c r="G33" s="12" t="s">
        <v>1764</v>
      </c>
      <c r="H33" s="12" t="s">
        <v>2539</v>
      </c>
      <c r="I33" s="11"/>
      <c r="J33" s="12" t="str">
        <f t="shared" si="1"/>
        <v>* tumorGroup.endStrAndRelatedTumours 1..1 CodeableConcept ##34#Endometrial stromal and related tumours##34# ##334#Endometrial stromal and related tumours##334#</v>
      </c>
      <c r="K33"/>
      <c r="L33" s="12" t="str">
        <f t="shared" si="2"/>
        <v>* tumorGroup.endStrAndRelatedTumours ^comment = ##334#Endometrial stromal sarcoma, high grade
Endometrial stromal sarcoma, low grade
Endometrial stromal sarcoma, high grade - 4290926
Endometrial stromal sarcoma, low grade - 4028557
##334#</v>
      </c>
    </row>
    <row r="34" spans="1:12" s="2" customFormat="1" ht="354">
      <c r="A34" s="11">
        <v>25</v>
      </c>
      <c r="B34" s="11" t="s">
        <v>2557</v>
      </c>
      <c r="C34" s="11" t="s">
        <v>2467</v>
      </c>
      <c r="D34" s="11" t="s">
        <v>2467</v>
      </c>
      <c r="E34" s="116">
        <v>1</v>
      </c>
      <c r="F34" s="11">
        <v>1</v>
      </c>
      <c r="G34" s="12" t="s">
        <v>1764</v>
      </c>
      <c r="H34" s="12" t="s">
        <v>2540</v>
      </c>
      <c r="I34" s="11"/>
      <c r="J34" s="12" t="str">
        <f t="shared" si="1"/>
        <v>* tumorGroup.miscellaniousMesenchimalTumors 1..1 CodeableConcept ##34#Miscellanious mesenchimal tumors##34# ##334#Miscellanious mesenchimal tumors##334#</v>
      </c>
      <c r="K34"/>
      <c r="L34" s="12" t="str">
        <f t="shared" si="2"/>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35" spans="1:12" s="2" customFormat="1" ht="73.75">
      <c r="A35" s="11">
        <v>26</v>
      </c>
      <c r="B35" s="11" t="s">
        <v>2558</v>
      </c>
      <c r="C35" s="11" t="s">
        <v>2468</v>
      </c>
      <c r="D35" s="11" t="s">
        <v>2468</v>
      </c>
      <c r="E35" s="116">
        <v>1</v>
      </c>
      <c r="F35" s="11">
        <v>1</v>
      </c>
      <c r="G35" s="12" t="s">
        <v>1764</v>
      </c>
      <c r="H35" s="12" t="s">
        <v>2541</v>
      </c>
      <c r="I35" s="11"/>
      <c r="J35" s="12" t="str">
        <f t="shared" si="1"/>
        <v>* tumorGroup.mixedEpithelialAndMesenchymalTumours 1..1 CodeableConcept ##34#Mixed epithelial and mesenchymal tumours##34# ##334#Mixed epithelial and mesenchymal tumours##334#</v>
      </c>
      <c r="K35"/>
      <c r="L35" s="12" t="str">
        <f t="shared" si="2"/>
        <v>* tumorGroup.mixedEpithelialAndMesenchymalTumours ^comment = ##334#Adenosarcoma; please clarify if adenosarcoma with sarcomatous overgrowth
Adenosarcoma - 4135215##334#</v>
      </c>
    </row>
    <row r="36" spans="1:12" s="2" customFormat="1">
      <c r="A36" s="11"/>
      <c r="B36" s="11" t="s">
        <v>2490</v>
      </c>
      <c r="C36" s="11"/>
      <c r="D36" s="11"/>
      <c r="E36" s="116">
        <v>1</v>
      </c>
      <c r="F36" s="169">
        <v>1</v>
      </c>
      <c r="G36" s="12" t="s">
        <v>1</v>
      </c>
      <c r="H36" s="12"/>
      <c r="I36" s="11"/>
      <c r="J36" s="12" t="str">
        <f t="shared" si="1"/>
        <v>* subsites 1..1 BackboneElement ##34###34# ##334###334#</v>
      </c>
      <c r="K36"/>
      <c r="L36" s="12" t="str">
        <f t="shared" si="2"/>
        <v/>
      </c>
    </row>
    <row r="37" spans="1:12" s="2" customFormat="1" ht="147.5">
      <c r="A37" s="11">
        <v>27</v>
      </c>
      <c r="B37" s="109" t="s">
        <v>2491</v>
      </c>
      <c r="C37" s="12" t="s">
        <v>1539</v>
      </c>
      <c r="D37" s="12" t="s">
        <v>1541</v>
      </c>
      <c r="E37" s="116">
        <v>1</v>
      </c>
      <c r="F37" s="11">
        <v>1</v>
      </c>
      <c r="G37" s="114" t="s">
        <v>1764</v>
      </c>
      <c r="H37" s="12" t="s">
        <v>2506</v>
      </c>
      <c r="I37" s="11"/>
      <c r="J37" s="12" t="str">
        <f t="shared" si="1"/>
        <v>* subsites.nasalCavityAndParanasalSinusesSubsite 1..1 CodeableConcept ##34#Nasal cavity and paranasal sinuses subsite##34# ##334#Specifies the subsite for cancers occurred in nasal cavity and paranasal sinusess##334#</v>
      </c>
      <c r="K37"/>
      <c r="L37" s="12" t="str">
        <f t="shared" si="2"/>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38" spans="1:12" s="2" customFormat="1" ht="147.5">
      <c r="A38" s="11">
        <v>28</v>
      </c>
      <c r="B38" s="109" t="s">
        <v>2492</v>
      </c>
      <c r="C38" s="12" t="s">
        <v>1545</v>
      </c>
      <c r="D38" s="12" t="s">
        <v>1546</v>
      </c>
      <c r="E38" s="116">
        <v>1</v>
      </c>
      <c r="F38" s="11">
        <v>1</v>
      </c>
      <c r="G38" s="114" t="s">
        <v>1764</v>
      </c>
      <c r="H38" s="12" t="s">
        <v>2507</v>
      </c>
      <c r="I38" s="11"/>
      <c r="J38" s="12" t="str">
        <f t="shared" si="1"/>
        <v>* subsites.nasopharynxSubsite 1..1 CodeableConcept ##34#Nasopharynx  subsite##34# ##334#Specifies the subsite for cancers occurred in nasopharynx##334#</v>
      </c>
      <c r="K38"/>
      <c r="L38" s="12" t="str">
        <f t="shared" si="2"/>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39" spans="1:12" s="2" customFormat="1" ht="162.25">
      <c r="A39" s="61">
        <v>29</v>
      </c>
      <c r="B39" s="176" t="s">
        <v>2493</v>
      </c>
      <c r="C39" s="175" t="s">
        <v>1548</v>
      </c>
      <c r="D39" s="175" t="s">
        <v>1549</v>
      </c>
      <c r="E39" s="172">
        <v>1</v>
      </c>
      <c r="F39" s="61">
        <v>1</v>
      </c>
      <c r="G39" s="173" t="s">
        <v>1764</v>
      </c>
      <c r="H39" s="175" t="s">
        <v>2508</v>
      </c>
      <c r="I39" s="174"/>
      <c r="J39" s="12" t="str">
        <f t="shared" si="1"/>
        <v>* subsites.hypopharynxSubsite 1..1 CodeableConcept ##34#Hypopharynx subsite##34# ##334#Specifies the subsite for cancers occurred in hypopharynx##334#</v>
      </c>
      <c r="K39"/>
      <c r="L39" s="12" t="str">
        <f t="shared" si="2"/>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40" spans="1:12" s="2" customFormat="1" ht="398.25">
      <c r="A40" s="11">
        <v>30</v>
      </c>
      <c r="B40" s="109" t="s">
        <v>2494</v>
      </c>
      <c r="C40" s="12" t="s">
        <v>1551</v>
      </c>
      <c r="D40" s="12" t="s">
        <v>1552</v>
      </c>
      <c r="E40" s="116">
        <v>1</v>
      </c>
      <c r="F40" s="11">
        <v>1</v>
      </c>
      <c r="G40" s="114" t="s">
        <v>1764</v>
      </c>
      <c r="H40" s="12" t="s">
        <v>2509</v>
      </c>
      <c r="I40" s="25"/>
      <c r="J40" s="12" t="str">
        <f t="shared" si="1"/>
        <v>* subsites.oropharynxSubsite 1..1 CodeableConcept ##34#Oropharynx subsite##34# ##334#Specifies the subsite for cancers occurred in oropharynx##334#</v>
      </c>
      <c r="K40"/>
      <c r="L40" s="12" t="str">
        <f t="shared" si="2"/>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41" spans="1:12" s="2" customFormat="1" ht="132.75">
      <c r="A41" s="11">
        <v>31</v>
      </c>
      <c r="B41" s="109" t="s">
        <v>2495</v>
      </c>
      <c r="C41" s="12" t="s">
        <v>1554</v>
      </c>
      <c r="D41" s="12" t="s">
        <v>1555</v>
      </c>
      <c r="E41" s="116">
        <v>1</v>
      </c>
      <c r="F41" s="11">
        <v>1</v>
      </c>
      <c r="G41" s="114" t="s">
        <v>1764</v>
      </c>
      <c r="H41" s="12" t="s">
        <v>2510</v>
      </c>
      <c r="I41" s="25"/>
      <c r="J41" s="12" t="str">
        <f t="shared" si="1"/>
        <v>* subsites.larynxSubsite 1..1 CodeableConcept ##34#Larynx subsite##34# ##334#Specifies the subsite for cancers occurred in larynx##334#</v>
      </c>
      <c r="K41"/>
      <c r="L41" s="12" t="str">
        <f t="shared" si="2"/>
        <v>* subsites.larynxSubsite ^comment = ##334#AJCC 8th Edition Cancer Staging Manual
Glottis;Supraglottis;Subglottis;Laryngeal cartilage
Glottis - 4047227
Supraglottis - 4001049
Subglottis - 4002724
Laryngeal cartilage - 4279711
##334#</v>
      </c>
    </row>
    <row r="42" spans="1:12" s="2" customFormat="1" ht="409.5">
      <c r="A42" s="11">
        <v>32</v>
      </c>
      <c r="B42" s="109" t="s">
        <v>2496</v>
      </c>
      <c r="C42" s="12" t="s">
        <v>1557</v>
      </c>
      <c r="D42" s="12" t="s">
        <v>1558</v>
      </c>
      <c r="E42" s="116">
        <v>1</v>
      </c>
      <c r="F42" s="11">
        <v>1</v>
      </c>
      <c r="G42" s="114" t="s">
        <v>1764</v>
      </c>
      <c r="H42" s="12" t="s">
        <v>2511</v>
      </c>
      <c r="I42" s="25"/>
      <c r="J42" s="12" t="str">
        <f t="shared" si="1"/>
        <v>* subsites.oralCavitySubsite 1..1 CodeableConcept ##34#Oral cavity subsite##34# ##334#Specifies the subsite for cancers occurred in oral cavity##334#</v>
      </c>
      <c r="K42"/>
      <c r="L42" s="12" t="str">
        <f t="shared" si="2"/>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43" spans="1:12" s="2" customFormat="1" ht="191.75">
      <c r="A43" s="11">
        <v>33</v>
      </c>
      <c r="B43" s="109" t="s">
        <v>2497</v>
      </c>
      <c r="C43" s="12" t="s">
        <v>1560</v>
      </c>
      <c r="D43" s="12" t="s">
        <v>1561</v>
      </c>
      <c r="E43" s="116">
        <v>1</v>
      </c>
      <c r="F43" s="11">
        <v>1</v>
      </c>
      <c r="G43" s="114" t="s">
        <v>1764</v>
      </c>
      <c r="H43" s="12" t="s">
        <v>2512</v>
      </c>
      <c r="I43" s="25"/>
      <c r="J43" s="12" t="str">
        <f t="shared" si="1"/>
        <v>* subsites.lipSubsite 1..1 CodeableConcept ##34#Lip subsite##34# ##334#Specifies the subsite for cancers occurred in lip##334#</v>
      </c>
      <c r="K43"/>
      <c r="L43" s="12" t="str">
        <f t="shared" si="2"/>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44" spans="1:12" s="2" customFormat="1" ht="409.5">
      <c r="A44" s="11">
        <v>34</v>
      </c>
      <c r="B44" t="s">
        <v>2498</v>
      </c>
      <c r="C44" t="s">
        <v>2469</v>
      </c>
      <c r="D44" s="2" t="s">
        <v>2470</v>
      </c>
      <c r="E44" s="116">
        <v>1</v>
      </c>
      <c r="F44" s="11">
        <v>1</v>
      </c>
      <c r="G44" s="12" t="s">
        <v>1764</v>
      </c>
      <c r="H44" s="12" t="s">
        <v>2513</v>
      </c>
      <c r="I44" s="25"/>
      <c r="J44" s="12" t="str">
        <f t="shared" si="1"/>
        <v>* subsites.upperAndLowerLimbsSubsite 1..1 CodeableConcept ##34#Upper and Lower limbs subsite##34# ##334#Specifies the subsite for cancers occurred in##334#</v>
      </c>
      <c r="K44"/>
      <c r="L44" s="12" t="str">
        <f t="shared" si="2"/>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45" spans="1:12" s="2" customFormat="1" ht="162.25">
      <c r="A45" s="11">
        <v>35</v>
      </c>
      <c r="B45" t="s">
        <v>2499</v>
      </c>
      <c r="C45" t="s">
        <v>2471</v>
      </c>
      <c r="D45" s="2" t="s">
        <v>2470</v>
      </c>
      <c r="E45" s="116">
        <v>1</v>
      </c>
      <c r="F45" s="11">
        <v>1</v>
      </c>
      <c r="G45" s="12" t="s">
        <v>1764</v>
      </c>
      <c r="H45" s="12" t="s">
        <v>2514</v>
      </c>
      <c r="I45" s="25"/>
      <c r="J45" s="12" t="str">
        <f t="shared" si="1"/>
        <v>* subsites.trunkWallSubsite 1..1 CodeableConcept ##34#Trunk wall subsite##34# ##334#Specifies the subsite for cancers occurred in##334#</v>
      </c>
      <c r="K45"/>
      <c r="L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46" spans="1:12" s="2" customFormat="1" ht="409.5">
      <c r="A46" s="11">
        <v>36</v>
      </c>
      <c r="B46" t="s">
        <v>2500</v>
      </c>
      <c r="C46" t="s">
        <v>2472</v>
      </c>
      <c r="D46" s="2" t="s">
        <v>2470</v>
      </c>
      <c r="E46" s="116">
        <v>1</v>
      </c>
      <c r="F46" s="11">
        <v>1</v>
      </c>
      <c r="G46" s="12" t="s">
        <v>1764</v>
      </c>
      <c r="H46" s="12" t="s">
        <v>2515</v>
      </c>
      <c r="I46" s="25"/>
      <c r="J46" s="12" t="str">
        <f t="shared" si="1"/>
        <v>* subsites.intraAbdominalSubsite 1..1 CodeableConcept ##34#Intra abdominal subsite##34# ##334#Specifies the subsite for cancers occurred in##334#</v>
      </c>
      <c r="K46"/>
      <c r="L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47" spans="1:12" s="2" customFormat="1" ht="265.5">
      <c r="A47" s="11">
        <v>37</v>
      </c>
      <c r="B47" t="s">
        <v>2501</v>
      </c>
      <c r="C47" t="s">
        <v>2473</v>
      </c>
      <c r="D47" s="2" t="s">
        <v>2470</v>
      </c>
      <c r="E47" s="116">
        <v>1</v>
      </c>
      <c r="F47" s="11">
        <v>1</v>
      </c>
      <c r="G47" s="12" t="s">
        <v>1764</v>
      </c>
      <c r="H47" s="12" t="s">
        <v>2516</v>
      </c>
      <c r="I47" s="25"/>
      <c r="J47" s="12" t="str">
        <f t="shared" si="1"/>
        <v>* subsites.intraThoracicSubsite 1..1 CodeableConcept ##34#Intra thoracic subsite##34# ##334#Specifies the subsite for cancers occurred in##334#</v>
      </c>
      <c r="K47"/>
      <c r="L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48" spans="1:12" s="2" customFormat="1" ht="409.5">
      <c r="A48" s="11">
        <v>38</v>
      </c>
      <c r="B48" t="s">
        <v>2502</v>
      </c>
      <c r="C48" t="s">
        <v>2474</v>
      </c>
      <c r="D48" s="2" t="s">
        <v>2470</v>
      </c>
      <c r="E48" s="116">
        <v>1</v>
      </c>
      <c r="F48" s="11">
        <v>1</v>
      </c>
      <c r="G48" s="12" t="s">
        <v>1764</v>
      </c>
      <c r="H48" s="12" t="s">
        <v>2517</v>
      </c>
      <c r="I48" s="25"/>
      <c r="J48" s="12" t="str">
        <f t="shared" si="1"/>
        <v>* subsites.genitoUrinarySubsite 1..1 CodeableConcept ##34#Genito urinary subsite##34# ##334#Specifies the subsite for cancers occurred in##334#</v>
      </c>
      <c r="K48"/>
      <c r="L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49" spans="1:12" s="2" customFormat="1" ht="44.25">
      <c r="A49" s="11">
        <v>39</v>
      </c>
      <c r="B49" t="s">
        <v>2503</v>
      </c>
      <c r="C49" t="s">
        <v>2475</v>
      </c>
      <c r="D49" s="2" t="s">
        <v>2470</v>
      </c>
      <c r="E49" s="116">
        <v>1</v>
      </c>
      <c r="F49" s="11">
        <v>1</v>
      </c>
      <c r="G49" s="12" t="s">
        <v>1764</v>
      </c>
      <c r="H49" s="12" t="s">
        <v>2518</v>
      </c>
      <c r="I49" s="25"/>
      <c r="J49" s="12" t="str">
        <f t="shared" si="1"/>
        <v>* subsites.headAndNeckSubsite 1..1 CodeableConcept ##34#Head and Neck subsite##34# ##334#Specifies the subsite for cancers occurred in##334#</v>
      </c>
      <c r="K49"/>
      <c r="L49" s="12" t="str">
        <f t="shared" si="2"/>
        <v>* subsites.headAndNeckSubsite ^comment = ##334#Head and neck
Face and/or neck structure - 4122633##334#</v>
      </c>
    </row>
    <row r="50" spans="1:12" s="2" customFormat="1" ht="29.5">
      <c r="A50" s="11">
        <v>40</v>
      </c>
      <c r="B50" t="s">
        <v>2504</v>
      </c>
      <c r="C50" t="s">
        <v>2476</v>
      </c>
      <c r="D50" s="2" t="s">
        <v>2470</v>
      </c>
      <c r="E50" s="116">
        <v>1</v>
      </c>
      <c r="F50" s="11">
        <v>1</v>
      </c>
      <c r="G50" s="12" t="s">
        <v>1764</v>
      </c>
      <c r="H50" s="12" t="s">
        <v>2519</v>
      </c>
      <c r="I50" s="25"/>
      <c r="J50" s="12" t="str">
        <f t="shared" si="1"/>
        <v>* subsites.breastSubsite 1..1 CodeableConcept ##34#Breast subsite##34# ##334#Specifies the subsite for cancers occurred in##334#</v>
      </c>
      <c r="K50"/>
      <c r="L50" s="12" t="str">
        <f t="shared" si="2"/>
        <v>* subsites.breastSubsite ^comment = ##334#Breast
Breast structure - 4298444##334#</v>
      </c>
    </row>
    <row r="51" spans="1:12" s="2" customFormat="1" ht="29.5">
      <c r="A51" s="11">
        <v>41</v>
      </c>
      <c r="B51" t="s">
        <v>2505</v>
      </c>
      <c r="C51" t="s">
        <v>2477</v>
      </c>
      <c r="D51" s="2" t="s">
        <v>2470</v>
      </c>
      <c r="E51" s="116">
        <v>1</v>
      </c>
      <c r="F51" s="11">
        <v>1</v>
      </c>
      <c r="G51" s="12" t="s">
        <v>1764</v>
      </c>
      <c r="H51" s="12"/>
      <c r="I51" s="25"/>
      <c r="J51" s="12" t="str">
        <f t="shared" si="1"/>
        <v>* subsites.otherSubsite 1..1 CodeableConcept ##34#Other subsite##34# ##334#Specifies the subsite for cancers occurred in##334#</v>
      </c>
      <c r="K51"/>
      <c r="L51" s="12" t="str">
        <f t="shared" si="2"/>
        <v/>
      </c>
    </row>
    <row r="52" spans="1:12" s="2" customFormat="1" ht="44.25">
      <c r="A52" s="11">
        <v>42</v>
      </c>
      <c r="B52" t="s">
        <v>2478</v>
      </c>
      <c r="C52" t="s">
        <v>2479</v>
      </c>
      <c r="D52" s="2" t="s">
        <v>2480</v>
      </c>
      <c r="E52" s="116">
        <v>1</v>
      </c>
      <c r="F52" s="11">
        <v>1</v>
      </c>
      <c r="G52" s="12" t="s">
        <v>2443</v>
      </c>
      <c r="H52" s="12"/>
      <c r="I52" s="25"/>
      <c r="J52" s="12" t="str">
        <f t="shared" si="1"/>
        <v>* tumorSize 1..1 Quantity ##34#Tumor Size##34# ##334#(the longest diameter; longest dimension between pre operatory imaging and pathological specimen) cm ##334#</v>
      </c>
      <c r="K52"/>
      <c r="L52" s="12" t="str">
        <f t="shared" si="2"/>
        <v/>
      </c>
    </row>
    <row r="53" spans="1:12" s="2" customFormat="1" ht="73.75">
      <c r="A53" s="11">
        <v>43</v>
      </c>
      <c r="B53" t="s">
        <v>2481</v>
      </c>
      <c r="C53" t="s">
        <v>2482</v>
      </c>
      <c r="D53" s="2" t="s">
        <v>2483</v>
      </c>
      <c r="E53" s="116">
        <v>1</v>
      </c>
      <c r="F53" s="11">
        <v>1</v>
      </c>
      <c r="G53" s="12" t="s">
        <v>1764</v>
      </c>
      <c r="H53" s="12"/>
      <c r="I53" s="25"/>
      <c r="J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K53"/>
      <c r="L53" s="12" t="str">
        <f t="shared" si="2"/>
        <v/>
      </c>
    </row>
    <row r="54" spans="1:12" s="2" customFormat="1" ht="29.5">
      <c r="A54" s="11">
        <v>44</v>
      </c>
      <c r="B54" t="s">
        <v>2484</v>
      </c>
      <c r="C54" t="s">
        <v>2485</v>
      </c>
      <c r="D54" s="2" t="s">
        <v>2486</v>
      </c>
      <c r="E54" s="116">
        <v>1</v>
      </c>
      <c r="F54" s="11">
        <v>1</v>
      </c>
      <c r="G54" s="12" t="s">
        <v>2443</v>
      </c>
      <c r="H54" s="12"/>
      <c r="I54" s="25"/>
      <c r="J54" s="12" t="str">
        <f t="shared" si="1"/>
        <v>* biopsyMitoticCount 1..1 Quantity ##34#Biopsy Mitotic count ##34# ##334#(Number/10HPF/1mm2, 50HPF/5mm2)##334#</v>
      </c>
      <c r="K54"/>
      <c r="L54" s="12" t="str">
        <f t="shared" si="2"/>
        <v/>
      </c>
    </row>
    <row r="55" spans="1:12" s="2" customFormat="1" ht="73.75">
      <c r="A55" s="11">
        <v>45</v>
      </c>
      <c r="B55" s="107" t="s">
        <v>1794</v>
      </c>
      <c r="C55" s="12" t="s">
        <v>1563</v>
      </c>
      <c r="D55" s="12" t="s">
        <v>1564</v>
      </c>
      <c r="E55" s="116">
        <v>0</v>
      </c>
      <c r="F55" s="11">
        <v>1</v>
      </c>
      <c r="G55" s="114" t="s">
        <v>1764</v>
      </c>
      <c r="H55" s="12" t="s">
        <v>2520</v>
      </c>
      <c r="I55" s="25"/>
      <c r="J55" s="12" t="str">
        <f t="shared" si="1"/>
        <v>* plasmaticEbvDnaAtBaseline 0..1 CodeableConcept ##34#Plasmatic EBV DNA at baseline##34# ##334#Describes the result of EBV DNA plasma testing before treatment in NPC type II and III (WHO) ##334#</v>
      </c>
      <c r="K55"/>
      <c r="L55" s="12" t="str">
        <f t="shared" si="2"/>
        <v>* plasmaticEbvDnaAtBaseline ^comment = ##334# Positive; Negative; not tested;
 Positive - 9191
 Negative - 9189
not tested - 45878602##334#</v>
      </c>
    </row>
    <row r="56" spans="1:12" s="2" customFormat="1" ht="59">
      <c r="A56" s="11">
        <v>46</v>
      </c>
      <c r="B56" s="107" t="s">
        <v>1795</v>
      </c>
      <c r="C56" s="12" t="s">
        <v>1574</v>
      </c>
      <c r="D56" s="12" t="s">
        <v>1575</v>
      </c>
      <c r="E56" s="11">
        <v>0</v>
      </c>
      <c r="F56" s="11">
        <v>1</v>
      </c>
      <c r="G56" s="114" t="s">
        <v>1764</v>
      </c>
      <c r="H56" s="12" t="s">
        <v>2521</v>
      </c>
      <c r="I56" s="25"/>
      <c r="J56" s="12" t="str">
        <f t="shared" si="1"/>
        <v>* hpvStatus 0..1 CodeableConcept ##34#HPV status##34# ##334#Describes the result of HPV tumor testing in oral carcinoma ##334#</v>
      </c>
      <c r="K56"/>
      <c r="L56" s="12" t="str">
        <f t="shared" si="2"/>
        <v>* hpvStatus ^comment = ##334# Positive; Negative; Not tested;
 Positive - 9191
 Negative - 9189
not tested - 45878602##334#</v>
      </c>
    </row>
    <row r="57" spans="1:12" s="2" customFormat="1" ht="73.75">
      <c r="A57" s="11">
        <v>47</v>
      </c>
      <c r="B57" s="109" t="s">
        <v>1796</v>
      </c>
      <c r="C57" s="12" t="s">
        <v>2203</v>
      </c>
      <c r="D57" s="12" t="s">
        <v>1601</v>
      </c>
      <c r="E57" s="11">
        <v>0</v>
      </c>
      <c r="F57" s="11">
        <v>1</v>
      </c>
      <c r="G57" s="114" t="s">
        <v>1764</v>
      </c>
      <c r="H57" s="12" t="s">
        <v>2522</v>
      </c>
      <c r="I57" s="25"/>
      <c r="J57" s="12" t="str">
        <f t="shared" si="1"/>
        <v>* crpCReactiveProteinTested 0..1 CodeableConcept ##34#CRP - C reactive protein tested##34# ##334#Describes the result of C reactive protein testing##334#</v>
      </c>
      <c r="K57"/>
      <c r="L57" s="12" t="str">
        <f t="shared" si="2"/>
        <v>* crpCReactiveProteinTested ^comment = ##334#Positive; Negative; Not tested;
 Positive - 9191
 Negative - 9189
not tested - 45878602##334#</v>
      </c>
    </row>
    <row r="58" spans="1:12" s="2" customFormat="1">
      <c r="A58" s="11"/>
      <c r="B58" s="11"/>
      <c r="C58" s="12"/>
      <c r="D58" s="12"/>
      <c r="E58" s="11"/>
      <c r="F58" s="11"/>
      <c r="G58" s="12"/>
      <c r="H58" s="12"/>
      <c r="I58" s="25"/>
      <c r="J58" s="12" t="str">
        <f t="shared" si="1"/>
        <v>*  ..  ##34###34# ##334###334#</v>
      </c>
      <c r="K58"/>
      <c r="L58" s="12" t="str">
        <f t="shared" si="2"/>
        <v>*  ..  ##34###34# ##334###334#</v>
      </c>
    </row>
    <row r="59" spans="1:12" s="2" customFormat="1">
      <c r="A59" s="11"/>
      <c r="B59" s="11"/>
      <c r="C59" s="12"/>
      <c r="D59" s="12"/>
      <c r="E59" s="11"/>
      <c r="F59" s="11"/>
      <c r="G59" s="12"/>
      <c r="H59" s="12"/>
      <c r="I59" s="25"/>
      <c r="J59" s="12" t="str">
        <f t="shared" si="1"/>
        <v>*  ..  ##34###34# ##334###334#</v>
      </c>
      <c r="K59"/>
      <c r="L59" s="12" t="str">
        <f t="shared" si="2"/>
        <v>*  ..  ##34###34# ##334###334#</v>
      </c>
    </row>
    <row r="60" spans="1:12" s="2" customFormat="1">
      <c r="A60" s="11"/>
      <c r="B60" s="11"/>
      <c r="C60" s="12"/>
      <c r="D60" s="12"/>
      <c r="E60" s="11"/>
      <c r="F60" s="11"/>
      <c r="G60" s="12"/>
      <c r="H60" s="12"/>
      <c r="I60" s="25"/>
      <c r="J60" s="12" t="str">
        <f t="shared" si="1"/>
        <v>*  ..  ##34###34# ##334###334#</v>
      </c>
      <c r="K60"/>
      <c r="L60" s="12" t="str">
        <f t="shared" si="2"/>
        <v>*  ..  ##34###34# ##334###334#</v>
      </c>
    </row>
    <row r="61" spans="1:12" s="2" customFormat="1">
      <c r="A61" s="11"/>
      <c r="B61" s="11"/>
      <c r="C61" s="12"/>
      <c r="D61" s="12"/>
      <c r="E61" s="11"/>
      <c r="F61" s="11"/>
      <c r="G61" s="12"/>
      <c r="H61" s="12"/>
      <c r="I61" s="25"/>
      <c r="J61" s="12" t="str">
        <f t="shared" si="1"/>
        <v>*  ..  ##34###34# ##334###334#</v>
      </c>
      <c r="K61"/>
      <c r="L61" s="12" t="str">
        <f t="shared" si="2"/>
        <v>*  ..  ##34###34# ##334###334#</v>
      </c>
    </row>
    <row r="62" spans="1:12" s="2" customFormat="1">
      <c r="A62" s="11"/>
      <c r="B62" s="11"/>
      <c r="C62" s="12"/>
      <c r="D62" s="12"/>
      <c r="E62" s="11"/>
      <c r="F62" s="11"/>
      <c r="G62" s="12"/>
      <c r="H62" s="12"/>
      <c r="I62" s="25"/>
      <c r="J62" s="12" t="str">
        <f t="shared" si="1"/>
        <v>*  ..  ##34###34# ##334###334#</v>
      </c>
      <c r="K62"/>
      <c r="L62" s="12" t="str">
        <f t="shared" si="2"/>
        <v>*  ..  ##34###34# ##334###334#</v>
      </c>
    </row>
    <row r="63" spans="1:12" s="2" customFormat="1">
      <c r="A63" s="11"/>
      <c r="B63" s="11"/>
      <c r="C63" s="12"/>
      <c r="D63" s="12"/>
      <c r="E63" s="11"/>
      <c r="F63" s="11"/>
      <c r="G63" s="12"/>
      <c r="H63" s="12"/>
      <c r="I63" s="25"/>
      <c r="J63" s="12"/>
      <c r="K63"/>
      <c r="L63" s="12"/>
    </row>
    <row r="64" spans="1:12" s="2" customFormat="1">
      <c r="A64" s="11"/>
      <c r="B64" s="11"/>
      <c r="C64" s="12"/>
      <c r="D64" s="12"/>
      <c r="E64" s="11"/>
      <c r="F64" s="11"/>
      <c r="G64" s="12"/>
      <c r="H64" s="12"/>
      <c r="I64" s="25"/>
      <c r="J64" s="12"/>
      <c r="K64"/>
      <c r="L64" s="12"/>
    </row>
    <row r="65" spans="1:12" s="2" customFormat="1">
      <c r="A65" s="11"/>
      <c r="B65" s="11"/>
      <c r="C65" s="12"/>
      <c r="D65" s="12"/>
      <c r="E65" s="11"/>
      <c r="F65" s="11"/>
      <c r="G65" s="12"/>
      <c r="H65" s="12"/>
      <c r="I65" s="25"/>
      <c r="J65" s="12"/>
      <c r="K65"/>
      <c r="L65" s="12"/>
    </row>
    <row r="66" spans="1:12" s="2" customFormat="1">
      <c r="A66" s="11"/>
      <c r="B66" s="11"/>
      <c r="C66" s="12"/>
      <c r="D66" s="12"/>
      <c r="E66" s="11"/>
      <c r="F66" s="11"/>
      <c r="G66" s="12"/>
      <c r="H66" s="12"/>
      <c r="I66" s="25"/>
      <c r="J66" s="12"/>
      <c r="K66"/>
      <c r="L66" s="12"/>
    </row>
    <row r="67" spans="1:12" s="2" customFormat="1">
      <c r="A67" s="11"/>
      <c r="B67" s="11"/>
      <c r="C67" s="12"/>
      <c r="D67" s="12"/>
      <c r="E67" s="11"/>
      <c r="F67" s="11"/>
      <c r="G67" s="12"/>
      <c r="H67" s="12"/>
      <c r="I67" s="25"/>
      <c r="J67" s="12"/>
      <c r="K67"/>
      <c r="L67" s="12"/>
    </row>
    <row r="68" spans="1:12" s="2" customFormat="1">
      <c r="A68"/>
      <c r="B68"/>
      <c r="E68"/>
      <c r="F68"/>
      <c r="G68"/>
      <c r="I68"/>
      <c r="J68" s="12"/>
      <c r="K68"/>
      <c r="L68" s="12"/>
    </row>
    <row r="69" spans="1:12" s="2" customFormat="1">
      <c r="A69"/>
      <c r="B69"/>
      <c r="E69"/>
      <c r="F69"/>
      <c r="G69"/>
      <c r="I69"/>
      <c r="J69" s="12"/>
      <c r="K69"/>
      <c r="L69" s="12"/>
    </row>
    <row r="70" spans="1:12" s="2" customFormat="1">
      <c r="A70"/>
      <c r="B70"/>
      <c r="E70"/>
      <c r="F70"/>
      <c r="G70"/>
      <c r="I70"/>
      <c r="J70" s="12"/>
      <c r="K70"/>
      <c r="L70" s="12"/>
    </row>
    <row r="71" spans="1:12" s="2" customFormat="1">
      <c r="A71"/>
      <c r="B71"/>
      <c r="E71"/>
      <c r="F71"/>
      <c r="G71"/>
      <c r="I71"/>
      <c r="J71" s="12"/>
      <c r="K71"/>
      <c r="L71" s="12"/>
    </row>
    <row r="72" spans="1:12" s="2" customFormat="1">
      <c r="A72"/>
      <c r="B72"/>
      <c r="E72"/>
      <c r="F72"/>
      <c r="G72"/>
      <c r="I72"/>
      <c r="J72" s="12"/>
      <c r="K72"/>
      <c r="L72" s="12"/>
    </row>
    <row r="73" spans="1:12" s="2" customFormat="1">
      <c r="A73"/>
      <c r="B73"/>
      <c r="E73"/>
      <c r="F73"/>
      <c r="G73"/>
      <c r="I73"/>
      <c r="J73" s="12"/>
      <c r="K73"/>
      <c r="L73" s="12"/>
    </row>
    <row r="74" spans="1:12" s="2" customFormat="1">
      <c r="A74"/>
      <c r="B74"/>
      <c r="E74"/>
      <c r="F74"/>
      <c r="G74"/>
      <c r="I74"/>
      <c r="J74" s="12"/>
      <c r="K74"/>
      <c r="L74" s="12"/>
    </row>
    <row r="75" spans="1:12" s="2" customFormat="1">
      <c r="A75"/>
      <c r="B75"/>
      <c r="E75"/>
      <c r="F75"/>
      <c r="G75"/>
      <c r="I75"/>
      <c r="J75" s="12"/>
      <c r="K75"/>
      <c r="L75" s="12"/>
    </row>
  </sheetData>
  <autoFilter ref="A7:M67"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123"/>
  <sheetViews>
    <sheetView tabSelected="1" workbookViewId="0">
      <selection activeCell="B124" sqref="B124:G219"/>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1765</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c r="C10" s="12" t="str">
        <f>IF(CancerEpisode!J10="*  ..  ##34###34# ##334###334#","//--- END",CancerEpisode!J10)</f>
        <v>* typeOfBiopsy 1..1 CodeableConcept ##34#Type of biopsy##34# ##334#Type of biopsy performed##334#</v>
      </c>
    </row>
    <row r="11" spans="3:7" ht="29.5">
      <c r="C11" s="12" t="str">
        <f>IF(CancerEpisode!J11="*  ..  ##34###34# ##334###334#","//--- END",CancerEpisode!J11)</f>
        <v>* biopsyDoneBy 1..1 CodeableConcept ##34#Biopsy done by##34# ##334#Describes the institution where diagnostic procedure was performed##334#</v>
      </c>
    </row>
    <row r="12" spans="3:7">
      <c r="C12" s="12" t="str">
        <f>IF(CancerEpisode!J12="*  ..  ##34###34# ##334###334#","//--- END",CancerEpisode!J12)</f>
        <v>* ageAtDiagnosis 1..1 integer  ##34#Age at diagnosis##34# ##334#Age of the patient at the time of the diagnosis.##334#</v>
      </c>
    </row>
    <row r="13" spans="3:7" ht="44.25">
      <c r="C13" s="12" t="str">
        <f>IF(CancerEpisode!J13="*  ..  ##34###34# ##334###334#","//--- END",CancerEpisode!J13)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c r="C14" s="12" t="str">
        <f>IF(CancerEpisode!J14="*  ..  ##34###34# ##334###334#","//--- END",CancerEpisode!J14)</f>
        <v>* grading 0..1 CodeableConcept ##34#Grading##34# ##334#Grading of the cancer##334#</v>
      </c>
    </row>
    <row r="15" spans="3:7">
      <c r="C15" s="12" t="str">
        <f>IF(CancerEpisode!J15="*  ..  ##34###34# ##334###334#","//--- END",CancerEpisode!J15)</f>
        <v>* histologySubGroup 1..1 BackboneElement ##34#Histology Subgroups##34# ##334#Histology Subgroups##334#</v>
      </c>
    </row>
    <row r="16" spans="3:7" ht="29.5">
      <c r="C16" s="12" t="str">
        <f>IF(CancerEpisode!J16="*  ..  ##34###34# ##334###334#","//--- END",CancerEpisode!J16)</f>
        <v>* histologySubGroup.histologySquamous 1..1 CodeableConcept ##34#Histology Squamous##34# ##334#Specifies the histological subgroup for squamous cancers##334#</v>
      </c>
    </row>
    <row r="17" spans="3:3" ht="29.5">
      <c r="C17" s="12" t="str">
        <f>IF(CancerEpisode!J17="*  ..  ##34###34# ##334###334#","//--- END",CancerEpisode!J17)</f>
        <v>* histologySubGroup.histologyAdenocarcinoma 1..1 CodeableConcept ##34#Histology Adenocarcinoma##34# ##334#Specifies the histological subgroup for adenocarcinomas##334#</v>
      </c>
    </row>
    <row r="18" spans="3:3" ht="29.5">
      <c r="C18" s="12" t="str">
        <f>IF(CancerEpisode!J18="*  ..  ##34###34# ##334###334#","//--- END",CancerEpisode!J18)</f>
        <v>* histologySubGroup.histologyNeuroendocrine 1..1 CodeableConcept ##34#Histology Neuroendocrine##34# ##334#Specifies the histological subgroup for neuroendocrine cancers ##334#</v>
      </c>
    </row>
    <row r="19" spans="3:3" ht="29.5">
      <c r="C19" s="12" t="str">
        <f>IF(CancerEpisode!J19="*  ..  ##34###34# ##334###334#","//--- END",CancerEpisode!J19)</f>
        <v>* histologySubGroup.histologyOdontogenicCarcinoma 1..1 CodeableConcept ##34#Histology Odontogenic Carcinoma##34# ##334#Specifies the histological subgroup for odontogenic carcinomas##334#</v>
      </c>
    </row>
    <row r="20" spans="3:3" ht="29.5">
      <c r="C20" s="12" t="str">
        <f>IF(CancerEpisode!J20="*  ..  ##34###34# ##334###334#","//--- END",CancerEpisode!J20)</f>
        <v>* histologySubGroup.histologySNUC 1..1 CodeableConcept ##34#Histology Sinonasal undifferentiated carcinoma##34# ##334#Specifies the histological subgroup for sinonasl undifferentiated carcinomas##334#</v>
      </c>
    </row>
    <row r="21" spans="3:3" ht="29.5">
      <c r="C21" s="12" t="str">
        <f>IF(CancerEpisode!J21="*  ..  ##34###34# ##334###334#","//--- END",CancerEpisode!J21)</f>
        <v>* histologySubgroup.adipocyticTumours 1..1 CodeableConcept ##34#Histology subgroup Adipocytic tumours##34# ##334#Specifies the histological subgroup for adipocytic tumours##334#</v>
      </c>
    </row>
    <row r="22" spans="3:3" ht="29.5">
      <c r="C22" s="12" t="str">
        <f>IF(CancerEpisode!J22="*  ..  ##34###34# ##334###334#","//--- END",CancerEpisode!J22)</f>
        <v>* histologySubgroup.fmtTumours 1..1 CodeableConcept ##34#Histology subgroup Fibroblastic and myofibroblastic tumours##34# ##334#Histology subgroup Fibroblastic and myofibroblastic tumours##334#</v>
      </c>
    </row>
    <row r="23" spans="3:3" ht="88.5">
      <c r="C23" s="12" t="str">
        <f>IF(CancerEpisode!J23="*  ..  ##34###34# ##334###334#","//--- END",CancerEpisode!J23)</f>
        <v>* histologySubgroup.socalledFibrohistiocyticTumours 1..1 CodeableConcept ##34#Histology subgroup So-called fibrohistiocytic tumours
##34# ##334#Histology subgroup So-called fibrohistiocytic tumours
##334#</v>
      </c>
    </row>
    <row r="24" spans="3:3">
      <c r="C24" s="12" t="str">
        <f>IF(CancerEpisode!J24="*  ..  ##34###34# ##334###334#","//--- END",CancerEpisode!J24)</f>
        <v>* tumorGroup 1..1 BackboneElement ##34#Tumor group (TBD)##34# ##334#Tumor group (TBD)##334#</v>
      </c>
    </row>
    <row r="25" spans="3:3">
      <c r="C25" s="12" t="str">
        <f>IF(CancerEpisode!J25="*  ..  ##34###34# ##334###334#","//--- END",CancerEpisode!J25)</f>
        <v>* tumorGroup.vascularTumours 1..1 CodeableConcept ##34#Vascular tumours ##34# ##334#Vascular tumours ##334#</v>
      </c>
    </row>
    <row r="26" spans="3:3" ht="44.25">
      <c r="C26" s="12" t="str">
        <f>IF(CancerEpisode!J26="*  ..  ##34###34# ##334###334#","//--- END",CancerEpisode!J26)</f>
        <v>* tumorGroup.pericyticPerivascularTumours 1..1 CodeableConcept ##34#Pericytic (perivascular) tumours
##34# ##334#Pericytic (perivascular) tumours
##334#</v>
      </c>
    </row>
    <row r="27" spans="3:3" ht="29.5">
      <c r="C27" s="12" t="str">
        <f>IF(CancerEpisode!J27="*  ..  ##34###34# ##334###334#","//--- END",CancerEpisode!J27)</f>
        <v>* tumorGroup.smoothMuscleTumours 1..1 CodeableConcept ##34#Smooth muscle tumours##34# ##334#Smooth muscle tumours##334#</v>
      </c>
    </row>
    <row r="28" spans="3:3" ht="29.5">
      <c r="C28" s="12" t="str">
        <f>IF(CancerEpisode!J28="*  ..  ##34###34# ##334###334#","//--- END",CancerEpisode!J28)</f>
        <v>* tumorGroup.skeletalMuscleTumours 1..1 CodeableConcept ##34#Skeletal muscle tumours##34# ##334#Skeletal muscle tumours##334#</v>
      </c>
    </row>
    <row r="29" spans="3:3" ht="44.25">
      <c r="C29" s="12" t="str">
        <f>IF(CancerEpisode!J29="*  ..  ##34###34# ##334###334#","//--- END",CancerEpisode!J29)</f>
        <v>* tumorGroup.chondroOsseousTumours 1..1 CodeableConcept ##34#Chondro-osseous tumours
##34# ##334#Chondro-osseous tumours
##334#</v>
      </c>
    </row>
    <row r="30" spans="3:3" ht="29.5">
      <c r="C30" s="12" t="str">
        <f>IF(CancerEpisode!J30="*  ..  ##34###34# ##334###334#","//--- END",CancerEpisode!J30)</f>
        <v>* tumorGroup.peripheralNerveSheathTumours 1..1 CodeableConcept ##34#Peripheral nerve sheath tumours##34# ##334#Peripheral nerve sheath tumours##334#</v>
      </c>
    </row>
    <row r="31" spans="3:3" ht="29.5">
      <c r="C31" s="12" t="str">
        <f>IF(CancerEpisode!J31="*  ..  ##34###34# ##334###334#","//--- END",CancerEpisode!J31)</f>
        <v>* tumorGroup.tumoursOfUncertainDifferentiation 1..1 CodeableConcept ##34#Tumours of uncertain differentiation##34# ##334#Tumours of uncertain differentiation##334#</v>
      </c>
    </row>
    <row r="32" spans="3:3" ht="29.5">
      <c r="C32" s="12" t="str">
        <f>IF(CancerEpisode!J32="*  ..  ##34###34# ##334###334#","//--- END",CancerEpisode!J32)</f>
        <v>* tumorGroup.undifSmallRCelSarcBonAndSofTis 1..1 CodeableConcept ##34#Undifferentiated small round cell sarcomas of bone and soft tissue##34# ##334#Undifferentiated small round cell sarcomas of bone and soft tissue##334#</v>
      </c>
    </row>
    <row r="33" spans="3:3" ht="29.5">
      <c r="C33" s="12" t="str">
        <f>IF(CancerEpisode!J33="*  ..  ##34###34# ##334###334#","//--- END",CancerEpisode!J33)</f>
        <v>* tumorGroup.endStrAndRelatedTumours 1..1 CodeableConcept ##34#Endometrial stromal and related tumours##34# ##334#Endometrial stromal and related tumours##334#</v>
      </c>
    </row>
    <row r="34" spans="3:3" ht="29.5">
      <c r="C34" s="12" t="str">
        <f>IF(CancerEpisode!J34="*  ..  ##34###34# ##334###334#","//--- END",CancerEpisode!J34)</f>
        <v>* tumorGroup.miscellaniousMesenchimalTumors 1..1 CodeableConcept ##34#Miscellanious mesenchimal tumors##34# ##334#Miscellanious mesenchimal tumors##334#</v>
      </c>
    </row>
    <row r="35" spans="3:3" ht="29.5">
      <c r="C35" s="12" t="str">
        <f>IF(CancerEpisode!J35="*  ..  ##34###34# ##334###334#","//--- END",CancerEpisode!J35)</f>
        <v>* tumorGroup.mixedEpithelialAndMesenchymalTumours 1..1 CodeableConcept ##34#Mixed epithelial and mesenchymal tumours##34# ##334#Mixed epithelial and mesenchymal tumours##334#</v>
      </c>
    </row>
    <row r="36" spans="3:3">
      <c r="C36" s="12" t="str">
        <f>IF(CancerEpisode!J36="*  ..  ##34###34# ##334###334#","//--- END",CancerEpisode!J36)</f>
        <v>* subsites 1..1 BackboneElement ##34###34# ##334###334#</v>
      </c>
    </row>
    <row r="37" spans="3:3" ht="29.5">
      <c r="C37" s="12" t="str">
        <f>IF(CancerEpisode!J37="*  ..  ##34###34# ##334###334#","//--- END",CancerEpisode!J37)</f>
        <v>* subsites.nasalCavityAndParanasalSinusesSubsite 1..1 CodeableConcept ##34#Nasal cavity and paranasal sinuses subsite##34# ##334#Specifies the subsite for cancers occurred in nasal cavity and paranasal sinusess##334#</v>
      </c>
    </row>
    <row r="38" spans="3:3" ht="29.5">
      <c r="C38" s="12" t="str">
        <f>IF(CancerEpisode!J38="*  ..  ##34###34# ##334###334#","//--- END",CancerEpisode!J38)</f>
        <v>* subsites.nasopharynxSubsite 1..1 CodeableConcept ##34#Nasopharynx  subsite##34# ##334#Specifies the subsite for cancers occurred in nasopharynx##334#</v>
      </c>
    </row>
    <row r="39" spans="3:3" ht="29.5">
      <c r="C39" s="12" t="str">
        <f>IF(CancerEpisode!J39="*  ..  ##34###34# ##334###334#","//--- END",CancerEpisode!J39)</f>
        <v>* subsites.hypopharynxSubsite 1..1 CodeableConcept ##34#Hypopharynx subsite##34# ##334#Specifies the subsite for cancers occurred in hypopharynx##334#</v>
      </c>
    </row>
    <row r="40" spans="3:3" ht="29.5">
      <c r="C40" s="12" t="str">
        <f>IF(CancerEpisode!J40="*  ..  ##34###34# ##334###334#","//--- END",CancerEpisode!J40)</f>
        <v>* subsites.oropharynxSubsite 1..1 CodeableConcept ##34#Oropharynx subsite##34# ##334#Specifies the subsite for cancers occurred in oropharynx##334#</v>
      </c>
    </row>
    <row r="41" spans="3:3" ht="29.5">
      <c r="C41" s="12" t="str">
        <f>IF(CancerEpisode!J41="*  ..  ##34###34# ##334###334#","//--- END",CancerEpisode!J41)</f>
        <v>* subsites.larynxSubsite 1..1 CodeableConcept ##34#Larynx subsite##34# ##334#Specifies the subsite for cancers occurred in larynx##334#</v>
      </c>
    </row>
    <row r="42" spans="3:3" ht="29.5">
      <c r="C42" s="12" t="str">
        <f>IF(CancerEpisode!J42="*  ..  ##34###34# ##334###334#","//--- END",CancerEpisode!J42)</f>
        <v>* subsites.oralCavitySubsite 1..1 CodeableConcept ##34#Oral cavity subsite##34# ##334#Specifies the subsite for cancers occurred in oral cavity##334#</v>
      </c>
    </row>
    <row r="43" spans="3:3">
      <c r="C43" s="12" t="str">
        <f>IF(CancerEpisode!J43="*  ..  ##34###34# ##334###334#","//--- END",CancerEpisode!J43)</f>
        <v>* subsites.lipSubsite 1..1 CodeableConcept ##34#Lip subsite##34# ##334#Specifies the subsite for cancers occurred in lip##334#</v>
      </c>
    </row>
    <row r="44" spans="3:3" ht="29.5">
      <c r="C44" s="12" t="str">
        <f>IF(CancerEpisode!J44="*  ..  ##34###34# ##334###334#","//--- END",CancerEpisode!J44)</f>
        <v>* subsites.upperAndLowerLimbsSubsite 1..1 CodeableConcept ##34#Upper and Lower limbs subsite##34# ##334#Specifies the subsite for cancers occurred in##334#</v>
      </c>
    </row>
    <row r="45" spans="3:3" ht="29.5">
      <c r="C45" s="12" t="str">
        <f>IF(CancerEpisode!J45="*  ..  ##34###34# ##334###334#","//--- END",CancerEpisode!J45)</f>
        <v>* subsites.trunkWallSubsite 1..1 CodeableConcept ##34#Trunk wall subsite##34# ##334#Specifies the subsite for cancers occurred in##334#</v>
      </c>
    </row>
    <row r="46" spans="3:3" ht="29.5">
      <c r="C46" s="12" t="str">
        <f>IF(CancerEpisode!J46="*  ..  ##34###34# ##334###334#","//--- END",CancerEpisode!J46)</f>
        <v>* subsites.intraAbdominalSubsite 1..1 CodeableConcept ##34#Intra abdominal subsite##34# ##334#Specifies the subsite for cancers occurred in##334#</v>
      </c>
    </row>
    <row r="47" spans="3:3" ht="29.5">
      <c r="C47" s="12" t="str">
        <f>IF(CancerEpisode!J47="*  ..  ##34###34# ##334###334#","//--- END",CancerEpisode!J47)</f>
        <v>* subsites.intraThoracicSubsite 1..1 CodeableConcept ##34#Intra thoracic subsite##34# ##334#Specifies the subsite for cancers occurred in##334#</v>
      </c>
    </row>
    <row r="48" spans="3:3" ht="29.5">
      <c r="C48" s="12" t="str">
        <f>IF(CancerEpisode!J48="*  ..  ##34###34# ##334###334#","//--- END",CancerEpisode!J48)</f>
        <v>* subsites.genitoUrinarySubsite 1..1 CodeableConcept ##34#Genito urinary subsite##34# ##334#Specifies the subsite for cancers occurred in##334#</v>
      </c>
    </row>
    <row r="49" spans="3:3" ht="29.5">
      <c r="C49" s="12" t="str">
        <f>IF(CancerEpisode!J49="*  ..  ##34###34# ##334###334#","//--- END",CancerEpisode!J49)</f>
        <v>* subsites.headAndNeckSubsite 1..1 CodeableConcept ##34#Head and Neck subsite##34# ##334#Specifies the subsite for cancers occurred in##334#</v>
      </c>
    </row>
    <row r="50" spans="3:3" ht="29.5">
      <c r="C50" s="12" t="str">
        <f>IF(CancerEpisode!J50="*  ..  ##34###34# ##334###334#","//--- END",CancerEpisode!J50)</f>
        <v>* subsites.breastSubsite 1..1 CodeableConcept ##34#Breast subsite##34# ##334#Specifies the subsite for cancers occurred in##334#</v>
      </c>
    </row>
    <row r="51" spans="3:3" ht="29.5">
      <c r="C51" s="12" t="str">
        <f>IF(CancerEpisode!J51="*  ..  ##34###34# ##334###334#","//--- END",CancerEpisode!J51)</f>
        <v>* subsites.otherSubsite 1..1 CodeableConcept ##34#Other subsite##34# ##334#Specifies the subsite for cancers occurred in##334#</v>
      </c>
    </row>
    <row r="52" spans="3:3" ht="29.5">
      <c r="C52" s="12" t="str">
        <f>IF(CancerEpisode!J52="*  ..  ##34###34# ##334###334#","//--- END",CancerEpisode!J52)</f>
        <v>* tumorSize 1..1 Quantity ##34#Tumor Size##34# ##334#(the longest diameter; longest dimension between pre operatory imaging and pathological specimen) cm ##334#</v>
      </c>
    </row>
    <row r="53" spans="3:3" ht="44.25">
      <c r="C53" s="12" t="str">
        <f>IF(CancerEpisode!J53="*  ..  ##34###34# ##334###334#","//--- END",CancerEpisode!J53)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c r="C54" s="12" t="str">
        <f>IF(CancerEpisode!J54="*  ..  ##34###34# ##334###334#","//--- END",CancerEpisode!J54)</f>
        <v>* biopsyMitoticCount 1..1 Quantity ##34#Biopsy Mitotic count ##34# ##334#(Number/10HPF/1mm2, 50HPF/5mm2)##334#</v>
      </c>
    </row>
    <row r="55" spans="3:3" ht="29.5">
      <c r="C55" s="12" t="str">
        <f>IF(CancerEpisode!J55="*  ..  ##34###34# ##334###334#","//--- END",CancerEpisode!J55)</f>
        <v>* plasmaticEbvDnaAtBaseline 0..1 CodeableConcept ##34#Plasmatic EBV DNA at baseline##34# ##334#Describes the result of EBV DNA plasma testing before treatment in NPC type II and III (WHO) ##334#</v>
      </c>
    </row>
    <row r="56" spans="3:3" ht="29.5">
      <c r="C56" s="12" t="str">
        <f>IF(CancerEpisode!J56="*  ..  ##34###34# ##334###334#","//--- END",CancerEpisode!J56)</f>
        <v>* hpvStatus 0..1 CodeableConcept ##34#HPV status##34# ##334#Describes the result of HPV tumor testing in oral carcinoma ##334#</v>
      </c>
    </row>
    <row r="57" spans="3:3" ht="29.5">
      <c r="C57" s="12" t="str">
        <f>IF(CancerEpisode!J57="*  ..  ##34###34# ##334###334#","//--- END",CancerEpisode!J57)</f>
        <v>* crpCReactiveProteinTested 0..1 CodeableConcept ##34#CRP - C reactive protein tested##34# ##334#Describes the result of C reactive protein testing##334#</v>
      </c>
    </row>
    <row r="58" spans="3:3">
      <c r="C58" s="12" t="str">
        <f>IF(CancerEpisode!J58="*  ..  ##34###34# ##334###334#","//--- END",CancerEpisode!J58)</f>
        <v>//--- END</v>
      </c>
    </row>
    <row r="59" spans="3:3">
      <c r="C59" s="12" t="str">
        <f>IF(CancerEpisode!J59="*  ..  ##34###34# ##334###334#","//--- END",CancerEpisode!J59)</f>
        <v>//--- END</v>
      </c>
    </row>
    <row r="60" spans="3:3">
      <c r="C60" s="12" t="str">
        <f>IF(CancerEpisode!J60="*  ..  ##34###34# ##334###334#","//--- END",CancerEpisode!J60)</f>
        <v>//--- END</v>
      </c>
    </row>
    <row r="61" spans="3:3">
      <c r="C61" s="12" t="str">
        <f>IF(CancerEpisode!J61="*  ..  ##34###34# ##334###334#","//--- END",CancerEpisode!J61)</f>
        <v>//--- END</v>
      </c>
    </row>
    <row r="66" spans="3:3">
      <c r="C66" s="23" t="s">
        <v>1613</v>
      </c>
    </row>
    <row r="67" spans="3:3">
      <c r="C67" s="24" t="s">
        <v>1701</v>
      </c>
    </row>
    <row r="68" spans="3:3">
      <c r="C68" s="24" t="s">
        <v>1613</v>
      </c>
    </row>
    <row r="69" spans="3:3">
      <c r="C69" s="12" t="str">
        <f>IF(CancerEpisode!L8="*  ..  ##34###34# ##334###334#","//--- END",CancerEpisode!L8)</f>
        <v/>
      </c>
    </row>
    <row r="70" spans="3:3">
      <c r="C70" s="12" t="str">
        <f>IF(CancerEpisode!L9="*  ..  ##34###34# ##334###334#","//--- END",CancerEpisode!L9)</f>
        <v/>
      </c>
    </row>
    <row r="71" spans="3:3" ht="177">
      <c r="C71" s="12" t="str">
        <f>IF(CancerEpisode!L10="*  ..  ##34###34# ##334###334#","//--- END",CancerEpisode!L10)</f>
        <v>* typeOfBiopsy ^comment = ##334#FNA
core-trcut
incisional
excisional
unplanned excision
Fine needle biopsy - 4171863
Core needle biopsy - 4321878
Incisional biopsy - 4321986
Excisional biopsy - 4228202
Excision - 4279903
##334#</v>
      </c>
    </row>
    <row r="72" spans="3:3">
      <c r="C72" s="12" t="str">
        <f>IF(CancerEpisode!L11="*  ..  ##34###34# ##334###334#","//--- END",CancerEpisode!L11)</f>
        <v/>
      </c>
    </row>
    <row r="73" spans="3:3">
      <c r="C73" s="12" t="str">
        <f>IF(CancerEpisode!L12="*  ..  ##34###34# ##334###334#","//--- END",CancerEpisode!L12)</f>
        <v/>
      </c>
    </row>
    <row r="74" spans="3:3" ht="59">
      <c r="C74" s="12" t="str">
        <f>IF(CancerEpisode!L13="*  ..  ##34###34# ##334###334#","//--- END",CancerEpisode!L13)</f>
        <v>* radiotherapyInducedSarcoma ^comment = ##334#Radiation therapy induced change
Radiation therapy induced change - 37117814
##334#</v>
      </c>
    </row>
    <row r="75" spans="3:3" ht="147.5">
      <c r="C75" s="12" t="str">
        <f>IF(CancerEpisode!L14="*  ..  ##34###34# ##334###334#","//--- END",CancerEpisode!L14)</f>
        <v>* grading ^comment = ##334#1
2
3
high
low
Grade-1 - 1634371
Grade-2 - 1634752
Grade-3 - 1633749
Grade-H - 1635587
Grade-L - 1634085##334#</v>
      </c>
    </row>
    <row r="76" spans="3:3">
      <c r="C76" s="12" t="str">
        <f>IF(CancerEpisode!L15="*  ..  ##34###34# ##334###334#","//--- END",CancerEpisode!L15)</f>
        <v>* histologySubGroup ^comment = ##334#Added to the model for grouping elements##334#</v>
      </c>
    </row>
    <row r="77" spans="3:3" ht="368.75">
      <c r="C77" s="12" t="str">
        <f>IF(CancerEpisode!L16="*  ..  ##34###34# ##334###334#","//--- END",CancerEpisode!L16)</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c r="C78" s="12" t="str">
        <f>IF(CancerEpisode!L17="*  ..  ##34###34# ##334###334#","//--- END",CancerEpisode!L17)</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c r="C79" s="12" t="str">
        <f>IF(CancerEpisode!L18="*  ..  ##34###34# ##334###334#","//--- END",CancerEpisode!L18)</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c r="C80" s="12" t="str">
        <f>IF(CancerEpisode!L19="*  ..  ##34###34# ##334###334#","//--- END",CancerEpisode!L19)</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c r="C81" s="12" t="str">
        <f>IF(CancerEpisode!L20="*  ..  ##34###34# ##334###334#","//--- END",CancerEpisode!L20)</f>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91.75">
      <c r="C82" s="12" t="str">
        <f>IF(CancerEpisode!L21="*  ..  ##34###34# ##334###334#","//--- END",CancerEpisode!L21)</f>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c r="C83" s="12" t="str">
        <f>IF(CancerEpisode!L22="*  ..  ##34###34# ##334###334#","//--- END",CancerEpisode!L22)</f>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c r="C84" s="12" t="str">
        <f>IF(CancerEpisode!L23="*  ..  ##34###34# ##334###334#","//--- END",CancerEpisode!L23)</f>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c r="C85" s="12" t="str">
        <f>IF(CancerEpisode!L24="*  ..  ##34###34# ##334###334#","//--- END",CancerEpisode!L24)</f>
        <v>* tumorGroup ^comment = ##334#TO BE CHECKED . Added tpo group other tumors##334#</v>
      </c>
    </row>
    <row r="86" spans="3:3" ht="265.5">
      <c r="C86" s="12" t="str">
        <f>IF(CancerEpisode!L25="*  ..  ##34###34# ##334###334#","//--- END",CancerEpisode!L25)</f>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c r="C87" s="12" t="str">
        <f>IF(CancerEpisode!L26="*  ..  ##34###34# ##334###334#","//--- END",CancerEpisode!L26)</f>
        <v>* tumorGroup.pericyticPerivascularTumours ^comment = ##334#Glomus tumour NOS
Glomus tumour - 40571984
##334#</v>
      </c>
    </row>
    <row r="88" spans="3:3" ht="280.25">
      <c r="C88" s="12" t="str">
        <f>IF(CancerEpisode!L27="*  ..  ##34###34# ##334###334#","//--- END",CancerEpisode!L27)</f>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c r="C89" s="12" t="str">
        <f>IF(CancerEpisode!L28="*  ..  ##34###34# ##334###334#","//--- END",CancerEpisode!L28)</f>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c r="C90" s="12" t="str">
        <f>IF(CancerEpisode!L29="*  ..  ##34###34# ##334###334#","//--- END",CancerEpisode!L29)</f>
        <v>* tumorGroup.chondroOsseousTumours ^comment = ##334#Extraskeletal osteosarcoma
Extraskeletal osteosarcoma - 4298240
##334#</v>
      </c>
    </row>
    <row r="91" spans="3:3" ht="147.5">
      <c r="C91" s="12" t="str">
        <f>IF(CancerEpisode!L30="*  ..  ##34###34# ##334###334#","//--- END",CancerEpisode!L30)</f>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c r="C92" s="12" t="str">
        <f>IF(CancerEpisode!L31="*  ..  ##34###34# ##334###334#","//--- END",CancerEpisode!L31)</f>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c r="C93" s="12" t="str">
        <f>IF(CancerEpisode!L32="*  ..  ##34###34# ##334###334#","//--- END",CancerEpisode!L32)</f>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c r="C94" s="12" t="str">
        <f>IF(CancerEpisode!L33="*  ..  ##34###34# ##334###334#","//--- END",CancerEpisode!L33)</f>
        <v>* tumorGroup.endStrAndRelatedTumours ^comment = ##334#Endometrial stromal sarcoma, high grade
Endometrial stromal sarcoma, low grade
Endometrial stromal sarcoma, high grade - 4290926
Endometrial stromal sarcoma, low grade - 4028557
##334#</v>
      </c>
    </row>
    <row r="95" spans="3:3" ht="339.25">
      <c r="C95" s="12" t="str">
        <f>IF(CancerEpisode!L34="*  ..  ##34###34# ##334###334#","//--- END",CancerEpisode!L34)</f>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c r="C96" s="12" t="str">
        <f>IF(CancerEpisode!L35="*  ..  ##34###34# ##334###334#","//--- END",CancerEpisode!L35)</f>
        <v>* tumorGroup.mixedEpithelialAndMesenchymalTumours ^comment = ##334#Adenosarcoma; please clarify if adenosarcoma with sarcomatous overgrowth
Adenosarcoma - 4135215##334#</v>
      </c>
    </row>
    <row r="97" spans="3:3">
      <c r="C97" s="12" t="str">
        <f>IF(CancerEpisode!L36="*  ..  ##34###34# ##334###334#","//--- END",CancerEpisode!L36)</f>
        <v/>
      </c>
    </row>
    <row r="98" spans="3:3" ht="118">
      <c r="C98" s="12" t="str">
        <f>IF(CancerEpisode!L37="*  ..  ##34###34# ##334###334#","//--- END",CancerEpisode!L37)</f>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99" spans="3:3" ht="103.25">
      <c r="C99" s="12" t="str">
        <f>IF(CancerEpisode!L38="*  ..  ##34###34# ##334###334#","//--- END",CancerEpisode!L38)</f>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c r="C100" s="12" t="str">
        <f>IF(CancerEpisode!L39="*  ..  ##34###34# ##334###334#","//--- END",CancerEpisode!L39)</f>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c r="C101" s="12" t="str">
        <f>IF(CancerEpisode!L40="*  ..  ##34###34# ##334###334#","//--- END",CancerEpisode!L40)</f>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c r="C102" s="12" t="str">
        <f>IF(CancerEpisode!L41="*  ..  ##34###34# ##334###334#","//--- END",CancerEpisode!L41)</f>
        <v>* subsites.larynxSubsite ^comment = ##334#AJCC 8th Edition Cancer Staging Manual
Glottis;Supraglottis;Subglottis;Laryngeal cartilage
Glottis - 4047227
Supraglottis - 4001049
Subglottis - 4002724
Laryngeal cartilage - 4279711
##334#</v>
      </c>
    </row>
    <row r="103" spans="3:3" ht="409.5">
      <c r="C103" s="12" t="str">
        <f>IF(CancerEpisode!L42="*  ..  ##34###34# ##334###334#","//--- END",CancerEpisode!L42)</f>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c r="C104" s="12" t="str">
        <f>IF(CancerEpisode!L43="*  ..  ##34###34# ##334###334#","//--- END",CancerEpisode!L43)</f>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c r="C105" s="12" t="str">
        <f>IF(CancerEpisode!L44="*  ..  ##34###34# ##334###334#","//--- END",CancerEpisode!L44)</f>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c r="C106" s="12" t="str">
        <f>IF(CancerEpisode!L45="*  ..  ##34###34# ##334###334#","//--- END",CancerEpisode!L45)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c r="C107" s="12" t="str">
        <f>IF(CancerEpisode!L46="*  ..  ##34###34# ##334###334#","//--- END",CancerEpisode!L46)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c r="C108" s="12" t="str">
        <f>IF(CancerEpisode!L47="*  ..  ##34###34# ##334###334#","//--- END",CancerEpisode!L47)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c r="C109" s="12" t="str">
        <f>IF(CancerEpisode!L48="*  ..  ##34###34# ##334###334#","//--- END",CancerEpisode!L48)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c r="C110" s="12" t="str">
        <f>IF(CancerEpisode!L49="*  ..  ##34###34# ##334###334#","//--- END",CancerEpisode!L49)</f>
        <v>* subsites.headAndNeckSubsite ^comment = ##334#Head and neck
Face and/or neck structure - 4122633##334#</v>
      </c>
    </row>
    <row r="111" spans="3:3" ht="29.5">
      <c r="C111" s="12" t="str">
        <f>IF(CancerEpisode!L50="*  ..  ##34###34# ##334###334#","//--- END",CancerEpisode!L50)</f>
        <v>* subsites.breastSubsite ^comment = ##334#Breast
Breast structure - 4298444##334#</v>
      </c>
    </row>
    <row r="112" spans="3:3">
      <c r="C112" s="12" t="str">
        <f>IF(CancerEpisode!L51="*  ..  ##34###34# ##334###334#","//--- END",CancerEpisode!L51)</f>
        <v/>
      </c>
    </row>
    <row r="113" spans="3:3">
      <c r="C113" s="12" t="str">
        <f>IF(CancerEpisode!L52="*  ..  ##34###34# ##334###334#","//--- END",CancerEpisode!L52)</f>
        <v/>
      </c>
    </row>
    <row r="114" spans="3:3">
      <c r="C114" s="12" t="str">
        <f>IF(CancerEpisode!L53="*  ..  ##34###34# ##334###334#","//--- END",CancerEpisode!L53)</f>
        <v/>
      </c>
    </row>
    <row r="115" spans="3:3">
      <c r="C115" s="12" t="str">
        <f>IF(CancerEpisode!L54="*  ..  ##34###34# ##334###334#","//--- END",CancerEpisode!L54)</f>
        <v/>
      </c>
    </row>
    <row r="116" spans="3:3" ht="59">
      <c r="C116" s="12" t="str">
        <f>IF(CancerEpisode!L55="*  ..  ##34###34# ##334###334#","//--- END",CancerEpisode!L55)</f>
        <v>* plasmaticEbvDnaAtBaseline ^comment = ##334# Positive; Negative; not tested;
 Positive - 9191
 Negative - 9189
not tested - 45878602##334#</v>
      </c>
    </row>
    <row r="117" spans="3:3" ht="59">
      <c r="C117" s="12" t="str">
        <f>IF(CancerEpisode!L56="*  ..  ##34###34# ##334###334#","//--- END",CancerEpisode!L56)</f>
        <v>* hpvStatus ^comment = ##334# Positive; Negative; Not tested;
 Positive - 9191
 Negative - 9189
not tested - 45878602##334#</v>
      </c>
    </row>
    <row r="118" spans="3:3" ht="59">
      <c r="C118" s="12" t="str">
        <f>IF(CancerEpisode!L57="*  ..  ##34###34# ##334###334#","//--- END",CancerEpisode!L57)</f>
        <v>* crpCReactiveProteinTested ^comment = ##334#Positive; Negative; Not tested;
 Positive - 9191
 Negative - 9189
not tested - 45878602##334#</v>
      </c>
    </row>
    <row r="119" spans="3:3">
      <c r="C119" s="12" t="str">
        <f>IF(CancerEpisode!L58="*  ..  ##34###34# ##334###334#","//--- END",CancerEpisode!L58)</f>
        <v>//--- END</v>
      </c>
    </row>
    <row r="120" spans="3:3">
      <c r="C120" s="12" t="str">
        <f>IF(CancerEpisode!L59="*  ..  ##34###34# ##334###334#","//--- END",CancerEpisode!L59)</f>
        <v>//--- END</v>
      </c>
    </row>
    <row r="121" spans="3:3">
      <c r="C121" s="12" t="str">
        <f>IF(CancerEpisode!L60="*  ..  ##34###34# ##334###334#","//--- END",CancerEpisode!L60)</f>
        <v>//--- END</v>
      </c>
    </row>
    <row r="122" spans="3:3">
      <c r="C122" s="12" t="str">
        <f>IF(CancerEpisode!L61="*  ..  ##34###34# ##334###334#","//--- END",CancerEpisode!L61)</f>
        <v>//--- END</v>
      </c>
    </row>
    <row r="123" spans="3:3">
      <c r="C123" s="12" t="str">
        <f>IF(CancerEpisode!L62="*  ..  ##34###34# ##334###334#","//--- END",CancerEpisode!L62)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84" t="s">
        <v>1782</v>
      </c>
      <c r="F4" s="185"/>
      <c r="G4" s="185"/>
    </row>
    <row r="5" spans="1:19">
      <c r="B5" s="62" t="s">
        <v>10</v>
      </c>
      <c r="C5" s="7" t="s">
        <v>1779</v>
      </c>
      <c r="D5" s="62"/>
      <c r="E5" s="7"/>
    </row>
    <row r="6" spans="1:19">
      <c r="B6" s="62" t="s">
        <v>18</v>
      </c>
      <c r="C6" s="56"/>
      <c r="D6" s="62" t="s">
        <v>1771</v>
      </c>
      <c r="E6" s="184" t="str">
        <f>E3</f>
        <v>http://hl7.eu/fhir/ig/idea4rc/StructureDefinition/CancerEpisode</v>
      </c>
      <c r="F6" s="185"/>
      <c r="G6" s="185"/>
    </row>
    <row r="7" spans="1:19">
      <c r="B7" s="62" t="s">
        <v>15</v>
      </c>
      <c r="C7" s="118"/>
      <c r="D7" s="62" t="s">
        <v>1772</v>
      </c>
      <c r="E7" s="184" t="s">
        <v>1782</v>
      </c>
      <c r="F7" s="185"/>
      <c r="G7" s="185"/>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c r="A16" s="59"/>
      <c r="B16" s="11" t="str">
        <f>CancerEpisode!B9</f>
        <v>dateOfDiagnosis</v>
      </c>
      <c r="C16" s="11" t="str">
        <f>CancerEpisode!C9</f>
        <v>Date of diagnosis (biopsy or surgical piece)</v>
      </c>
      <c r="D16" s="12" t="s">
        <v>1801</v>
      </c>
      <c r="E16" s="11"/>
      <c r="F16" s="64" t="s">
        <v>1407</v>
      </c>
      <c r="G16" s="120" t="s">
        <v>1775</v>
      </c>
      <c r="H16" s="58"/>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c r="A17" s="59"/>
      <c r="B17" s="11" t="str">
        <f>CancerEpisode!B10</f>
        <v>typeOfBiopsy</v>
      </c>
      <c r="C17" s="11" t="str">
        <f>CancerEpisode!C10</f>
        <v>Type of biopsy</v>
      </c>
      <c r="D17" s="12"/>
      <c r="E17" s="11"/>
      <c r="F17" s="64"/>
      <c r="G17" s="120"/>
      <c r="H17" s="58"/>
      <c r="I17" s="12"/>
      <c r="J17" s="12"/>
      <c r="K17" s="12"/>
      <c r="L17" s="12"/>
      <c r="M17" s="12"/>
      <c r="N17" s="12"/>
      <c r="P17" s="11"/>
      <c r="Q17" s="11"/>
      <c r="R17" s="11"/>
      <c r="S17" s="12"/>
    </row>
    <row r="18" spans="1:19" ht="103.25">
      <c r="A18" s="59"/>
      <c r="B18" s="11" t="str">
        <f>CancerEpisode!B11</f>
        <v>biopsyDoneBy</v>
      </c>
      <c r="C18" s="11" t="str">
        <f>CancerEpisode!C11</f>
        <v>Biopsy done by</v>
      </c>
      <c r="D18" s="12" t="s">
        <v>1802</v>
      </c>
      <c r="E18" s="11"/>
      <c r="F18" s="64" t="s">
        <v>1407</v>
      </c>
      <c r="G18" s="122" t="s">
        <v>1869</v>
      </c>
      <c r="H18" s="58"/>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c r="A19" s="59"/>
      <c r="B19" s="11" t="str">
        <f>CancerEpisode!B12</f>
        <v>ageAtDiagnosis</v>
      </c>
      <c r="C19" s="11" t="str">
        <f>CancerEpisode!C12</f>
        <v>Age at diagnosis</v>
      </c>
      <c r="D19" s="12" t="s">
        <v>1800</v>
      </c>
      <c r="E19" s="11"/>
      <c r="F19" s="64" t="s">
        <v>1430</v>
      </c>
      <c r="G19" s="123" t="s">
        <v>1803</v>
      </c>
      <c r="H19" s="58"/>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c r="A20" s="59"/>
      <c r="B20" s="11"/>
      <c r="C20" s="11"/>
      <c r="D20" s="12"/>
      <c r="E20" s="11"/>
      <c r="F20" s="64"/>
      <c r="G20" s="123"/>
      <c r="H20" s="58"/>
      <c r="I20" s="12"/>
      <c r="J20" s="12"/>
      <c r="K20" s="12"/>
      <c r="L20" s="12"/>
      <c r="M20" s="12"/>
      <c r="N20" s="12"/>
      <c r="P20" s="11"/>
      <c r="Q20" s="11"/>
      <c r="R20" s="11"/>
      <c r="S20" s="12"/>
    </row>
    <row r="21" spans="1:19" ht="44.25">
      <c r="A21" s="59"/>
      <c r="B21" s="11" t="str">
        <f>CancerEpisode!B14</f>
        <v>grading</v>
      </c>
      <c r="C21" s="11" t="str">
        <f>CancerEpisode!C14</f>
        <v>Grading</v>
      </c>
      <c r="D21" s="124" t="s">
        <v>1804</v>
      </c>
      <c r="E21" s="11"/>
      <c r="F21" s="64" t="s">
        <v>1407</v>
      </c>
      <c r="G21" s="64" t="s">
        <v>1775</v>
      </c>
      <c r="H21" s="58"/>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c r="A22" s="59"/>
      <c r="B22" s="6" t="e">
        <f>CancerEpisode!#REF!</f>
        <v>#REF!</v>
      </c>
      <c r="C22" s="11" t="e">
        <f>CancerEpisode!#REF!</f>
        <v>#REF!</v>
      </c>
      <c r="D22" s="12" t="s">
        <v>1834</v>
      </c>
      <c r="E22" s="11"/>
      <c r="F22" s="64" t="s">
        <v>1407</v>
      </c>
      <c r="G22" s="122" t="s">
        <v>1870</v>
      </c>
      <c r="H22" s="58"/>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c r="A23" s="59"/>
      <c r="B23" s="11" t="str">
        <f>CancerEpisode!B15</f>
        <v>histologySubGroup</v>
      </c>
      <c r="C23" s="11" t="str">
        <f>CancerEpisode!C15</f>
        <v>Histology Subgroups</v>
      </c>
      <c r="D23" s="12" t="s">
        <v>1442</v>
      </c>
      <c r="E23" s="11"/>
      <c r="F23" s="64" t="s">
        <v>1407</v>
      </c>
      <c r="G23" s="146" t="s">
        <v>2364</v>
      </c>
      <c r="H23" s="58"/>
      <c r="I23" s="12" t="str">
        <f t="shared" si="7"/>
        <v>* group[=].element[+].code = #CancerEpisode.histologySubGroup</v>
      </c>
      <c r="J23" s="12" t="str">
        <f t="shared" si="8"/>
        <v>* group[=].element[=].display = ##34#Histology Subgroups##34#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c r="A24" s="59"/>
      <c r="B24" s="11" t="str">
        <f>CancerEpisode!B16</f>
        <v>histologySubGroup.histologySquamous</v>
      </c>
      <c r="C24" s="11" t="str">
        <f>CancerEpisode!C16</f>
        <v>Histology Squamous</v>
      </c>
      <c r="D24" s="12" t="s">
        <v>1442</v>
      </c>
      <c r="E24" s="11"/>
      <c r="F24" s="64" t="s">
        <v>1407</v>
      </c>
      <c r="G24" s="146" t="s">
        <v>2364</v>
      </c>
      <c r="H24" s="58"/>
      <c r="I24" s="12" t="str">
        <f t="shared" si="7"/>
        <v>* group[=].element[+].code = #CancerEpisode.histologySubGroup.histologySquamous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c r="A25" s="59"/>
      <c r="B25" s="11" t="str">
        <f>CancerEpisode!B17</f>
        <v>histologySubGroup.histologyAdenocarcinoma</v>
      </c>
      <c r="C25" s="11" t="str">
        <f>CancerEpisode!C17</f>
        <v>Histology Adenocarcinoma</v>
      </c>
      <c r="D25" s="12" t="s">
        <v>1442</v>
      </c>
      <c r="E25" s="11"/>
      <c r="F25" s="64" t="s">
        <v>1407</v>
      </c>
      <c r="G25" s="146" t="s">
        <v>2364</v>
      </c>
      <c r="H25" s="58"/>
      <c r="I25" s="12" t="str">
        <f t="shared" si="7"/>
        <v>* group[=].element[+].code = #CancerEpisode.histologySubGroup.histologyAdenocarcinoma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c r="A26" s="59"/>
      <c r="B26" s="11" t="str">
        <f>CancerEpisode!B18</f>
        <v>histologySubGroup.histologyNeuroendocrine</v>
      </c>
      <c r="C26" s="11" t="str">
        <f>CancerEpisode!C18</f>
        <v>Histology Neuroendocrine</v>
      </c>
      <c r="D26" s="12" t="s">
        <v>1442</v>
      </c>
      <c r="E26" s="11"/>
      <c r="F26" s="64" t="s">
        <v>1407</v>
      </c>
      <c r="G26" s="146" t="s">
        <v>2364</v>
      </c>
      <c r="H26" s="58"/>
      <c r="I26" s="12" t="str">
        <f t="shared" si="7"/>
        <v>* group[=].element[+].code = #CancerEpisode.histologySubGroup.histologyNeuroendocrine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c r="A27" s="59"/>
      <c r="B27" s="11" t="str">
        <f>CancerEpisode!B19</f>
        <v>histologySubGroup.histologyOdontogenicCarcinoma</v>
      </c>
      <c r="C27" s="11" t="str">
        <f>CancerEpisode!C19</f>
        <v>Histology Odontogenic Carcinoma</v>
      </c>
      <c r="D27" s="12" t="s">
        <v>1442</v>
      </c>
      <c r="E27" s="12"/>
      <c r="F27" s="64" t="s">
        <v>1407</v>
      </c>
      <c r="G27" s="146" t="s">
        <v>2364</v>
      </c>
      <c r="H27" s="58"/>
      <c r="I27" s="12" t="str">
        <f t="shared" si="7"/>
        <v>* group[=].element[+].code = #CancerEpisode.histologySubGroup.histologyOdontogenicCarcinoma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c r="A28" s="59"/>
      <c r="B28" s="11" t="str">
        <f>CancerEpisode!B20</f>
        <v>histologySubGroup.histologySNUC</v>
      </c>
      <c r="C28" s="11" t="str">
        <f>CancerEpisode!C20</f>
        <v>Histology Sinonasal undifferentiated carcinoma</v>
      </c>
      <c r="D28" s="12" t="s">
        <v>1442</v>
      </c>
      <c r="E28" s="12"/>
      <c r="F28" s="64" t="s">
        <v>1407</v>
      </c>
      <c r="G28" s="146" t="s">
        <v>2364</v>
      </c>
      <c r="H28" s="58"/>
      <c r="I28" s="12" t="str">
        <f t="shared" si="7"/>
        <v>* group[=].element[+].code = #CancerEpisode.histologySubGroup.histologySNUC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c r="B29" s="11" t="str">
        <f>CancerEpisode!B37</f>
        <v>subsites.nasalCavityAndParanasalSinusesSubsite</v>
      </c>
      <c r="C29" s="11" t="str">
        <f>CancerEpisode!C37</f>
        <v>Nasal cavity and paranasal sinuses subsite</v>
      </c>
      <c r="D29" s="12" t="s">
        <v>1442</v>
      </c>
      <c r="E29" s="12"/>
      <c r="F29" s="64" t="s">
        <v>1407</v>
      </c>
      <c r="G29" s="146" t="s">
        <v>2364</v>
      </c>
      <c r="H29" s="58"/>
      <c r="I29" s="12" t="str">
        <f>"* group[=].element[+].code = #"&amp;$B$14&amp;"."&amp;B29</f>
        <v>* group[=].element[+].code = #CancerEpisode.subsites.nasalCavityAndParanasalSinusesSubsite</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c r="B30" s="11" t="str">
        <f>CancerEpisode!B38</f>
        <v>subsites.nasopharynxSubsite</v>
      </c>
      <c r="C30" s="11" t="str">
        <f>CancerEpisode!C38</f>
        <v>Nasopharynx  subsite</v>
      </c>
      <c r="D30" s="12" t="s">
        <v>1442</v>
      </c>
      <c r="E30" s="12"/>
      <c r="F30" s="64" t="s">
        <v>1407</v>
      </c>
      <c r="G30" s="146" t="s">
        <v>2364</v>
      </c>
      <c r="H30" s="58"/>
      <c r="I30" s="12" t="str">
        <f t="shared" ref="I30:I38" si="15">"* group[=].element[+].code = #"&amp;$B$14&amp;"."&amp;B30</f>
        <v>* group[=].element[+].code = #CancerEpisode.subsites.nasopharynxSubsite</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c r="B31" s="11" t="str">
        <f>CancerEpisode!B39</f>
        <v>subsites.hypopharynxSubsite</v>
      </c>
      <c r="C31" s="11" t="str">
        <f>CancerEpisode!C39</f>
        <v>Hypopharynx subsite</v>
      </c>
      <c r="D31" s="12" t="s">
        <v>1442</v>
      </c>
      <c r="E31" s="12"/>
      <c r="F31" s="64" t="s">
        <v>1407</v>
      </c>
      <c r="G31" s="146" t="s">
        <v>2364</v>
      </c>
      <c r="H31" s="58"/>
      <c r="I31" s="12" t="str">
        <f t="shared" si="15"/>
        <v>* group[=].element[+].code = #CancerEpisode.subsites.hypopharynxSubsite</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c r="B32" s="11" t="str">
        <f>CancerEpisode!B40</f>
        <v>subsites.oropharynxSubsite</v>
      </c>
      <c r="C32" s="11" t="str">
        <f>CancerEpisode!C40</f>
        <v>Oropharynx subsite</v>
      </c>
      <c r="D32" s="12" t="s">
        <v>1442</v>
      </c>
      <c r="E32" s="12"/>
      <c r="F32" s="64" t="s">
        <v>1407</v>
      </c>
      <c r="G32" s="146" t="s">
        <v>2364</v>
      </c>
      <c r="H32" s="58"/>
      <c r="I32" s="12" t="str">
        <f t="shared" si="15"/>
        <v>* group[=].element[+].code = #CancerEpisode.subsites.oropharynxSubsite</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c r="B33" s="11" t="str">
        <f>CancerEpisode!B41</f>
        <v>subsites.larynxSubsite</v>
      </c>
      <c r="C33" s="11" t="str">
        <f>CancerEpisode!C41</f>
        <v>Larynx subsite</v>
      </c>
      <c r="D33" s="12" t="s">
        <v>1442</v>
      </c>
      <c r="E33" s="12"/>
      <c r="F33" s="64" t="s">
        <v>1407</v>
      </c>
      <c r="G33" s="146" t="s">
        <v>2364</v>
      </c>
      <c r="H33" s="58"/>
      <c r="I33" s="12" t="str">
        <f t="shared" si="15"/>
        <v>* group[=].element[+].code = #CancerEpisode.subsites.larynxSubsite</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c r="B34" s="11" t="str">
        <f>CancerEpisode!B42</f>
        <v>subsites.oralCavitySubsite</v>
      </c>
      <c r="C34" s="11" t="str">
        <f>CancerEpisode!C42</f>
        <v>Oral cavity subsite</v>
      </c>
      <c r="D34" s="12" t="s">
        <v>1442</v>
      </c>
      <c r="E34" s="12"/>
      <c r="F34" s="64" t="s">
        <v>1407</v>
      </c>
      <c r="G34" s="146" t="s">
        <v>2364</v>
      </c>
      <c r="H34" s="58"/>
      <c r="I34" s="12" t="str">
        <f t="shared" si="15"/>
        <v>* group[=].element[+].code = #CancerEpisode.subsites.oralCavitySubsite</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c r="B35" s="11" t="str">
        <f>CancerEpisode!B43</f>
        <v>subsites.lipSubsite</v>
      </c>
      <c r="C35" s="11" t="str">
        <f>CancerEpisode!C43</f>
        <v>Lip subsite</v>
      </c>
      <c r="D35" s="12" t="s">
        <v>1442</v>
      </c>
      <c r="E35" s="12"/>
      <c r="F35" s="64" t="s">
        <v>1407</v>
      </c>
      <c r="G35" s="146" t="s">
        <v>2364</v>
      </c>
      <c r="H35" s="58"/>
      <c r="I35" s="12" t="str">
        <f t="shared" si="15"/>
        <v>* group[=].element[+].code = #CancerEpisode.subsites.lipSubsite</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c r="B36" s="11" t="str">
        <f>CancerEpisode!B55</f>
        <v>plasmaticEbvDnaAtBaseline</v>
      </c>
      <c r="C36" s="11" t="str">
        <f>CancerEpisode!C55</f>
        <v>Plasmatic EBV DNA at baseline</v>
      </c>
      <c r="D36" s="125" t="s">
        <v>1863</v>
      </c>
      <c r="E36" s="12"/>
      <c r="F36" s="64" t="s">
        <v>1407</v>
      </c>
      <c r="G36" s="138" t="s">
        <v>1866</v>
      </c>
      <c r="H36" s="58"/>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c r="B37" s="11" t="str">
        <f>CancerEpisode!B56</f>
        <v>hpvStatus</v>
      </c>
      <c r="C37" s="11" t="str">
        <f>CancerEpisode!C56</f>
        <v>HPV status</v>
      </c>
      <c r="D37" s="125" t="s">
        <v>1864</v>
      </c>
      <c r="E37" s="12"/>
      <c r="F37" s="64" t="s">
        <v>1407</v>
      </c>
      <c r="G37" s="138" t="s">
        <v>1867</v>
      </c>
      <c r="H37" s="58"/>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c r="B38" s="11" t="str">
        <f>CancerEpisode!B57</f>
        <v>crpCReactiveProteinTested</v>
      </c>
      <c r="C38" s="11" t="str">
        <f>CancerEpisode!C57</f>
        <v>CRP - C reactive protein tested</v>
      </c>
      <c r="D38" s="125" t="s">
        <v>1865</v>
      </c>
      <c r="E38" s="12"/>
      <c r="F38" s="64" t="s">
        <v>1407</v>
      </c>
      <c r="G38" s="138" t="s">
        <v>1868</v>
      </c>
      <c r="H38" s="58"/>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c r="B39" s="11"/>
      <c r="C39" s="11"/>
      <c r="D39" s="12"/>
      <c r="E39" s="12"/>
      <c r="F39" s="64"/>
      <c r="G39" s="64"/>
      <c r="H39" s="58"/>
      <c r="K39" s="58"/>
      <c r="L39" s="58"/>
      <c r="M39" s="66"/>
      <c r="N39" s="66"/>
      <c r="P39" s="11">
        <v>23</v>
      </c>
      <c r="Q39" s="11">
        <f t="shared" si="13"/>
        <v>3</v>
      </c>
      <c r="R39" s="11">
        <f t="shared" si="14"/>
        <v>5</v>
      </c>
      <c r="S39" s="12" t="str" cm="1">
        <f t="array" ref="S39">INDEX('CancerEpisode-ConceptMap-1'!$I$15:$N$125,Q39+1,R39)</f>
        <v>* group[=].element[=].target.equivalence = #relatedto</v>
      </c>
    </row>
    <row r="40" spans="1:19" ht="29.5">
      <c r="B40" s="11"/>
      <c r="C40" s="11"/>
      <c r="D40" s="12"/>
      <c r="E40" s="12"/>
      <c r="F40" s="64"/>
      <c r="G40" s="64"/>
      <c r="H40" s="58"/>
      <c r="K40" s="58"/>
      <c r="L40" s="58"/>
      <c r="M40" s="66"/>
      <c r="N40" s="66"/>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c r="A41"/>
      <c r="B41" s="11"/>
      <c r="C41" s="11"/>
      <c r="D41" s="12"/>
      <c r="E41" s="12"/>
      <c r="F41" s="64"/>
      <c r="G41" s="58"/>
      <c r="H41" s="58"/>
      <c r="J41"/>
      <c r="K41" s="58"/>
      <c r="L41" s="58"/>
      <c r="M41" s="66"/>
      <c r="N41" s="66"/>
      <c r="P41" s="11">
        <v>25</v>
      </c>
      <c r="Q41" s="11">
        <f t="shared" si="13"/>
        <v>4</v>
      </c>
      <c r="R41" s="11">
        <f t="shared" si="14"/>
        <v>1</v>
      </c>
      <c r="S41" s="12" t="str" cm="1">
        <f t="array" ref="S41">INDEX('CancerEpisode-ConceptMap-1'!$I$15:$N$125,Q41+1,R41)</f>
        <v>* group[=].element[+].code = #CancerEpisode.ageAtDiagnosis</v>
      </c>
    </row>
    <row r="42" spans="1:19" s="2" customFormat="1">
      <c r="A42"/>
      <c r="B42" s="11"/>
      <c r="C42" s="11"/>
      <c r="D42" s="12"/>
      <c r="F42" s="58"/>
      <c r="G42" s="58"/>
      <c r="H42" s="58"/>
      <c r="J42"/>
      <c r="K42" s="58"/>
      <c r="L42" s="58"/>
      <c r="M42" s="66"/>
      <c r="N42" s="66"/>
      <c r="P42" s="11">
        <v>26</v>
      </c>
      <c r="Q42" s="11">
        <f t="shared" si="13"/>
        <v>4</v>
      </c>
      <c r="R42" s="11">
        <f t="shared" si="14"/>
        <v>2</v>
      </c>
      <c r="S42" s="12" t="str" cm="1">
        <f t="array" ref="S42">INDEX('CancerEpisode-ConceptMap-1'!$I$15:$N$125,Q42+1,R42)</f>
        <v>* group[=].element[=].display = ##34#Age at diagnosis##34#</v>
      </c>
    </row>
    <row r="43" spans="1:19" s="2" customFormat="1">
      <c r="A43"/>
      <c r="B43" s="11"/>
      <c r="C43" s="11"/>
      <c r="D43" s="12"/>
      <c r="F43" s="58"/>
      <c r="G43" s="58"/>
      <c r="H43" s="58"/>
      <c r="J43"/>
      <c r="K43" s="58"/>
      <c r="L43" s="58"/>
      <c r="M43" s="66"/>
      <c r="N43" s="66"/>
      <c r="P43" s="11">
        <v>27</v>
      </c>
      <c r="Q43" s="11">
        <f t="shared" si="13"/>
        <v>4</v>
      </c>
      <c r="R43" s="11">
        <f t="shared" si="14"/>
        <v>3</v>
      </c>
      <c r="S43" s="12" t="str" cm="1">
        <f t="array" ref="S43">INDEX('CancerEpisode-ConceptMap-1'!$I$15:$N$125,Q43+1,R43)</f>
        <v>* group[=].element[=].target.code = #Condition.onsetAge</v>
      </c>
    </row>
    <row r="44" spans="1:19" s="2" customFormat="1">
      <c r="A44"/>
      <c r="B44" s="11"/>
      <c r="C44" s="11"/>
      <c r="D44" s="12"/>
      <c r="F44" s="58"/>
      <c r="G44" s="58"/>
      <c r="H44" s="58"/>
      <c r="J44" s="58"/>
      <c r="K44" s="58"/>
      <c r="L44" s="58"/>
      <c r="M44" s="66"/>
      <c r="N44" s="66"/>
      <c r="P44" s="11">
        <v>28</v>
      </c>
      <c r="Q44" s="11">
        <f t="shared" si="13"/>
        <v>4</v>
      </c>
      <c r="R44" s="11">
        <f t="shared" si="14"/>
        <v>4</v>
      </c>
      <c r="S44" s="12" t="str" cm="1">
        <f t="array" ref="S44">INDEX('CancerEpisode-ConceptMap-1'!$I$15:$N$125,Q44+1,R44)</f>
        <v>* group[=].element[=].target.display = ##34###34#</v>
      </c>
    </row>
    <row r="45" spans="1:19" s="2" customFormat="1">
      <c r="A45"/>
      <c r="B45" s="11"/>
      <c r="C45" s="11"/>
      <c r="F45" s="58"/>
      <c r="G45" s="58"/>
      <c r="H45" s="58"/>
      <c r="J45" s="58"/>
      <c r="K45" s="58"/>
      <c r="L45" s="58"/>
      <c r="M45" s="66"/>
      <c r="N45" s="66"/>
      <c r="P45" s="11">
        <v>29</v>
      </c>
      <c r="Q45" s="11">
        <f t="shared" si="13"/>
        <v>4</v>
      </c>
      <c r="R45" s="11">
        <f t="shared" si="14"/>
        <v>5</v>
      </c>
      <c r="S45" s="12" t="str" cm="1">
        <f t="array" ref="S45">INDEX('CancerEpisode-ConceptMap-1'!$I$15:$N$125,Q45+1,R45)</f>
        <v>* group[=].element[=].target.equivalence = #equal</v>
      </c>
    </row>
    <row r="46" spans="1:19">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c r="B47" s="11"/>
      <c r="C47" s="11"/>
      <c r="P47" s="11">
        <v>31</v>
      </c>
      <c r="Q47" s="11">
        <f t="shared" si="13"/>
        <v>5</v>
      </c>
      <c r="R47" s="11">
        <f t="shared" si="14"/>
        <v>1</v>
      </c>
      <c r="S47" s="12" cm="1">
        <f t="array" ref="S47">INDEX('CancerEpisode-ConceptMap-1'!$I$15:$N$125,Q47+1,R47)</f>
        <v>0</v>
      </c>
    </row>
    <row r="48" spans="1:19">
      <c r="P48" s="11">
        <v>32</v>
      </c>
      <c r="Q48" s="11">
        <f t="shared" si="13"/>
        <v>5</v>
      </c>
      <c r="R48" s="11">
        <f t="shared" si="14"/>
        <v>2</v>
      </c>
      <c r="S48" s="12" cm="1">
        <f t="array" ref="S48">INDEX('CancerEpisode-ConceptMap-1'!$I$15:$N$125,Q48+1,R48)</f>
        <v>0</v>
      </c>
    </row>
    <row r="49" spans="16:19" ht="29.5">
      <c r="P49" s="11">
        <v>33</v>
      </c>
      <c r="Q49" s="11">
        <f t="shared" si="13"/>
        <v>5</v>
      </c>
      <c r="R49" s="11">
        <f t="shared" si="14"/>
        <v>3</v>
      </c>
      <c r="S49" s="12" cm="1">
        <f t="array" ref="S49">INDEX('CancerEpisode-ConceptMap-1'!$I$15:$N$125,Q49+1,R49)</f>
        <v>0</v>
      </c>
    </row>
    <row r="50" spans="16:19">
      <c r="P50" s="11">
        <v>34</v>
      </c>
      <c r="Q50" s="11">
        <f t="shared" si="13"/>
        <v>5</v>
      </c>
      <c r="R50" s="11">
        <f t="shared" si="14"/>
        <v>4</v>
      </c>
      <c r="S50" s="12" cm="1">
        <f t="array" ref="S50">INDEX('CancerEpisode-ConceptMap-1'!$I$15:$N$125,Q50+1,R50)</f>
        <v>0</v>
      </c>
    </row>
    <row r="51" spans="16:19">
      <c r="P51" s="11">
        <v>35</v>
      </c>
      <c r="Q51" s="11">
        <f t="shared" si="13"/>
        <v>5</v>
      </c>
      <c r="R51" s="11">
        <f t="shared" si="14"/>
        <v>5</v>
      </c>
      <c r="S51" s="12" cm="1">
        <f t="array" ref="S51">INDEX('CancerEpisode-ConceptMap-1'!$I$15:$N$125,Q51+1,R51)</f>
        <v>0</v>
      </c>
    </row>
    <row r="52" spans="16:19" ht="29.5">
      <c r="P52" s="11">
        <v>36</v>
      </c>
      <c r="Q52" s="11">
        <f t="shared" si="13"/>
        <v>5</v>
      </c>
      <c r="R52" s="11">
        <f t="shared" si="14"/>
        <v>6</v>
      </c>
      <c r="S52" s="12" cm="1">
        <f t="array" ref="S52">INDEX('CancerEpisode-ConceptMap-1'!$I$15:$N$125,Q52+1,R52)</f>
        <v>0</v>
      </c>
    </row>
    <row r="53" spans="16:19">
      <c r="P53" s="11">
        <v>37</v>
      </c>
      <c r="Q53" s="11">
        <f t="shared" si="13"/>
        <v>6</v>
      </c>
      <c r="R53" s="11">
        <f t="shared" si="14"/>
        <v>1</v>
      </c>
      <c r="S53" s="12" t="str" cm="1">
        <f t="array" ref="S53">INDEX('CancerEpisode-ConceptMap-1'!$I$15:$N$125,Q53+1,R53)</f>
        <v>* group[=].element[+].code = #CancerEpisode.grading</v>
      </c>
    </row>
    <row r="54" spans="16:19">
      <c r="P54" s="11">
        <v>38</v>
      </c>
      <c r="Q54" s="11">
        <f t="shared" si="13"/>
        <v>6</v>
      </c>
      <c r="R54" s="11">
        <f t="shared" si="14"/>
        <v>2</v>
      </c>
      <c r="S54" s="12" t="str" cm="1">
        <f t="array" ref="S54">INDEX('CancerEpisode-ConceptMap-1'!$I$15:$N$125,Q54+1,R54)</f>
        <v>* group[=].element[=].display = ##34#Grading##34#</v>
      </c>
    </row>
    <row r="55" spans="16:19">
      <c r="P55" s="11">
        <v>39</v>
      </c>
      <c r="Q55" s="11">
        <f t="shared" si="13"/>
        <v>6</v>
      </c>
      <c r="R55" s="11">
        <f t="shared" si="14"/>
        <v>3</v>
      </c>
      <c r="S55" s="12" t="str" cm="1">
        <f t="array" ref="S55">INDEX('CancerEpisode-ConceptMap-1'!$I$15:$N$125,Q55+1,R55)</f>
        <v>* group[=].element[=].target.code = #Condition.stage.summary</v>
      </c>
    </row>
    <row r="56" spans="16:19">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c r="P57" s="11">
        <v>41</v>
      </c>
      <c r="Q57" s="11">
        <f t="shared" si="21"/>
        <v>6</v>
      </c>
      <c r="R57" s="11">
        <f t="shared" si="22"/>
        <v>5</v>
      </c>
      <c r="S57" s="12" t="str" cm="1">
        <f t="array" ref="S57">INDEX('CancerEpisode-ConceptMap-1'!$I$15:$N$125,Q57+1,R57)</f>
        <v>* group[=].element[=].target.equivalence = #relatedto</v>
      </c>
    </row>
    <row r="58" spans="16:19" ht="29.5">
      <c r="P58" s="11">
        <v>42</v>
      </c>
      <c r="Q58" s="11">
        <f t="shared" si="21"/>
        <v>6</v>
      </c>
      <c r="R58" s="11">
        <f t="shared" si="22"/>
        <v>6</v>
      </c>
      <c r="S58" s="12" t="str" cm="1">
        <f t="array" ref="S58">INDEX('CancerEpisode-ConceptMap-1'!$I$15:$N$125,Q58+1,R58)</f>
        <v>* group[=].element[=].target.comment = ##34#to be checked##34#</v>
      </c>
    </row>
    <row r="59" spans="16:19">
      <c r="P59" s="11">
        <v>43</v>
      </c>
      <c r="Q59" s="11">
        <f t="shared" si="21"/>
        <v>7</v>
      </c>
      <c r="R59" s="11">
        <f t="shared" si="22"/>
        <v>1</v>
      </c>
      <c r="S59" s="12" t="e" cm="1">
        <f t="array" ref="S59">INDEX('CancerEpisode-ConceptMap-1'!$I$15:$N$125,Q59+1,R59)</f>
        <v>#REF!</v>
      </c>
    </row>
    <row r="60" spans="16:19">
      <c r="P60" s="11">
        <v>44</v>
      </c>
      <c r="Q60" s="11">
        <f t="shared" si="21"/>
        <v>7</v>
      </c>
      <c r="R60" s="11">
        <f t="shared" si="22"/>
        <v>2</v>
      </c>
      <c r="S60" s="12" t="e" cm="1">
        <f t="array" ref="S60">INDEX('CancerEpisode-ConceptMap-1'!$I$15:$N$125,Q60+1,R60)</f>
        <v>#REF!</v>
      </c>
    </row>
    <row r="61" spans="16:19">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c r="P62" s="11">
        <v>46</v>
      </c>
      <c r="Q62" s="11">
        <f t="shared" si="21"/>
        <v>7</v>
      </c>
      <c r="R62" s="11">
        <f t="shared" si="22"/>
        <v>4</v>
      </c>
      <c r="S62" s="12" t="str" cm="1">
        <f t="array" ref="S62">INDEX('CancerEpisode-ConceptMap-1'!$I$15:$N$125,Q62+1,R62)</f>
        <v>* group[=].element[=].target.display = ##34###34#</v>
      </c>
    </row>
    <row r="63" spans="16:19">
      <c r="P63" s="11">
        <v>47</v>
      </c>
      <c r="Q63" s="11">
        <f t="shared" si="21"/>
        <v>7</v>
      </c>
      <c r="R63" s="11">
        <f t="shared" si="22"/>
        <v>5</v>
      </c>
      <c r="S63" s="12" t="str" cm="1">
        <f t="array" ref="S63">INDEX('CancerEpisode-ConceptMap-1'!$I$15:$N$125,Q63+1,R63)</f>
        <v>* group[=].element[=].target.equivalence = #relatedto</v>
      </c>
    </row>
    <row r="64" spans="16:19" ht="29.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ht="29.5">
      <c r="P65" s="11">
        <v>49</v>
      </c>
      <c r="Q65" s="11">
        <f t="shared" si="21"/>
        <v>8</v>
      </c>
      <c r="R65" s="11">
        <f t="shared" si="22"/>
        <v>1</v>
      </c>
      <c r="S65" s="12" t="str" cm="1">
        <f t="array" ref="S65">INDEX('CancerEpisode-ConceptMap-1'!$I$15:$N$125,Q65+1,R65)</f>
        <v>* group[=].element[+].code = #CancerEpisode.histologySubGroup</v>
      </c>
    </row>
    <row r="66" spans="16:19">
      <c r="P66" s="11">
        <v>50</v>
      </c>
      <c r="Q66" s="11">
        <f t="shared" si="21"/>
        <v>8</v>
      </c>
      <c r="R66" s="11">
        <f t="shared" si="22"/>
        <v>2</v>
      </c>
      <c r="S66" s="12" t="str" cm="1">
        <f t="array" ref="S66">INDEX('CancerEpisode-ConceptMap-1'!$I$15:$N$125,Q66+1,R66)</f>
        <v>* group[=].element[=].display = ##34#Histology Subgroups##34#</v>
      </c>
    </row>
    <row r="67" spans="16:19">
      <c r="P67" s="11">
        <v>51</v>
      </c>
      <c r="Q67" s="11">
        <f t="shared" si="21"/>
        <v>8</v>
      </c>
      <c r="R67" s="11">
        <f t="shared" si="22"/>
        <v>3</v>
      </c>
      <c r="S67" s="12" t="str" cm="1">
        <f t="array" ref="S67">INDEX('CancerEpisode-ConceptMap-1'!$I$15:$N$125,Q67+1,R67)</f>
        <v>* group[=].element[=].target.code = #Condition.code</v>
      </c>
    </row>
    <row r="68" spans="16:19">
      <c r="P68" s="11">
        <v>52</v>
      </c>
      <c r="Q68" s="11">
        <f t="shared" si="21"/>
        <v>8</v>
      </c>
      <c r="R68" s="11">
        <f t="shared" si="22"/>
        <v>4</v>
      </c>
      <c r="S68" s="12" t="str" cm="1">
        <f t="array" ref="S68">INDEX('CancerEpisode-ConceptMap-1'!$I$15:$N$125,Q68+1,R68)</f>
        <v>* group[=].element[=].target.display = ##34###34#</v>
      </c>
    </row>
    <row r="69" spans="16:19">
      <c r="P69" s="11">
        <v>53</v>
      </c>
      <c r="Q69" s="11">
        <f t="shared" si="21"/>
        <v>8</v>
      </c>
      <c r="R69" s="11">
        <f t="shared" si="22"/>
        <v>5</v>
      </c>
      <c r="S69" s="12" t="str" cm="1">
        <f t="array" ref="S69">INDEX('CancerEpisode-ConceptMap-1'!$I$15:$N$125,Q69+1,R69)</f>
        <v>* group[=].element[=].target.equivalence = #relatedto</v>
      </c>
    </row>
    <row r="70" spans="16:19" ht="29.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ht="29.5">
      <c r="P71" s="11">
        <v>55</v>
      </c>
      <c r="Q71" s="11">
        <f t="shared" si="21"/>
        <v>9</v>
      </c>
      <c r="R71" s="11">
        <f t="shared" si="22"/>
        <v>1</v>
      </c>
      <c r="S71" s="12" t="str" cm="1">
        <f t="array" ref="S71">INDEX('CancerEpisode-ConceptMap-1'!$I$15:$N$125,Q71+1,R71)</f>
        <v>* group[=].element[+].code = #CancerEpisode.histologySubGroup.histologySquamous</v>
      </c>
    </row>
    <row r="72" spans="16:19">
      <c r="P72" s="11">
        <v>56</v>
      </c>
      <c r="Q72" s="11">
        <f t="shared" si="21"/>
        <v>9</v>
      </c>
      <c r="R72" s="11">
        <f t="shared" si="22"/>
        <v>2</v>
      </c>
      <c r="S72" s="12" t="str" cm="1">
        <f t="array" ref="S72">INDEX('CancerEpisode-ConceptMap-1'!$I$15:$N$125,Q72+1,R72)</f>
        <v>* group[=].element[=].display = ##34#Histology Squamous##34#</v>
      </c>
    </row>
    <row r="73" spans="16:19">
      <c r="P73" s="11">
        <v>57</v>
      </c>
      <c r="Q73" s="11">
        <f t="shared" si="21"/>
        <v>9</v>
      </c>
      <c r="R73" s="11">
        <f t="shared" si="22"/>
        <v>3</v>
      </c>
      <c r="S73" s="12" t="str" cm="1">
        <f t="array" ref="S73">INDEX('CancerEpisode-ConceptMap-1'!$I$15:$N$125,Q73+1,R73)</f>
        <v>* group[=].element[=].target.code = #Condition.code</v>
      </c>
    </row>
    <row r="74" spans="16:19">
      <c r="P74" s="11">
        <v>58</v>
      </c>
      <c r="Q74" s="11">
        <f t="shared" si="21"/>
        <v>9</v>
      </c>
      <c r="R74" s="11">
        <f t="shared" si="22"/>
        <v>4</v>
      </c>
      <c r="S74" s="12" t="str" cm="1">
        <f t="array" ref="S74">INDEX('CancerEpisode-ConceptMap-1'!$I$15:$N$125,Q74+1,R74)</f>
        <v>* group[=].element[=].target.display = ##34###34#</v>
      </c>
    </row>
    <row r="75" spans="16:19">
      <c r="P75" s="11">
        <v>59</v>
      </c>
      <c r="Q75" s="11">
        <f t="shared" si="21"/>
        <v>9</v>
      </c>
      <c r="R75" s="11">
        <f t="shared" si="22"/>
        <v>5</v>
      </c>
      <c r="S75" s="12" t="str" cm="1">
        <f t="array" ref="S75">INDEX('CancerEpisode-ConceptMap-1'!$I$15:$N$125,Q75+1,R75)</f>
        <v>* group[=].element[=].target.equivalence = #relatedto</v>
      </c>
    </row>
    <row r="76" spans="16:19" ht="29.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c r="P77" s="11">
        <v>61</v>
      </c>
      <c r="Q77" s="11">
        <f t="shared" si="21"/>
        <v>10</v>
      </c>
      <c r="R77" s="11">
        <f t="shared" si="22"/>
        <v>1</v>
      </c>
      <c r="S77" s="12" t="str" cm="1">
        <f t="array" ref="S77">INDEX('CancerEpisode-ConceptMap-1'!$I$15:$N$125,Q77+1,R77)</f>
        <v>* group[=].element[+].code = #CancerEpisode.histologySubGroup.histologyAdenocarcinoma</v>
      </c>
    </row>
    <row r="78" spans="16:19">
      <c r="P78" s="11">
        <v>62</v>
      </c>
      <c r="Q78" s="11">
        <f t="shared" si="21"/>
        <v>10</v>
      </c>
      <c r="R78" s="11">
        <f t="shared" si="22"/>
        <v>2</v>
      </c>
      <c r="S78" s="12" t="str" cm="1">
        <f t="array" ref="S78">INDEX('CancerEpisode-ConceptMap-1'!$I$15:$N$125,Q78+1,R78)</f>
        <v>* group[=].element[=].display = ##34#Histology Adenocarcinoma##34#</v>
      </c>
    </row>
    <row r="79" spans="16:19">
      <c r="P79" s="11">
        <v>63</v>
      </c>
      <c r="Q79" s="11">
        <f t="shared" si="21"/>
        <v>10</v>
      </c>
      <c r="R79" s="11">
        <f t="shared" si="22"/>
        <v>3</v>
      </c>
      <c r="S79" s="12" t="str" cm="1">
        <f t="array" ref="S79">INDEX('CancerEpisode-ConceptMap-1'!$I$15:$N$125,Q79+1,R79)</f>
        <v>* group[=].element[=].target.code = #Condition.code</v>
      </c>
    </row>
    <row r="80" spans="16:19">
      <c r="P80" s="11">
        <v>64</v>
      </c>
      <c r="Q80" s="11">
        <f t="shared" si="21"/>
        <v>10</v>
      </c>
      <c r="R80" s="11">
        <f t="shared" si="22"/>
        <v>4</v>
      </c>
      <c r="S80" s="12" t="str" cm="1">
        <f t="array" ref="S80">INDEX('CancerEpisode-ConceptMap-1'!$I$15:$N$125,Q80+1,R80)</f>
        <v>* group[=].element[=].target.display = ##34###34#</v>
      </c>
    </row>
    <row r="81" spans="16:19">
      <c r="P81" s="11">
        <v>65</v>
      </c>
      <c r="Q81" s="11">
        <f t="shared" si="21"/>
        <v>10</v>
      </c>
      <c r="R81" s="11">
        <f t="shared" si="22"/>
        <v>5</v>
      </c>
      <c r="S81" s="12" t="str" cm="1">
        <f t="array" ref="S81">INDEX('CancerEpisode-ConceptMap-1'!$I$15:$N$125,Q81+1,R81)</f>
        <v>* group[=].element[=].target.equivalence = #relatedto</v>
      </c>
    </row>
    <row r="82" spans="16:19" ht="29.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c r="P83" s="11">
        <v>67</v>
      </c>
      <c r="Q83" s="11">
        <f t="shared" si="21"/>
        <v>11</v>
      </c>
      <c r="R83" s="11">
        <f t="shared" si="22"/>
        <v>1</v>
      </c>
      <c r="S83" s="12" t="str" cm="1">
        <f t="array" ref="S83">INDEX('CancerEpisode-ConceptMap-1'!$I$15:$N$125,Q83+1,R83)</f>
        <v>* group[=].element[+].code = #CancerEpisode.histologySubGroup.histologyNeuroendocrine</v>
      </c>
    </row>
    <row r="84" spans="16:19" ht="29.5">
      <c r="P84" s="11">
        <v>68</v>
      </c>
      <c r="Q84" s="11">
        <f t="shared" si="21"/>
        <v>11</v>
      </c>
      <c r="R84" s="11">
        <f t="shared" si="22"/>
        <v>2</v>
      </c>
      <c r="S84" s="12" t="str" cm="1">
        <f t="array" ref="S84">INDEX('CancerEpisode-ConceptMap-1'!$I$15:$N$125,Q84+1,R84)</f>
        <v>* group[=].element[=].display = ##34#Histology Neuroendocrine##34#</v>
      </c>
    </row>
    <row r="85" spans="16:19">
      <c r="P85" s="11">
        <v>69</v>
      </c>
      <c r="Q85" s="11">
        <f t="shared" si="21"/>
        <v>11</v>
      </c>
      <c r="R85" s="11">
        <f t="shared" si="22"/>
        <v>3</v>
      </c>
      <c r="S85" s="12" t="str" cm="1">
        <f t="array" ref="S85">INDEX('CancerEpisode-ConceptMap-1'!$I$15:$N$125,Q85+1,R85)</f>
        <v>* group[=].element[=].target.code = #Condition.code</v>
      </c>
    </row>
    <row r="86" spans="16:19">
      <c r="P86" s="11">
        <v>70</v>
      </c>
      <c r="Q86" s="11">
        <f t="shared" si="21"/>
        <v>11</v>
      </c>
      <c r="R86" s="11">
        <f t="shared" si="22"/>
        <v>4</v>
      </c>
      <c r="S86" s="12" t="str" cm="1">
        <f t="array" ref="S86">INDEX('CancerEpisode-ConceptMap-1'!$I$15:$N$125,Q86+1,R86)</f>
        <v>* group[=].element[=].target.display = ##34###34#</v>
      </c>
    </row>
    <row r="87" spans="16:19">
      <c r="P87" s="11">
        <v>71</v>
      </c>
      <c r="Q87" s="11">
        <f t="shared" si="21"/>
        <v>11</v>
      </c>
      <c r="R87" s="11">
        <f t="shared" si="22"/>
        <v>5</v>
      </c>
      <c r="S87" s="12" t="str" cm="1">
        <f t="array" ref="S87">INDEX('CancerEpisode-ConceptMap-1'!$I$15:$N$125,Q87+1,R87)</f>
        <v>* group[=].element[=].target.equivalence = #relatedto</v>
      </c>
    </row>
    <row r="88" spans="16:19" ht="29.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c r="P89" s="11">
        <v>73</v>
      </c>
      <c r="Q89" s="11">
        <f t="shared" si="21"/>
        <v>12</v>
      </c>
      <c r="R89" s="11">
        <f t="shared" si="22"/>
        <v>1</v>
      </c>
      <c r="S89" s="12" t="str" cm="1">
        <f t="array" ref="S89">INDEX('CancerEpisode-ConceptMap-1'!$I$15:$N$125,Q89+1,R89)</f>
        <v>* group[=].element[+].code = #CancerEpisode.histologySubGroup.histologyOdontogenicCarcinoma</v>
      </c>
    </row>
    <row r="90" spans="16:19" ht="29.5">
      <c r="P90" s="11">
        <v>74</v>
      </c>
      <c r="Q90" s="11">
        <f t="shared" si="21"/>
        <v>12</v>
      </c>
      <c r="R90" s="11">
        <f t="shared" si="22"/>
        <v>2</v>
      </c>
      <c r="S90" s="12" t="str" cm="1">
        <f t="array" ref="S90">INDEX('CancerEpisode-ConceptMap-1'!$I$15:$N$125,Q90+1,R90)</f>
        <v>* group[=].element[=].display = ##34#Histology Odontogenic Carcinoma##34#</v>
      </c>
    </row>
    <row r="91" spans="16:19">
      <c r="P91" s="11">
        <v>75</v>
      </c>
      <c r="Q91" s="11">
        <f t="shared" si="21"/>
        <v>12</v>
      </c>
      <c r="R91" s="11">
        <f t="shared" si="22"/>
        <v>3</v>
      </c>
      <c r="S91" s="12" t="str" cm="1">
        <f t="array" ref="S91">INDEX('CancerEpisode-ConceptMap-1'!$I$15:$N$125,Q91+1,R91)</f>
        <v>* group[=].element[=].target.code = #Condition.code</v>
      </c>
    </row>
    <row r="92" spans="16:19">
      <c r="P92" s="11">
        <v>76</v>
      </c>
      <c r="Q92" s="11">
        <f t="shared" si="21"/>
        <v>12</v>
      </c>
      <c r="R92" s="11">
        <f t="shared" si="22"/>
        <v>4</v>
      </c>
      <c r="S92" s="12" t="str" cm="1">
        <f t="array" ref="S92">INDEX('CancerEpisode-ConceptMap-1'!$I$15:$N$125,Q92+1,R92)</f>
        <v>* group[=].element[=].target.display = ##34###34#</v>
      </c>
    </row>
    <row r="93" spans="16:19">
      <c r="P93" s="11">
        <v>77</v>
      </c>
      <c r="Q93" s="11">
        <f t="shared" si="21"/>
        <v>12</v>
      </c>
      <c r="R93" s="11">
        <f t="shared" si="22"/>
        <v>5</v>
      </c>
      <c r="S93" s="12" t="str" cm="1">
        <f t="array" ref="S93">INDEX('CancerEpisode-ConceptMap-1'!$I$15:$N$125,Q93+1,R93)</f>
        <v>* group[=].element[=].target.equivalence = #relatedto</v>
      </c>
    </row>
    <row r="94" spans="16:19" ht="29.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c r="P95" s="11">
        <v>79</v>
      </c>
      <c r="Q95" s="11">
        <f t="shared" si="21"/>
        <v>13</v>
      </c>
      <c r="R95" s="11">
        <f t="shared" si="22"/>
        <v>1</v>
      </c>
      <c r="S95" s="12" t="str" cm="1">
        <f t="array" ref="S95">INDEX('CancerEpisode-ConceptMap-1'!$I$15:$N$125,Q95+1,R95)</f>
        <v>* group[=].element[+].code = #CancerEpisode.histologySubGroup.histologySNUC</v>
      </c>
    </row>
    <row r="96" spans="16:19">
      <c r="P96" s="11">
        <v>80</v>
      </c>
      <c r="Q96" s="11">
        <f t="shared" si="21"/>
        <v>13</v>
      </c>
      <c r="R96" s="11">
        <f t="shared" si="22"/>
        <v>2</v>
      </c>
      <c r="S96" s="12" t="str" cm="1">
        <f t="array" ref="S96">INDEX('CancerEpisode-ConceptMap-1'!$I$15:$N$125,Q96+1,R96)</f>
        <v>* group[=].element[=].display = ##34#Histology Sinonasal undifferentiated carcinoma##34#</v>
      </c>
    </row>
    <row r="97" spans="16:19">
      <c r="P97" s="11">
        <v>81</v>
      </c>
      <c r="Q97" s="11">
        <f t="shared" si="21"/>
        <v>13</v>
      </c>
      <c r="R97" s="11">
        <f t="shared" si="22"/>
        <v>3</v>
      </c>
      <c r="S97" s="12" t="str" cm="1">
        <f t="array" ref="S97">INDEX('CancerEpisode-ConceptMap-1'!$I$15:$N$125,Q97+1,R97)</f>
        <v>* group[=].element[=].target.code = #Condition.code</v>
      </c>
    </row>
    <row r="98" spans="16:19">
      <c r="P98" s="11">
        <v>82</v>
      </c>
      <c r="Q98" s="11">
        <f t="shared" si="21"/>
        <v>13</v>
      </c>
      <c r="R98" s="11">
        <f t="shared" si="22"/>
        <v>4</v>
      </c>
      <c r="S98" s="12" t="str" cm="1">
        <f t="array" ref="S98">INDEX('CancerEpisode-ConceptMap-1'!$I$15:$N$125,Q98+1,R98)</f>
        <v>* group[=].element[=].target.display = ##34###34#</v>
      </c>
    </row>
    <row r="99" spans="16:19">
      <c r="P99" s="11">
        <v>83</v>
      </c>
      <c r="Q99" s="11">
        <f t="shared" si="21"/>
        <v>13</v>
      </c>
      <c r="R99" s="11">
        <f t="shared" si="22"/>
        <v>5</v>
      </c>
      <c r="S99" s="12" t="str" cm="1">
        <f t="array" ref="S99">INDEX('CancerEpisode-ConceptMap-1'!$I$15:$N$125,Q99+1,R99)</f>
        <v>* group[=].element[=].target.equivalence = #relatedto</v>
      </c>
    </row>
    <row r="100" spans="16:19" ht="29.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c r="P101" s="11">
        <v>85</v>
      </c>
      <c r="Q101" s="11">
        <f t="shared" si="21"/>
        <v>14</v>
      </c>
      <c r="R101" s="11">
        <f t="shared" si="22"/>
        <v>1</v>
      </c>
      <c r="S101" s="12" t="str" cm="1">
        <f t="array" ref="S101">INDEX('CancerEpisode-ConceptMap-1'!$I$15:$N$125,Q101+1,R101)</f>
        <v>* group[=].element[+].code = #CancerEpisode.subsites.nasalCavityAndParanasalSinusesSubsite</v>
      </c>
    </row>
    <row r="102" spans="16:19">
      <c r="P102" s="11">
        <v>86</v>
      </c>
      <c r="Q102" s="11">
        <f t="shared" si="21"/>
        <v>14</v>
      </c>
      <c r="R102" s="11">
        <f t="shared" si="22"/>
        <v>2</v>
      </c>
      <c r="S102" s="12" t="str" cm="1">
        <f t="array" ref="S102">INDEX('CancerEpisode-ConceptMap-1'!$I$15:$N$125,Q102+1,R102)</f>
        <v>* group[=].element[=].display = ##34#Nasal cavity and paranasal sinuses subsite##34#</v>
      </c>
    </row>
    <row r="103" spans="16:19">
      <c r="P103" s="11">
        <v>87</v>
      </c>
      <c r="Q103" s="11">
        <f t="shared" si="21"/>
        <v>14</v>
      </c>
      <c r="R103" s="11">
        <f t="shared" si="22"/>
        <v>3</v>
      </c>
      <c r="S103" s="12" t="str" cm="1">
        <f t="array" ref="S103">INDEX('CancerEpisode-ConceptMap-1'!$I$15:$N$125,Q103+1,R103)</f>
        <v>* group[=].element[=].target.code = #Condition.code</v>
      </c>
    </row>
    <row r="104" spans="16:19">
      <c r="P104" s="11">
        <v>88</v>
      </c>
      <c r="Q104" s="11">
        <f t="shared" si="21"/>
        <v>14</v>
      </c>
      <c r="R104" s="11">
        <f t="shared" si="22"/>
        <v>4</v>
      </c>
      <c r="S104" s="12" t="str" cm="1">
        <f t="array" ref="S104">INDEX('CancerEpisode-ConceptMap-1'!$I$15:$N$125,Q104+1,R104)</f>
        <v>* group[=].element[=].target.display = ##34###34#</v>
      </c>
    </row>
    <row r="105" spans="16:19">
      <c r="P105" s="11">
        <v>89</v>
      </c>
      <c r="Q105" s="11">
        <f t="shared" si="21"/>
        <v>14</v>
      </c>
      <c r="R105" s="11">
        <f t="shared" si="22"/>
        <v>5</v>
      </c>
      <c r="S105" s="12" t="str" cm="1">
        <f t="array" ref="S105">INDEX('CancerEpisode-ConceptMap-1'!$I$15:$N$125,Q105+1,R105)</f>
        <v>* group[=].element[=].target.equivalence = #relatedto</v>
      </c>
    </row>
    <row r="106" spans="16:19" ht="29.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c r="P107" s="11">
        <v>91</v>
      </c>
      <c r="Q107" s="11">
        <f t="shared" si="21"/>
        <v>15</v>
      </c>
      <c r="R107" s="11">
        <f t="shared" si="22"/>
        <v>1</v>
      </c>
      <c r="S107" s="12" t="str" cm="1">
        <f t="array" ref="S107">INDEX('CancerEpisode-ConceptMap-1'!$I$15:$N$125,Q107+1,R107)</f>
        <v>* group[=].element[+].code = #CancerEpisode.subsites.nasopharynxSubsite</v>
      </c>
    </row>
    <row r="108" spans="16:19">
      <c r="P108" s="11">
        <v>92</v>
      </c>
      <c r="Q108" s="11">
        <f t="shared" si="21"/>
        <v>15</v>
      </c>
      <c r="R108" s="11">
        <f t="shared" si="22"/>
        <v>2</v>
      </c>
      <c r="S108" s="12" t="str" cm="1">
        <f t="array" ref="S108">INDEX('CancerEpisode-ConceptMap-1'!$I$15:$N$125,Q108+1,R108)</f>
        <v>* group[=].element[=].display = ##34#Nasopharynx  subsite##34#</v>
      </c>
    </row>
    <row r="109" spans="16:19">
      <c r="P109" s="11">
        <v>93</v>
      </c>
      <c r="Q109" s="11">
        <f t="shared" si="21"/>
        <v>15</v>
      </c>
      <c r="R109" s="11">
        <f t="shared" si="22"/>
        <v>3</v>
      </c>
      <c r="S109" s="12" t="str" cm="1">
        <f t="array" ref="S109">INDEX('CancerEpisode-ConceptMap-1'!$I$15:$N$125,Q109+1,R109)</f>
        <v>* group[=].element[=].target.code = #Condition.code</v>
      </c>
    </row>
    <row r="110" spans="16:19">
      <c r="P110" s="11">
        <v>94</v>
      </c>
      <c r="Q110" s="11">
        <f t="shared" si="21"/>
        <v>15</v>
      </c>
      <c r="R110" s="11">
        <f t="shared" si="22"/>
        <v>4</v>
      </c>
      <c r="S110" s="12" t="str" cm="1">
        <f t="array" ref="S110">INDEX('CancerEpisode-ConceptMap-1'!$I$15:$N$125,Q110+1,R110)</f>
        <v>* group[=].element[=].target.display = ##34###34#</v>
      </c>
    </row>
    <row r="111" spans="16:19">
      <c r="P111" s="11">
        <v>95</v>
      </c>
      <c r="Q111" s="11">
        <f t="shared" si="21"/>
        <v>15</v>
      </c>
      <c r="R111" s="11">
        <f t="shared" si="22"/>
        <v>5</v>
      </c>
      <c r="S111" s="12" t="str" cm="1">
        <f t="array" ref="S111">INDEX('CancerEpisode-ConceptMap-1'!$I$15:$N$125,Q111+1,R111)</f>
        <v>* group[=].element[=].target.equivalence = #relatedto</v>
      </c>
    </row>
    <row r="112" spans="16:19" ht="29.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c r="P113" s="11">
        <v>97</v>
      </c>
      <c r="Q113" s="11">
        <f t="shared" si="21"/>
        <v>16</v>
      </c>
      <c r="R113" s="11">
        <f t="shared" si="22"/>
        <v>1</v>
      </c>
      <c r="S113" s="12" t="str" cm="1">
        <f t="array" ref="S113">INDEX('CancerEpisode-ConceptMap-1'!$I$15:$N$125,Q113+1,R113)</f>
        <v>* group[=].element[+].code = #CancerEpisode.subsites.hypopharynxSubsite</v>
      </c>
    </row>
    <row r="114" spans="16:19">
      <c r="P114" s="11">
        <v>98</v>
      </c>
      <c r="Q114" s="11">
        <f t="shared" si="21"/>
        <v>16</v>
      </c>
      <c r="R114" s="11">
        <f t="shared" si="22"/>
        <v>2</v>
      </c>
      <c r="S114" s="12" t="str" cm="1">
        <f t="array" ref="S114">INDEX('CancerEpisode-ConceptMap-1'!$I$15:$N$125,Q114+1,R114)</f>
        <v>* group[=].element[=].display = ##34#Hypopharynx subsite##34#</v>
      </c>
    </row>
    <row r="115" spans="16:19">
      <c r="P115" s="11">
        <v>99</v>
      </c>
      <c r="Q115" s="11">
        <f t="shared" si="21"/>
        <v>16</v>
      </c>
      <c r="R115" s="11">
        <f t="shared" si="22"/>
        <v>3</v>
      </c>
      <c r="S115" s="12" t="str" cm="1">
        <f t="array" ref="S115">INDEX('CancerEpisode-ConceptMap-1'!$I$15:$N$125,Q115+1,R115)</f>
        <v>* group[=].element[=].target.code = #Condition.code</v>
      </c>
    </row>
    <row r="116" spans="16:19">
      <c r="P116" s="11">
        <v>100</v>
      </c>
      <c r="Q116" s="11">
        <f t="shared" si="21"/>
        <v>16</v>
      </c>
      <c r="R116" s="11">
        <f t="shared" si="22"/>
        <v>4</v>
      </c>
      <c r="S116" s="12" t="str" cm="1">
        <f t="array" ref="S116">INDEX('CancerEpisode-ConceptMap-1'!$I$15:$N$125,Q116+1,R116)</f>
        <v>* group[=].element[=].target.display = ##34###34#</v>
      </c>
    </row>
    <row r="117" spans="16:19">
      <c r="P117" s="11">
        <v>101</v>
      </c>
      <c r="Q117" s="11">
        <f t="shared" si="21"/>
        <v>16</v>
      </c>
      <c r="R117" s="11">
        <f t="shared" si="22"/>
        <v>5</v>
      </c>
      <c r="S117" s="12" t="str" cm="1">
        <f t="array" ref="S117">INDEX('CancerEpisode-ConceptMap-1'!$I$15:$N$125,Q117+1,R117)</f>
        <v>* group[=].element[=].target.equivalence = #relatedto</v>
      </c>
    </row>
    <row r="118" spans="16:19" ht="29.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c r="P119" s="11">
        <v>103</v>
      </c>
      <c r="Q119" s="11">
        <f t="shared" si="21"/>
        <v>17</v>
      </c>
      <c r="R119" s="11">
        <f t="shared" si="22"/>
        <v>1</v>
      </c>
      <c r="S119" s="12" t="str" cm="1">
        <f t="array" ref="S119">INDEX('CancerEpisode-ConceptMap-1'!$I$15:$N$125,Q119+1,R119)</f>
        <v>* group[=].element[+].code = #CancerEpisode.subsites.oropharynxSubsite</v>
      </c>
    </row>
    <row r="120" spans="16:19">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c r="P121" s="11">
        <v>105</v>
      </c>
      <c r="Q121" s="11">
        <f t="shared" si="23"/>
        <v>17</v>
      </c>
      <c r="R121" s="11">
        <f t="shared" si="24"/>
        <v>3</v>
      </c>
      <c r="S121" s="12" t="str" cm="1">
        <f t="array" ref="S121">INDEX('CancerEpisode-ConceptMap-1'!$I$15:$N$125,Q121+1,R121)</f>
        <v>* group[=].element[=].target.code = #Condition.code</v>
      </c>
    </row>
    <row r="122" spans="16:19">
      <c r="P122" s="11">
        <v>106</v>
      </c>
      <c r="Q122" s="11">
        <f t="shared" si="23"/>
        <v>17</v>
      </c>
      <c r="R122" s="11">
        <f t="shared" si="24"/>
        <v>4</v>
      </c>
      <c r="S122" s="12" t="str" cm="1">
        <f t="array" ref="S122">INDEX('CancerEpisode-ConceptMap-1'!$I$15:$N$125,Q122+1,R122)</f>
        <v>* group[=].element[=].target.display = ##34###34#</v>
      </c>
    </row>
    <row r="123" spans="16:19">
      <c r="P123" s="11">
        <v>107</v>
      </c>
      <c r="Q123" s="11">
        <f t="shared" si="23"/>
        <v>17</v>
      </c>
      <c r="R123" s="11">
        <f t="shared" si="24"/>
        <v>5</v>
      </c>
      <c r="S123" s="12" t="str" cm="1">
        <f t="array" ref="S123">INDEX('CancerEpisode-ConceptMap-1'!$I$15:$N$125,Q123+1,R123)</f>
        <v>* group[=].element[=].target.equivalence = #relatedto</v>
      </c>
    </row>
    <row r="124" spans="16:19" ht="29.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c r="P125" s="11">
        <v>109</v>
      </c>
      <c r="Q125" s="11">
        <f t="shared" si="23"/>
        <v>18</v>
      </c>
      <c r="R125" s="11">
        <f t="shared" si="24"/>
        <v>1</v>
      </c>
      <c r="S125" s="12" t="str" cm="1">
        <f t="array" ref="S125">INDEX('CancerEpisode-ConceptMap-1'!$I$15:$N$125,Q125+1,R125)</f>
        <v>* group[=].element[+].code = #CancerEpisode.subsites.larynxSubsite</v>
      </c>
    </row>
    <row r="126" spans="16:19">
      <c r="P126" s="11">
        <v>110</v>
      </c>
      <c r="Q126" s="11">
        <f t="shared" si="23"/>
        <v>18</v>
      </c>
      <c r="R126" s="11">
        <f t="shared" si="24"/>
        <v>2</v>
      </c>
      <c r="S126" s="12" t="str" cm="1">
        <f t="array" ref="S126">INDEX('CancerEpisode-ConceptMap-1'!$I$15:$N$125,Q126+1,R126)</f>
        <v>* group[=].element[=].display = ##34#Larynx subsite##34#</v>
      </c>
    </row>
    <row r="127" spans="16:19">
      <c r="P127" s="11">
        <v>111</v>
      </c>
      <c r="Q127" s="11">
        <f t="shared" si="23"/>
        <v>18</v>
      </c>
      <c r="R127" s="11">
        <f t="shared" si="24"/>
        <v>3</v>
      </c>
      <c r="S127" s="12" t="str" cm="1">
        <f t="array" ref="S127">INDEX('CancerEpisode-ConceptMap-1'!$I$15:$N$125,Q127+1,R127)</f>
        <v>* group[=].element[=].target.code = #Condition.code</v>
      </c>
    </row>
    <row r="128" spans="16:19">
      <c r="P128" s="11">
        <v>112</v>
      </c>
      <c r="Q128" s="11">
        <f t="shared" si="23"/>
        <v>18</v>
      </c>
      <c r="R128" s="11">
        <f t="shared" si="24"/>
        <v>4</v>
      </c>
      <c r="S128" s="12" t="str" cm="1">
        <f t="array" ref="S128">INDEX('CancerEpisode-ConceptMap-1'!$I$15:$N$125,Q128+1,R128)</f>
        <v>* group[=].element[=].target.display = ##34###34#</v>
      </c>
    </row>
    <row r="129" spans="16:19">
      <c r="P129" s="11">
        <v>113</v>
      </c>
      <c r="Q129" s="11">
        <f t="shared" si="23"/>
        <v>18</v>
      </c>
      <c r="R129" s="11">
        <f t="shared" si="24"/>
        <v>5</v>
      </c>
      <c r="S129" s="12" t="str" cm="1">
        <f t="array" ref="S129">INDEX('CancerEpisode-ConceptMap-1'!$I$15:$N$125,Q129+1,R129)</f>
        <v>* group[=].element[=].target.equivalence = #relatedto</v>
      </c>
    </row>
    <row r="130" spans="16:19" ht="29.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c r="P131" s="11">
        <v>115</v>
      </c>
      <c r="Q131" s="11">
        <f t="shared" si="23"/>
        <v>19</v>
      </c>
      <c r="R131" s="11">
        <f t="shared" si="24"/>
        <v>1</v>
      </c>
      <c r="S131" s="12" t="str" cm="1">
        <f t="array" ref="S131">INDEX('CancerEpisode-ConceptMap-1'!$I$15:$N$125,Q131+1,R131)</f>
        <v>* group[=].element[+].code = #CancerEpisode.subsites.oralCavitySubsite</v>
      </c>
    </row>
    <row r="132" spans="16:19">
      <c r="P132" s="11">
        <v>116</v>
      </c>
      <c r="Q132" s="11">
        <f t="shared" si="23"/>
        <v>19</v>
      </c>
      <c r="R132" s="11">
        <f t="shared" si="24"/>
        <v>2</v>
      </c>
      <c r="S132" s="12" t="str" cm="1">
        <f t="array" ref="S132">INDEX('CancerEpisode-ConceptMap-1'!$I$15:$N$125,Q132+1,R132)</f>
        <v>* group[=].element[=].display = ##34#Oral cavity subsite##34#</v>
      </c>
    </row>
    <row r="133" spans="16:19" ht="29.5">
      <c r="P133" s="11">
        <v>117</v>
      </c>
      <c r="Q133" s="11">
        <f t="shared" si="23"/>
        <v>19</v>
      </c>
      <c r="R133" s="11">
        <f t="shared" si="24"/>
        <v>3</v>
      </c>
      <c r="S133" s="12" t="str" cm="1">
        <f t="array" ref="S133">INDEX('CancerEpisode-ConceptMap-1'!$I$15:$N$125,Q133+1,R133)</f>
        <v>* group[=].element[=].target.code = #Condition.code</v>
      </c>
    </row>
    <row r="134" spans="16:19">
      <c r="P134" s="11">
        <v>118</v>
      </c>
      <c r="Q134" s="11">
        <f t="shared" si="23"/>
        <v>19</v>
      </c>
      <c r="R134" s="11">
        <f t="shared" si="24"/>
        <v>4</v>
      </c>
      <c r="S134" s="12" t="str" cm="1">
        <f t="array" ref="S134">INDEX('CancerEpisode-ConceptMap-1'!$I$15:$N$125,Q134+1,R134)</f>
        <v>* group[=].element[=].target.display = ##34###34#</v>
      </c>
    </row>
    <row r="135" spans="16:19">
      <c r="P135" s="11">
        <v>119</v>
      </c>
      <c r="Q135" s="11">
        <f t="shared" si="23"/>
        <v>19</v>
      </c>
      <c r="R135" s="11">
        <f t="shared" si="24"/>
        <v>5</v>
      </c>
      <c r="S135" s="12" t="str" cm="1">
        <f t="array" ref="S135">INDEX('CancerEpisode-ConceptMap-1'!$I$15:$N$125,Q135+1,R135)</f>
        <v>* group[=].element[=].target.equivalence = #relatedto</v>
      </c>
    </row>
    <row r="136" spans="16:19" ht="44.2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c r="P137" s="11">
        <v>121</v>
      </c>
      <c r="Q137" s="11">
        <f t="shared" si="23"/>
        <v>20</v>
      </c>
      <c r="R137" s="11">
        <f t="shared" si="24"/>
        <v>1</v>
      </c>
      <c r="S137" s="12" t="str" cm="1">
        <f t="array" ref="S137">INDEX('CancerEpisode-ConceptMap-1'!$I$15:$N$125,Q137+1,R137)</f>
        <v>* group[=].element[+].code = #CancerEpisode.subsites.lipSubsite</v>
      </c>
    </row>
    <row r="138" spans="16:19">
      <c r="P138" s="11">
        <v>122</v>
      </c>
      <c r="Q138" s="11">
        <f t="shared" si="23"/>
        <v>20</v>
      </c>
      <c r="R138" s="11">
        <f t="shared" si="24"/>
        <v>2</v>
      </c>
      <c r="S138" s="12" t="str" cm="1">
        <f t="array" ref="S138">INDEX('CancerEpisode-ConceptMap-1'!$I$15:$N$125,Q138+1,R138)</f>
        <v>* group[=].element[=].display = ##34#Lip subsite##34#</v>
      </c>
    </row>
    <row r="139" spans="16:19" ht="29.5">
      <c r="P139" s="11">
        <v>123</v>
      </c>
      <c r="Q139" s="11">
        <f t="shared" si="23"/>
        <v>20</v>
      </c>
      <c r="R139" s="11">
        <f t="shared" si="24"/>
        <v>3</v>
      </c>
      <c r="S139" s="12" t="str" cm="1">
        <f t="array" ref="S139">INDEX('CancerEpisode-ConceptMap-1'!$I$15:$N$125,Q139+1,R139)</f>
        <v>* group[=].element[=].target.code = #Condition.code</v>
      </c>
    </row>
    <row r="140" spans="16:19">
      <c r="P140" s="11">
        <v>124</v>
      </c>
      <c r="Q140" s="11">
        <f t="shared" si="23"/>
        <v>20</v>
      </c>
      <c r="R140" s="11">
        <f t="shared" si="24"/>
        <v>4</v>
      </c>
      <c r="S140" s="12" t="str" cm="1">
        <f t="array" ref="S140">INDEX('CancerEpisode-ConceptMap-1'!$I$15:$N$125,Q140+1,R140)</f>
        <v>* group[=].element[=].target.display = ##34###34#</v>
      </c>
    </row>
    <row r="141" spans="16:19">
      <c r="P141" s="11">
        <v>125</v>
      </c>
      <c r="Q141" s="11">
        <f t="shared" si="23"/>
        <v>20</v>
      </c>
      <c r="R141" s="11">
        <f t="shared" si="24"/>
        <v>5</v>
      </c>
      <c r="S141" s="12" t="str" cm="1">
        <f t="array" ref="S141">INDEX('CancerEpisode-ConceptMap-1'!$I$15:$N$125,Q141+1,R141)</f>
        <v>* group[=].element[=].target.equivalence = #relatedto</v>
      </c>
    </row>
    <row r="142" spans="16:19" ht="59">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c r="P143" s="11">
        <v>127</v>
      </c>
      <c r="Q143" s="11">
        <f t="shared" si="23"/>
        <v>21</v>
      </c>
      <c r="R143" s="11">
        <f t="shared" si="24"/>
        <v>1</v>
      </c>
      <c r="S143" s="12" t="str" cm="1">
        <f t="array" ref="S143">INDEX('CancerEpisode-ConceptMap-1'!$I$15:$N$125,Q143+1,R143)</f>
        <v>* group[=].element[+].code = #CancerEpisode.plasmaticEbvDnaAtBaseline</v>
      </c>
    </row>
    <row r="144" spans="16:19">
      <c r="P144" s="11">
        <v>128</v>
      </c>
      <c r="Q144" s="11">
        <f t="shared" si="23"/>
        <v>21</v>
      </c>
      <c r="R144" s="11">
        <f t="shared" si="24"/>
        <v>2</v>
      </c>
      <c r="S144" s="12" t="str" cm="1">
        <f t="array" ref="S144">INDEX('CancerEpisode-ConceptMap-1'!$I$15:$N$125,Q144+1,R144)</f>
        <v>* group[=].element[=].display = ##34#Plasmatic EBV DNA at baseline##34#</v>
      </c>
    </row>
    <row r="145" spans="16:19" ht="29.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c r="P146" s="11">
        <v>130</v>
      </c>
      <c r="Q146" s="11">
        <f t="shared" si="23"/>
        <v>21</v>
      </c>
      <c r="R146" s="11">
        <f t="shared" si="24"/>
        <v>4</v>
      </c>
      <c r="S146" s="12" t="str" cm="1">
        <f t="array" ref="S146">INDEX('CancerEpisode-ConceptMap-1'!$I$15:$N$125,Q146+1,R146)</f>
        <v>* group[=].element[=].target.display = ##34###34#</v>
      </c>
    </row>
    <row r="147" spans="16:19">
      <c r="P147" s="11">
        <v>131</v>
      </c>
      <c r="Q147" s="11">
        <f t="shared" si="23"/>
        <v>21</v>
      </c>
      <c r="R147" s="11">
        <f t="shared" si="24"/>
        <v>5</v>
      </c>
      <c r="S147" s="12" t="str" cm="1">
        <f t="array" ref="S147">INDEX('CancerEpisode-ConceptMap-1'!$I$15:$N$125,Q147+1,R147)</f>
        <v>* group[=].element[=].target.equivalence = #relatedto</v>
      </c>
    </row>
    <row r="148" spans="16:19" ht="44.2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c r="P149" s="11">
        <v>133</v>
      </c>
      <c r="Q149" s="11">
        <f t="shared" si="23"/>
        <v>22</v>
      </c>
      <c r="R149" s="11">
        <f t="shared" si="24"/>
        <v>1</v>
      </c>
      <c r="S149" s="12"/>
    </row>
    <row r="150" spans="16:19">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17" t="s">
        <v>1799</v>
      </c>
    </row>
    <row r="5" spans="1:19">
      <c r="B5" s="62" t="s">
        <v>10</v>
      </c>
      <c r="C5" s="7" t="s">
        <v>1779</v>
      </c>
      <c r="D5" s="62"/>
      <c r="E5" s="7"/>
    </row>
    <row r="6" spans="1:19">
      <c r="B6" s="62" t="s">
        <v>18</v>
      </c>
      <c r="C6" s="56"/>
      <c r="D6" s="62" t="s">
        <v>1771</v>
      </c>
      <c r="E6" s="184" t="str">
        <f>E3</f>
        <v>http://hl7.eu/fhir/ig/idea4rc/StructureDefinition/CancerEpisode</v>
      </c>
      <c r="F6" s="185"/>
      <c r="G6" s="185"/>
    </row>
    <row r="7" spans="1:19">
      <c r="B7" s="62" t="s">
        <v>15</v>
      </c>
      <c r="C7" s="118"/>
      <c r="D7" s="62" t="s">
        <v>1772</v>
      </c>
      <c r="E7" s="184" t="s">
        <v>1858</v>
      </c>
      <c r="F7" s="185"/>
      <c r="G7" s="185"/>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1860</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CancerEpisode!B11</f>
        <v>biopsyDoneBy</v>
      </c>
      <c r="C17" s="11" t="str">
        <f>CancerEpisode!C11</f>
        <v>Biopsy done by</v>
      </c>
      <c r="D17" s="12" t="s">
        <v>1859</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3"/>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3"/>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3"/>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3"/>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3"/>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3"/>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3"/>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3"/>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3"/>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3"/>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3"/>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3"/>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3"/>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3"/>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3"/>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3"/>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3"/>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3"/>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3"/>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3"/>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3"/>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3"/>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3"/>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3"/>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3"/>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3"/>
      <c r="P44" s="11">
        <v>30</v>
      </c>
      <c r="Q44" s="11">
        <f t="shared" si="5"/>
        <v>4</v>
      </c>
      <c r="R44" s="11">
        <f t="shared" si="6"/>
        <v>6</v>
      </c>
      <c r="S44" s="12" cm="1">
        <f t="array" ref="S44">INDEX('CancerEpisode-ConceptMap-2'!$I$15:$N$123,Q44+1,R44)</f>
        <v>0</v>
      </c>
    </row>
    <row r="45" spans="1:19">
      <c r="A45" s="59"/>
      <c r="B45" s="11"/>
      <c r="C45" s="11"/>
      <c r="D45" s="12"/>
      <c r="E45" s="11"/>
      <c r="F45" s="64"/>
      <c r="G45" s="123"/>
      <c r="P45" s="11">
        <v>31</v>
      </c>
      <c r="Q45" s="11">
        <f t="shared" si="5"/>
        <v>5</v>
      </c>
      <c r="R45" s="11">
        <f t="shared" si="6"/>
        <v>1</v>
      </c>
      <c r="S45" s="12" cm="1">
        <f t="array" ref="S45">INDEX('CancerEpisode-ConceptMap-2'!$I$15:$N$123,Q45+1,R45)</f>
        <v>0</v>
      </c>
    </row>
    <row r="46" spans="1:19">
      <c r="A46" s="59"/>
      <c r="B46" s="11"/>
      <c r="C46" s="11"/>
      <c r="D46" s="12"/>
      <c r="E46" s="11"/>
      <c r="F46" s="64"/>
      <c r="G46" s="123"/>
      <c r="P46" s="11">
        <v>32</v>
      </c>
      <c r="Q46" s="11">
        <f t="shared" si="5"/>
        <v>5</v>
      </c>
      <c r="R46" s="11">
        <f t="shared" si="6"/>
        <v>2</v>
      </c>
      <c r="S46" s="12" cm="1">
        <f t="array" ref="S46">INDEX('CancerEpisode-ConceptMap-2'!$I$15:$N$123,Q46+1,R46)</f>
        <v>0</v>
      </c>
    </row>
    <row r="47" spans="1:19">
      <c r="A47" s="59"/>
      <c r="B47" s="11"/>
      <c r="C47" s="11"/>
      <c r="D47" s="12"/>
      <c r="E47" s="11"/>
      <c r="F47" s="64"/>
      <c r="G47" s="123"/>
      <c r="P47" s="11">
        <v>33</v>
      </c>
      <c r="Q47" s="11">
        <f t="shared" si="5"/>
        <v>5</v>
      </c>
      <c r="R47" s="11">
        <f t="shared" si="6"/>
        <v>3</v>
      </c>
      <c r="S47" s="12" cm="1">
        <f t="array" ref="S47">INDEX('CancerEpisode-ConceptMap-2'!$I$15:$N$123,Q47+1,R47)</f>
        <v>0</v>
      </c>
    </row>
    <row r="48" spans="1:19">
      <c r="A48" s="59"/>
      <c r="B48" s="11"/>
      <c r="C48" s="11"/>
      <c r="D48" s="12"/>
      <c r="E48" s="11"/>
      <c r="F48" s="64"/>
      <c r="G48" s="123"/>
      <c r="P48" s="11">
        <v>34</v>
      </c>
      <c r="Q48" s="11">
        <f t="shared" si="5"/>
        <v>5</v>
      </c>
      <c r="R48" s="11">
        <f t="shared" si="6"/>
        <v>4</v>
      </c>
      <c r="S48" s="12" cm="1">
        <f t="array" ref="S48">INDEX('CancerEpisode-ConceptMap-2'!$I$15:$N$123,Q48+1,R48)</f>
        <v>0</v>
      </c>
    </row>
    <row r="49" spans="1:19">
      <c r="A49" s="59"/>
      <c r="B49" s="11"/>
      <c r="C49" s="11"/>
      <c r="D49" s="12"/>
      <c r="E49" s="11"/>
      <c r="F49" s="64"/>
      <c r="G49" s="123"/>
      <c r="P49" s="11">
        <v>35</v>
      </c>
      <c r="Q49" s="11">
        <f t="shared" si="5"/>
        <v>5</v>
      </c>
      <c r="R49" s="11">
        <f t="shared" si="6"/>
        <v>5</v>
      </c>
      <c r="S49" s="12" cm="1">
        <f t="array" ref="S49">INDEX('CancerEpisode-ConceptMap-2'!$I$15:$N$123,Q49+1,R49)</f>
        <v>0</v>
      </c>
    </row>
    <row r="50" spans="1:19">
      <c r="A50" s="59"/>
      <c r="B50" s="11"/>
      <c r="C50" s="11"/>
      <c r="D50" s="12"/>
      <c r="E50" s="11"/>
      <c r="F50" s="64"/>
      <c r="G50" s="123"/>
      <c r="P50" s="11">
        <v>36</v>
      </c>
      <c r="Q50" s="11">
        <f t="shared" si="5"/>
        <v>5</v>
      </c>
      <c r="R50" s="11">
        <f t="shared" si="6"/>
        <v>6</v>
      </c>
      <c r="S50" s="12" cm="1">
        <f t="array" ref="S50">INDEX('CancerEpisode-ConceptMap-2'!$I$15:$N$123,Q50+1,R50)</f>
        <v>0</v>
      </c>
    </row>
    <row r="51" spans="1:19">
      <c r="A51" s="59"/>
      <c r="B51" s="11"/>
      <c r="C51" s="11"/>
      <c r="D51" s="12"/>
      <c r="E51" s="11"/>
      <c r="F51" s="64"/>
      <c r="G51" s="123"/>
      <c r="P51" s="11">
        <v>37</v>
      </c>
      <c r="Q51" s="11">
        <f t="shared" si="5"/>
        <v>6</v>
      </c>
      <c r="R51" s="11">
        <f t="shared" si="6"/>
        <v>1</v>
      </c>
      <c r="S51" s="12" cm="1">
        <f t="array" ref="S51">INDEX('CancerEpisode-ConceptMap-2'!$I$15:$N$123,Q51+1,R51)</f>
        <v>0</v>
      </c>
    </row>
    <row r="52" spans="1:19">
      <c r="A52" s="59"/>
      <c r="B52" s="11"/>
      <c r="C52" s="11"/>
      <c r="D52" s="12"/>
      <c r="E52" s="11"/>
      <c r="F52" s="64"/>
      <c r="G52" s="123"/>
      <c r="P52" s="11">
        <v>38</v>
      </c>
      <c r="Q52" s="11">
        <f t="shared" si="5"/>
        <v>6</v>
      </c>
      <c r="R52" s="11">
        <f t="shared" si="6"/>
        <v>2</v>
      </c>
      <c r="S52" s="12" cm="1">
        <f t="array" ref="S52">INDEX('CancerEpisode-ConceptMap-2'!$I$15:$N$123,Q52+1,R52)</f>
        <v>0</v>
      </c>
    </row>
    <row r="53" spans="1:19">
      <c r="A53" s="59"/>
      <c r="B53" s="11"/>
      <c r="C53" s="11"/>
      <c r="D53" s="12"/>
      <c r="E53" s="11"/>
      <c r="F53" s="64"/>
      <c r="G53" s="123"/>
      <c r="P53" s="11">
        <v>39</v>
      </c>
      <c r="Q53" s="11">
        <f t="shared" si="5"/>
        <v>6</v>
      </c>
      <c r="R53" s="11">
        <f t="shared" si="6"/>
        <v>3</v>
      </c>
      <c r="S53" s="12" cm="1">
        <f t="array" ref="S53">INDEX('CancerEpisode-ConceptMap-2'!$I$15:$N$123,Q53+1,R53)</f>
        <v>0</v>
      </c>
    </row>
    <row r="54" spans="1:19">
      <c r="A54" s="59"/>
      <c r="B54" s="11"/>
      <c r="C54" s="11"/>
      <c r="D54" s="12"/>
      <c r="E54" s="11"/>
      <c r="F54" s="64"/>
      <c r="G54" s="123"/>
      <c r="P54" s="11">
        <v>40</v>
      </c>
      <c r="Q54" s="11">
        <f t="shared" si="5"/>
        <v>6</v>
      </c>
      <c r="R54" s="11">
        <f t="shared" si="6"/>
        <v>4</v>
      </c>
      <c r="S54" s="12" cm="1">
        <f t="array" ref="S54">INDEX('CancerEpisode-ConceptMap-2'!$I$15:$N$123,Q54+1,R54)</f>
        <v>0</v>
      </c>
    </row>
    <row r="55" spans="1:19">
      <c r="A55" s="59"/>
      <c r="B55" s="11"/>
      <c r="C55" s="11"/>
      <c r="D55" s="12"/>
      <c r="E55" s="11"/>
      <c r="F55" s="64"/>
      <c r="G55" s="123"/>
      <c r="P55" s="11">
        <v>41</v>
      </c>
      <c r="Q55" s="11">
        <f t="shared" si="5"/>
        <v>6</v>
      </c>
      <c r="R55" s="11">
        <f t="shared" si="6"/>
        <v>5</v>
      </c>
      <c r="S55" s="12" cm="1">
        <f t="array" ref="S55">INDEX('CancerEpisode-ConceptMap-2'!$I$15:$N$123,Q55+1,R55)</f>
        <v>0</v>
      </c>
    </row>
    <row r="56" spans="1:19">
      <c r="A56" s="59"/>
      <c r="B56" s="11"/>
      <c r="C56" s="11"/>
      <c r="D56" s="12"/>
      <c r="E56" s="11"/>
      <c r="F56" s="64"/>
      <c r="G56" s="123"/>
      <c r="P56" s="11">
        <v>42</v>
      </c>
      <c r="Q56" s="11">
        <f t="shared" si="5"/>
        <v>6</v>
      </c>
      <c r="R56" s="11">
        <f t="shared" si="6"/>
        <v>6</v>
      </c>
      <c r="S56" s="12" cm="1">
        <f t="array" ref="S56">INDEX('CancerEpisode-ConceptMap-2'!$I$15:$N$123,Q56+1,R56)</f>
        <v>0</v>
      </c>
    </row>
    <row r="57" spans="1:19">
      <c r="A57" s="59"/>
      <c r="B57" s="11"/>
      <c r="C57" s="11"/>
      <c r="D57" s="12"/>
      <c r="E57" s="11"/>
      <c r="F57" s="64"/>
      <c r="G57" s="123"/>
      <c r="P57" s="11">
        <v>43</v>
      </c>
      <c r="Q57" s="11">
        <f t="shared" si="5"/>
        <v>7</v>
      </c>
      <c r="R57" s="11">
        <f t="shared" si="6"/>
        <v>1</v>
      </c>
      <c r="S57" s="12" cm="1">
        <f t="array" ref="S57">INDEX('CancerEpisode-ConceptMap-2'!$I$15:$N$123,Q57+1,R57)</f>
        <v>0</v>
      </c>
    </row>
    <row r="58" spans="1:19">
      <c r="A58" s="59"/>
      <c r="B58" s="11"/>
      <c r="C58" s="11"/>
      <c r="D58" s="12"/>
      <c r="E58" s="11"/>
      <c r="F58" s="64"/>
      <c r="G58" s="123"/>
      <c r="P58" s="11">
        <v>44</v>
      </c>
      <c r="Q58" s="11">
        <f t="shared" si="5"/>
        <v>7</v>
      </c>
      <c r="R58" s="11">
        <f t="shared" si="6"/>
        <v>2</v>
      </c>
      <c r="S58" s="12" cm="1">
        <f t="array" ref="S58">INDEX('CancerEpisode-ConceptMap-2'!$I$15:$N$123,Q58+1,R58)</f>
        <v>0</v>
      </c>
    </row>
    <row r="59" spans="1:19">
      <c r="A59" s="59"/>
      <c r="B59" s="11"/>
      <c r="C59" s="11"/>
      <c r="D59" s="12"/>
      <c r="E59" s="11"/>
      <c r="F59" s="64"/>
      <c r="G59" s="123"/>
      <c r="P59" s="11">
        <v>45</v>
      </c>
      <c r="Q59" s="11">
        <f t="shared" si="5"/>
        <v>7</v>
      </c>
      <c r="R59" s="11">
        <f t="shared" si="6"/>
        <v>3</v>
      </c>
      <c r="S59" s="12" cm="1">
        <f t="array" ref="S59">INDEX('CancerEpisode-ConceptMap-2'!$I$15:$N$123,Q59+1,R59)</f>
        <v>0</v>
      </c>
    </row>
    <row r="60" spans="1:19">
      <c r="A60" s="59"/>
      <c r="B60" s="11"/>
      <c r="C60" s="11"/>
      <c r="D60" s="12"/>
      <c r="E60" s="11"/>
      <c r="F60" s="64"/>
      <c r="G60" s="123"/>
      <c r="P60" s="11">
        <v>46</v>
      </c>
      <c r="Q60" s="11">
        <f t="shared" si="5"/>
        <v>7</v>
      </c>
      <c r="R60" s="11">
        <f t="shared" si="6"/>
        <v>4</v>
      </c>
      <c r="S60" s="12" cm="1">
        <f t="array" ref="S60">INDEX('CancerEpisode-ConceptMap-2'!$I$15:$N$123,Q60+1,R60)</f>
        <v>0</v>
      </c>
    </row>
    <row r="61" spans="1:19">
      <c r="A61" s="59"/>
      <c r="B61" s="11"/>
      <c r="C61" s="11"/>
      <c r="D61" s="12"/>
      <c r="E61" s="11"/>
      <c r="F61" s="64"/>
      <c r="G61" s="123"/>
      <c r="P61" s="11">
        <v>47</v>
      </c>
      <c r="Q61" s="11">
        <f t="shared" si="5"/>
        <v>7</v>
      </c>
      <c r="R61" s="11">
        <f t="shared" si="6"/>
        <v>5</v>
      </c>
      <c r="S61" s="12" cm="1">
        <f t="array" ref="S61">INDEX('CancerEpisode-ConceptMap-2'!$I$15:$N$123,Q61+1,R61)</f>
        <v>0</v>
      </c>
    </row>
    <row r="62" spans="1:19">
      <c r="A62" s="59"/>
      <c r="B62" s="11"/>
      <c r="C62" s="11"/>
      <c r="D62" s="12"/>
      <c r="E62" s="11"/>
      <c r="F62" s="64"/>
      <c r="G62" s="123"/>
      <c r="P62" s="11">
        <v>48</v>
      </c>
      <c r="Q62" s="11">
        <f t="shared" si="5"/>
        <v>7</v>
      </c>
      <c r="R62" s="11">
        <f t="shared" si="6"/>
        <v>6</v>
      </c>
      <c r="S62" s="12" cm="1">
        <f t="array" ref="S62">INDEX('CancerEpisode-ConceptMap-2'!$I$15:$N$123,Q62+1,R62)</f>
        <v>0</v>
      </c>
    </row>
    <row r="63" spans="1:19">
      <c r="A63" s="59"/>
      <c r="B63" s="11"/>
      <c r="C63" s="11"/>
      <c r="D63" s="12"/>
      <c r="E63" s="11"/>
      <c r="F63" s="64"/>
      <c r="G63" s="123"/>
      <c r="P63" s="11">
        <v>49</v>
      </c>
      <c r="Q63" s="11">
        <f t="shared" si="5"/>
        <v>8</v>
      </c>
      <c r="R63" s="11">
        <f t="shared" si="6"/>
        <v>1</v>
      </c>
      <c r="S63" s="12" cm="1">
        <f t="array" ref="S63">INDEX('CancerEpisode-ConceptMap-2'!$I$15:$N$123,Q63+1,R63)</f>
        <v>0</v>
      </c>
    </row>
    <row r="64" spans="1:19">
      <c r="A64" s="59"/>
      <c r="B64" s="11"/>
      <c r="C64" s="11"/>
      <c r="D64" s="12"/>
      <c r="E64" s="11"/>
      <c r="F64" s="64"/>
      <c r="G64" s="123"/>
      <c r="P64" s="11">
        <v>50</v>
      </c>
      <c r="Q64" s="11">
        <f t="shared" si="5"/>
        <v>8</v>
      </c>
      <c r="R64" s="11">
        <f t="shared" si="6"/>
        <v>2</v>
      </c>
      <c r="S64" s="12" cm="1">
        <f t="array" ref="S64">INDEX('CancerEpisode-ConceptMap-2'!$I$15:$N$123,Q64+1,R64)</f>
        <v>0</v>
      </c>
    </row>
    <row r="65" spans="1:19">
      <c r="A65" s="59"/>
      <c r="B65" s="11"/>
      <c r="C65" s="11"/>
      <c r="D65" s="12"/>
      <c r="E65" s="11"/>
      <c r="F65" s="64"/>
      <c r="G65" s="123"/>
      <c r="P65" s="11">
        <v>51</v>
      </c>
      <c r="Q65" s="11">
        <f t="shared" si="5"/>
        <v>8</v>
      </c>
      <c r="R65" s="11">
        <f t="shared" si="6"/>
        <v>3</v>
      </c>
      <c r="S65" s="12" cm="1">
        <f t="array" ref="S65">INDEX('CancerEpisode-ConceptMap-2'!$I$15:$N$123,Q65+1,R65)</f>
        <v>0</v>
      </c>
    </row>
    <row r="66" spans="1:19">
      <c r="A66" s="59"/>
      <c r="B66" s="11"/>
      <c r="C66" s="11"/>
      <c r="D66" s="12"/>
      <c r="E66" s="11"/>
      <c r="F66" s="64"/>
      <c r="G66" s="123"/>
      <c r="P66" s="11">
        <v>52</v>
      </c>
      <c r="Q66" s="11">
        <f t="shared" si="5"/>
        <v>8</v>
      </c>
      <c r="R66" s="11">
        <f t="shared" si="6"/>
        <v>4</v>
      </c>
      <c r="S66" s="12" cm="1">
        <f t="array" ref="S66">INDEX('CancerEpisode-ConceptMap-2'!$I$15:$N$123,Q66+1,R66)</f>
        <v>0</v>
      </c>
    </row>
    <row r="67" spans="1:19">
      <c r="A67" s="59"/>
      <c r="B67" s="11"/>
      <c r="C67" s="11"/>
      <c r="D67" s="12"/>
      <c r="E67" s="11"/>
      <c r="F67" s="64"/>
      <c r="G67" s="123"/>
      <c r="P67" s="11">
        <v>53</v>
      </c>
      <c r="Q67" s="11">
        <f t="shared" si="5"/>
        <v>8</v>
      </c>
      <c r="R67" s="11">
        <f t="shared" si="6"/>
        <v>5</v>
      </c>
      <c r="S67" s="12" cm="1">
        <f t="array" ref="S67">INDEX('CancerEpisode-ConceptMap-2'!$I$15:$N$123,Q67+1,R67)</f>
        <v>0</v>
      </c>
    </row>
    <row r="68" spans="1:19">
      <c r="A68" s="59"/>
      <c r="B68" s="11"/>
      <c r="C68" s="11"/>
      <c r="D68" s="12"/>
      <c r="E68" s="11"/>
      <c r="F68" s="64"/>
      <c r="G68" s="123"/>
      <c r="P68" s="11">
        <v>54</v>
      </c>
      <c r="Q68" s="11">
        <f t="shared" si="5"/>
        <v>8</v>
      </c>
      <c r="R68" s="11">
        <f t="shared" si="6"/>
        <v>6</v>
      </c>
      <c r="S68" s="12" cm="1">
        <f t="array" ref="S68">INDEX('CancerEpisode-ConceptMap-2'!$I$15:$N$123,Q68+1,R68)</f>
        <v>0</v>
      </c>
    </row>
    <row r="69" spans="1:19">
      <c r="A69" s="59"/>
      <c r="B69" s="11"/>
      <c r="C69" s="11"/>
      <c r="D69" s="12"/>
      <c r="E69" s="11"/>
      <c r="F69" s="64"/>
      <c r="G69" s="123"/>
      <c r="P69" s="11">
        <v>55</v>
      </c>
      <c r="Q69" s="11">
        <f t="shared" si="5"/>
        <v>9</v>
      </c>
      <c r="R69" s="11">
        <f t="shared" si="6"/>
        <v>1</v>
      </c>
      <c r="S69" s="12" cm="1">
        <f t="array" ref="S69">INDEX('CancerEpisode-ConceptMap-2'!$I$15:$N$123,Q69+1,R69)</f>
        <v>0</v>
      </c>
    </row>
    <row r="70" spans="1:19">
      <c r="A70" s="59"/>
      <c r="B70" s="11"/>
      <c r="C70" s="11"/>
      <c r="D70" s="12"/>
      <c r="E70" s="11"/>
      <c r="F70" s="64"/>
      <c r="G70" s="123"/>
      <c r="P70" s="11">
        <v>56</v>
      </c>
      <c r="Q70" s="11">
        <f t="shared" si="5"/>
        <v>9</v>
      </c>
      <c r="R70" s="11">
        <f t="shared" si="6"/>
        <v>2</v>
      </c>
      <c r="S70" s="12" cm="1">
        <f t="array" ref="S70">INDEX('CancerEpisode-ConceptMap-2'!$I$15:$N$123,Q70+1,R70)</f>
        <v>0</v>
      </c>
    </row>
    <row r="71" spans="1:19">
      <c r="A71" s="59"/>
      <c r="B71" s="11"/>
      <c r="C71" s="11"/>
      <c r="D71" s="12"/>
      <c r="E71" s="11"/>
      <c r="F71" s="64"/>
      <c r="G71" s="123"/>
      <c r="P71" s="11">
        <v>57</v>
      </c>
      <c r="Q71" s="11">
        <f t="shared" si="5"/>
        <v>9</v>
      </c>
      <c r="R71" s="11">
        <f t="shared" si="6"/>
        <v>3</v>
      </c>
      <c r="S71" s="12" cm="1">
        <f t="array" ref="S71">INDEX('CancerEpisode-ConceptMap-2'!$I$15:$N$123,Q71+1,R71)</f>
        <v>0</v>
      </c>
    </row>
    <row r="72" spans="1:19">
      <c r="A72" s="59"/>
      <c r="B72" s="11"/>
      <c r="C72" s="11"/>
      <c r="D72" s="12"/>
      <c r="E72" s="11"/>
      <c r="F72" s="64"/>
      <c r="G72" s="123"/>
      <c r="P72" s="11">
        <v>58</v>
      </c>
      <c r="Q72" s="11">
        <f t="shared" si="5"/>
        <v>9</v>
      </c>
      <c r="R72" s="11">
        <f t="shared" si="6"/>
        <v>4</v>
      </c>
      <c r="S72" s="12" cm="1">
        <f t="array" ref="S72">INDEX('CancerEpisode-ConceptMap-2'!$I$15:$N$123,Q72+1,R72)</f>
        <v>0</v>
      </c>
    </row>
    <row r="73" spans="1:19">
      <c r="A73" s="59"/>
      <c r="B73" s="11"/>
      <c r="C73" s="11"/>
      <c r="D73" s="12"/>
      <c r="E73" s="11"/>
      <c r="F73" s="64"/>
      <c r="G73" s="123"/>
      <c r="P73" s="11">
        <v>59</v>
      </c>
      <c r="Q73" s="11">
        <f t="shared" si="5"/>
        <v>9</v>
      </c>
      <c r="R73" s="11">
        <f t="shared" si="6"/>
        <v>5</v>
      </c>
      <c r="S73" s="12" cm="1">
        <f t="array" ref="S73">INDEX('CancerEpisode-ConceptMap-2'!$I$15:$N$123,Q73+1,R73)</f>
        <v>0</v>
      </c>
    </row>
    <row r="74" spans="1:19">
      <c r="A74" s="59"/>
      <c r="B74" s="11"/>
      <c r="C74" s="11"/>
      <c r="D74" s="12"/>
      <c r="E74" s="11"/>
      <c r="F74" s="64"/>
      <c r="G74" s="123"/>
      <c r="P74" s="11">
        <v>60</v>
      </c>
      <c r="Q74" s="11">
        <f t="shared" si="5"/>
        <v>9</v>
      </c>
      <c r="R74" s="11">
        <f t="shared" si="6"/>
        <v>6</v>
      </c>
      <c r="S74" s="12" cm="1">
        <f t="array" ref="S74">INDEX('CancerEpisode-ConceptMap-2'!$I$15:$N$123,Q74+1,R74)</f>
        <v>0</v>
      </c>
    </row>
    <row r="75" spans="1:19">
      <c r="A75" s="59"/>
      <c r="B75" s="11"/>
      <c r="C75" s="11"/>
      <c r="D75" s="12"/>
      <c r="E75" s="11"/>
      <c r="F75" s="64"/>
      <c r="G75" s="123"/>
      <c r="P75" s="11">
        <v>61</v>
      </c>
      <c r="Q75" s="11">
        <f t="shared" si="5"/>
        <v>10</v>
      </c>
      <c r="R75" s="11">
        <f t="shared" si="6"/>
        <v>1</v>
      </c>
      <c r="S75" s="12" cm="1">
        <f t="array" ref="S75">INDEX('CancerEpisode-ConceptMap-2'!$I$15:$N$123,Q75+1,R75)</f>
        <v>0</v>
      </c>
    </row>
    <row r="76" spans="1:19">
      <c r="A76" s="59"/>
      <c r="B76" s="11"/>
      <c r="C76" s="11"/>
      <c r="D76" s="12"/>
      <c r="E76" s="11"/>
      <c r="F76" s="64"/>
      <c r="G76" s="123"/>
      <c r="P76" s="11">
        <v>62</v>
      </c>
      <c r="Q76" s="11">
        <f t="shared" si="5"/>
        <v>10</v>
      </c>
      <c r="R76" s="11">
        <f t="shared" si="6"/>
        <v>2</v>
      </c>
      <c r="S76" s="12" cm="1">
        <f t="array" ref="S76">INDEX('CancerEpisode-ConceptMap-2'!$I$15:$N$123,Q76+1,R76)</f>
        <v>0</v>
      </c>
    </row>
    <row r="77" spans="1:19">
      <c r="A77" s="59"/>
      <c r="B77" s="11"/>
      <c r="C77" s="11"/>
      <c r="D77" s="12"/>
      <c r="E77" s="11"/>
      <c r="F77" s="64"/>
      <c r="G77" s="123"/>
      <c r="P77" s="11">
        <v>63</v>
      </c>
      <c r="Q77" s="11">
        <f t="shared" si="5"/>
        <v>10</v>
      </c>
      <c r="R77" s="11">
        <f t="shared" si="6"/>
        <v>3</v>
      </c>
      <c r="S77" s="12" cm="1">
        <f t="array" ref="S77">INDEX('CancerEpisode-ConceptMap-2'!$I$15:$N$123,Q77+1,R77)</f>
        <v>0</v>
      </c>
    </row>
    <row r="78" spans="1:19">
      <c r="A78" s="59"/>
      <c r="B78" s="11"/>
      <c r="C78" s="11"/>
      <c r="D78" s="12"/>
      <c r="E78" s="11"/>
      <c r="F78" s="64"/>
      <c r="G78" s="123"/>
      <c r="P78" s="11">
        <v>64</v>
      </c>
      <c r="Q78" s="11">
        <f t="shared" si="5"/>
        <v>10</v>
      </c>
      <c r="R78" s="11">
        <f t="shared" si="6"/>
        <v>4</v>
      </c>
      <c r="S78" s="12" cm="1">
        <f t="array" ref="S78">INDEX('CancerEpisode-ConceptMap-2'!$I$15:$N$123,Q78+1,R78)</f>
        <v>0</v>
      </c>
    </row>
    <row r="79" spans="1:19">
      <c r="A79" s="59"/>
      <c r="B79" s="11"/>
      <c r="C79" s="11"/>
      <c r="D79" s="12"/>
      <c r="E79" s="11"/>
      <c r="F79" s="64"/>
      <c r="G79" s="123"/>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3"/>
      <c r="P80" s="11">
        <v>66</v>
      </c>
      <c r="Q80" s="11">
        <f t="shared" si="8"/>
        <v>10</v>
      </c>
      <c r="R80" s="11">
        <f t="shared" si="9"/>
        <v>6</v>
      </c>
      <c r="S80" s="12" cm="1">
        <f t="array" ref="S80">INDEX('CancerEpisode-ConceptMap-2'!$I$15:$N$123,Q80+1,R80)</f>
        <v>0</v>
      </c>
    </row>
    <row r="81" spans="1:19">
      <c r="A81" s="59"/>
      <c r="B81" s="11"/>
      <c r="C81" s="11"/>
      <c r="D81" s="12"/>
      <c r="E81" s="11"/>
      <c r="F81" s="64"/>
      <c r="G81" s="123"/>
      <c r="P81" s="11">
        <v>67</v>
      </c>
      <c r="Q81" s="11">
        <f t="shared" si="8"/>
        <v>11</v>
      </c>
      <c r="R81" s="11">
        <f t="shared" si="9"/>
        <v>1</v>
      </c>
      <c r="S81" s="12" cm="1">
        <f t="array" ref="S81">INDEX('CancerEpisode-ConceptMap-2'!$I$15:$N$123,Q81+1,R81)</f>
        <v>0</v>
      </c>
    </row>
    <row r="82" spans="1:19">
      <c r="A82" s="59"/>
      <c r="B82" s="11"/>
      <c r="C82" s="11"/>
      <c r="D82" s="12"/>
      <c r="E82" s="11"/>
      <c r="F82" s="64"/>
      <c r="G82" s="123"/>
      <c r="P82" s="11">
        <v>68</v>
      </c>
      <c r="Q82" s="11">
        <f t="shared" si="8"/>
        <v>11</v>
      </c>
      <c r="R82" s="11">
        <f t="shared" si="9"/>
        <v>2</v>
      </c>
      <c r="S82" s="12" cm="1">
        <f t="array" ref="S82">INDEX('CancerEpisode-ConceptMap-2'!$I$15:$N$123,Q82+1,R82)</f>
        <v>0</v>
      </c>
    </row>
    <row r="83" spans="1:19">
      <c r="A83" s="59"/>
      <c r="B83" s="11"/>
      <c r="C83" s="11"/>
      <c r="D83" s="12"/>
      <c r="E83" s="11"/>
      <c r="F83" s="64"/>
      <c r="G83" s="123"/>
      <c r="P83" s="11">
        <v>69</v>
      </c>
      <c r="Q83" s="11">
        <f t="shared" si="8"/>
        <v>11</v>
      </c>
      <c r="R83" s="11">
        <f t="shared" si="9"/>
        <v>3</v>
      </c>
      <c r="S83" s="12" cm="1">
        <f t="array" ref="S83">INDEX('CancerEpisode-ConceptMap-2'!$I$15:$N$123,Q83+1,R83)</f>
        <v>0</v>
      </c>
    </row>
    <row r="84" spans="1:19">
      <c r="A84" s="59"/>
      <c r="B84" s="11"/>
      <c r="C84" s="11"/>
      <c r="D84" s="12"/>
      <c r="E84" s="11"/>
      <c r="F84" s="64"/>
      <c r="G84" s="123"/>
      <c r="P84" s="11">
        <v>70</v>
      </c>
      <c r="Q84" s="11">
        <f t="shared" si="8"/>
        <v>11</v>
      </c>
      <c r="R84" s="11">
        <f t="shared" si="9"/>
        <v>4</v>
      </c>
      <c r="S84" s="12" cm="1">
        <f t="array" ref="S84">INDEX('CancerEpisode-ConceptMap-2'!$I$15:$N$123,Q84+1,R84)</f>
        <v>0</v>
      </c>
    </row>
    <row r="85" spans="1:19">
      <c r="A85" s="59"/>
      <c r="B85" s="11"/>
      <c r="C85" s="11"/>
      <c r="D85" s="12"/>
      <c r="E85" s="11"/>
      <c r="F85" s="64"/>
      <c r="G85" s="123"/>
      <c r="P85" s="11">
        <v>71</v>
      </c>
      <c r="Q85" s="11">
        <f t="shared" si="8"/>
        <v>11</v>
      </c>
      <c r="R85" s="11">
        <f t="shared" si="9"/>
        <v>5</v>
      </c>
      <c r="S85" s="12" cm="1">
        <f t="array" ref="S85">INDEX('CancerEpisode-ConceptMap-2'!$I$15:$N$123,Q85+1,R85)</f>
        <v>0</v>
      </c>
    </row>
    <row r="86" spans="1:19">
      <c r="A86" s="59"/>
      <c r="B86" s="11"/>
      <c r="C86" s="11"/>
      <c r="D86" s="12"/>
      <c r="E86" s="11"/>
      <c r="F86" s="64"/>
      <c r="G86" s="123"/>
      <c r="P86" s="11">
        <v>72</v>
      </c>
      <c r="Q86" s="11">
        <f t="shared" si="8"/>
        <v>11</v>
      </c>
      <c r="R86" s="11">
        <f t="shared" si="9"/>
        <v>6</v>
      </c>
      <c r="S86" s="12" cm="1">
        <f t="array" ref="S86">INDEX('CancerEpisode-ConceptMap-2'!$I$15:$N$123,Q86+1,R86)</f>
        <v>0</v>
      </c>
    </row>
    <row r="87" spans="1:19">
      <c r="A87" s="59"/>
      <c r="B87" s="11"/>
      <c r="C87" s="11"/>
      <c r="D87" s="12"/>
      <c r="E87" s="11"/>
      <c r="F87" s="64"/>
      <c r="G87" s="123"/>
      <c r="P87" s="11">
        <v>73</v>
      </c>
      <c r="Q87" s="11">
        <f t="shared" si="8"/>
        <v>12</v>
      </c>
      <c r="R87" s="11">
        <f t="shared" si="9"/>
        <v>1</v>
      </c>
      <c r="S87" s="12" cm="1">
        <f t="array" ref="S87">INDEX('CancerEpisode-ConceptMap-2'!$I$15:$N$123,Q87+1,R87)</f>
        <v>0</v>
      </c>
    </row>
    <row r="88" spans="1:19">
      <c r="A88" s="59"/>
      <c r="B88" s="11"/>
      <c r="C88" s="11"/>
      <c r="D88" s="12"/>
      <c r="E88" s="11"/>
      <c r="F88" s="64"/>
      <c r="G88" s="123"/>
      <c r="P88" s="11">
        <v>74</v>
      </c>
      <c r="Q88" s="11">
        <f t="shared" si="8"/>
        <v>12</v>
      </c>
      <c r="R88" s="11">
        <f t="shared" si="9"/>
        <v>2</v>
      </c>
      <c r="S88" s="12" cm="1">
        <f t="array" ref="S88">INDEX('CancerEpisode-ConceptMap-2'!$I$15:$N$123,Q88+1,R88)</f>
        <v>0</v>
      </c>
    </row>
    <row r="89" spans="1:19">
      <c r="G89" s="123"/>
      <c r="P89" s="11">
        <v>75</v>
      </c>
      <c r="Q89" s="11">
        <f t="shared" si="8"/>
        <v>12</v>
      </c>
      <c r="R89" s="11">
        <f t="shared" si="9"/>
        <v>3</v>
      </c>
      <c r="S89" s="12" cm="1">
        <f t="array" ref="S89">INDEX('CancerEpisode-ConceptMap-2'!$I$15:$N$123,Q89+1,R89)</f>
        <v>0</v>
      </c>
    </row>
    <row r="90" spans="1:19">
      <c r="G90" s="123"/>
      <c r="P90" s="11">
        <v>76</v>
      </c>
      <c r="Q90" s="11">
        <f t="shared" si="8"/>
        <v>12</v>
      </c>
      <c r="R90" s="11">
        <f t="shared" si="9"/>
        <v>4</v>
      </c>
      <c r="S90" s="12" cm="1">
        <f t="array" ref="S90">INDEX('CancerEpisode-ConceptMap-2'!$I$15:$N$123,Q90+1,R90)</f>
        <v>0</v>
      </c>
    </row>
    <row r="91" spans="1:19">
      <c r="G91" s="123"/>
      <c r="P91" s="11">
        <v>77</v>
      </c>
      <c r="Q91" s="11">
        <f t="shared" si="8"/>
        <v>12</v>
      </c>
      <c r="R91" s="11">
        <f t="shared" si="9"/>
        <v>5</v>
      </c>
      <c r="S91" s="12" cm="1">
        <f t="array" ref="S91">INDEX('CancerEpisode-ConceptMap-2'!$I$15:$N$123,Q91+1,R91)</f>
        <v>0</v>
      </c>
    </row>
    <row r="92" spans="1:19">
      <c r="G92" s="123"/>
      <c r="P92" s="11">
        <v>78</v>
      </c>
      <c r="Q92" s="11">
        <f t="shared" si="8"/>
        <v>12</v>
      </c>
      <c r="R92" s="11">
        <f t="shared" si="9"/>
        <v>6</v>
      </c>
      <c r="S92" s="12" cm="1">
        <f t="array" ref="S92">INDEX('CancerEpisode-ConceptMap-2'!$I$15:$N$123,Q92+1,R92)</f>
        <v>0</v>
      </c>
    </row>
    <row r="93" spans="1:19">
      <c r="G93" s="123"/>
      <c r="P93" s="11">
        <v>79</v>
      </c>
      <c r="Q93" s="11">
        <f t="shared" si="8"/>
        <v>13</v>
      </c>
      <c r="R93" s="11">
        <f t="shared" si="9"/>
        <v>1</v>
      </c>
      <c r="S93" s="12" cm="1">
        <f t="array" ref="S93">INDEX('CancerEpisode-ConceptMap-2'!$I$15:$N$123,Q93+1,R93)</f>
        <v>0</v>
      </c>
    </row>
    <row r="94" spans="1:19">
      <c r="G94" s="123"/>
      <c r="P94" s="11">
        <v>80</v>
      </c>
      <c r="Q94" s="11">
        <f t="shared" si="8"/>
        <v>13</v>
      </c>
      <c r="R94" s="11">
        <f t="shared" si="9"/>
        <v>2</v>
      </c>
      <c r="S94" s="12" cm="1">
        <f t="array" ref="S94">INDEX('CancerEpisode-ConceptMap-2'!$I$15:$N$123,Q94+1,R94)</f>
        <v>0</v>
      </c>
    </row>
    <row r="95" spans="1:19">
      <c r="G95" s="123"/>
      <c r="P95" s="11">
        <v>81</v>
      </c>
      <c r="Q95" s="11">
        <f t="shared" si="8"/>
        <v>13</v>
      </c>
      <c r="R95" s="11">
        <f t="shared" si="9"/>
        <v>3</v>
      </c>
      <c r="S95" s="12" cm="1">
        <f t="array" ref="S95">INDEX('CancerEpisode-ConceptMap-2'!$I$15:$N$123,Q95+1,R95)</f>
        <v>0</v>
      </c>
    </row>
    <row r="96" spans="1:19">
      <c r="G96" s="123"/>
      <c r="P96" s="11">
        <v>82</v>
      </c>
      <c r="Q96" s="11">
        <f t="shared" si="8"/>
        <v>13</v>
      </c>
      <c r="R96" s="11">
        <f t="shared" si="9"/>
        <v>4</v>
      </c>
      <c r="S96" s="12" cm="1">
        <f t="array" ref="S96">INDEX('CancerEpisode-ConceptMap-2'!$I$15:$N$123,Q96+1,R96)</f>
        <v>0</v>
      </c>
    </row>
    <row r="97" spans="7:19">
      <c r="G97" s="123"/>
      <c r="P97" s="11">
        <v>83</v>
      </c>
      <c r="Q97" s="11">
        <f t="shared" si="8"/>
        <v>13</v>
      </c>
      <c r="R97" s="11">
        <f t="shared" si="9"/>
        <v>5</v>
      </c>
      <c r="S97" s="12" cm="1">
        <f t="array" ref="S97">INDEX('CancerEpisode-ConceptMap-2'!$I$15:$N$123,Q97+1,R97)</f>
        <v>0</v>
      </c>
    </row>
    <row r="98" spans="7:19">
      <c r="G98" s="123"/>
      <c r="P98" s="11">
        <v>84</v>
      </c>
      <c r="Q98" s="11">
        <f t="shared" si="8"/>
        <v>13</v>
      </c>
      <c r="R98" s="11">
        <f t="shared" si="9"/>
        <v>6</v>
      </c>
      <c r="S98" s="12" cm="1">
        <f t="array" ref="S98">INDEX('CancerEpisode-ConceptMap-2'!$I$15:$N$123,Q98+1,R98)</f>
        <v>0</v>
      </c>
    </row>
    <row r="99" spans="7:19">
      <c r="G99" s="123"/>
      <c r="P99" s="11">
        <v>85</v>
      </c>
      <c r="Q99" s="11">
        <f t="shared" si="8"/>
        <v>14</v>
      </c>
      <c r="R99" s="11">
        <f t="shared" si="9"/>
        <v>1</v>
      </c>
      <c r="S99" s="12" cm="1">
        <f t="array" ref="S99">INDEX('CancerEpisode-ConceptMap-2'!$I$15:$N$123,Q99+1,R99)</f>
        <v>0</v>
      </c>
    </row>
    <row r="100" spans="7:19">
      <c r="G100" s="123"/>
      <c r="P100" s="11">
        <v>86</v>
      </c>
      <c r="Q100" s="11">
        <f t="shared" si="8"/>
        <v>14</v>
      </c>
      <c r="R100" s="11">
        <f t="shared" si="9"/>
        <v>2</v>
      </c>
      <c r="S100" s="12" cm="1">
        <f t="array" ref="S100">INDEX('CancerEpisode-ConceptMap-2'!$I$15:$N$123,Q100+1,R100)</f>
        <v>0</v>
      </c>
    </row>
    <row r="101" spans="7:19">
      <c r="G101" s="123"/>
      <c r="P101" s="11">
        <v>87</v>
      </c>
      <c r="Q101" s="11">
        <f t="shared" si="8"/>
        <v>14</v>
      </c>
      <c r="R101" s="11">
        <f t="shared" si="9"/>
        <v>3</v>
      </c>
      <c r="S101" s="12" cm="1">
        <f t="array" ref="S101">INDEX('CancerEpisode-ConceptMap-2'!$I$15:$N$123,Q101+1,R101)</f>
        <v>0</v>
      </c>
    </row>
    <row r="102" spans="7:19">
      <c r="G102" s="123"/>
      <c r="P102" s="11">
        <v>88</v>
      </c>
      <c r="Q102" s="11">
        <f t="shared" si="8"/>
        <v>14</v>
      </c>
      <c r="R102" s="11">
        <f t="shared" si="9"/>
        <v>4</v>
      </c>
      <c r="S102" s="12" cm="1">
        <f t="array" ref="S102">INDEX('CancerEpisode-ConceptMap-2'!$I$15:$N$123,Q102+1,R102)</f>
        <v>0</v>
      </c>
    </row>
    <row r="103" spans="7:19">
      <c r="G103" s="123"/>
      <c r="P103" s="11">
        <v>89</v>
      </c>
      <c r="Q103" s="11">
        <f t="shared" si="8"/>
        <v>14</v>
      </c>
      <c r="R103" s="11">
        <f t="shared" si="9"/>
        <v>5</v>
      </c>
      <c r="S103" s="12" cm="1">
        <f t="array" ref="S103">INDEX('CancerEpisode-ConceptMap-2'!$I$15:$N$123,Q103+1,R103)</f>
        <v>0</v>
      </c>
    </row>
    <row r="104" spans="7:19">
      <c r="G104" s="123"/>
      <c r="P104" s="11">
        <v>90</v>
      </c>
      <c r="Q104" s="11">
        <f t="shared" si="8"/>
        <v>14</v>
      </c>
      <c r="R104" s="11">
        <f t="shared" si="9"/>
        <v>6</v>
      </c>
      <c r="S104" s="12" cm="1">
        <f t="array" ref="S104">INDEX('CancerEpisode-ConceptMap-2'!$I$15:$N$123,Q104+1,R104)</f>
        <v>0</v>
      </c>
    </row>
    <row r="105" spans="7:19">
      <c r="G105" s="123"/>
      <c r="P105" s="11">
        <v>91</v>
      </c>
      <c r="Q105" s="11">
        <f t="shared" si="8"/>
        <v>15</v>
      </c>
      <c r="R105" s="11">
        <f t="shared" si="9"/>
        <v>1</v>
      </c>
      <c r="S105" s="12" cm="1">
        <f t="array" ref="S105">INDEX('CancerEpisode-ConceptMap-2'!$I$15:$N$123,Q105+1,R105)</f>
        <v>0</v>
      </c>
    </row>
    <row r="106" spans="7:19">
      <c r="G106" s="123"/>
      <c r="P106" s="11">
        <v>92</v>
      </c>
      <c r="Q106" s="11">
        <f t="shared" si="8"/>
        <v>15</v>
      </c>
      <c r="R106" s="11">
        <f t="shared" si="9"/>
        <v>2</v>
      </c>
      <c r="S106" s="12" cm="1">
        <f t="array" ref="S106">INDEX('CancerEpisode-ConceptMap-2'!$I$15:$N$123,Q106+1,R106)</f>
        <v>0</v>
      </c>
    </row>
    <row r="107" spans="7:19">
      <c r="G107" s="123"/>
      <c r="P107" s="11">
        <v>93</v>
      </c>
      <c r="Q107" s="11">
        <f t="shared" si="8"/>
        <v>15</v>
      </c>
      <c r="R107" s="11">
        <f t="shared" si="9"/>
        <v>3</v>
      </c>
      <c r="S107" s="12" cm="1">
        <f t="array" ref="S107">INDEX('CancerEpisode-ConceptMap-2'!$I$15:$N$123,Q107+1,R107)</f>
        <v>0</v>
      </c>
    </row>
    <row r="108" spans="7:19">
      <c r="G108" s="123"/>
      <c r="P108" s="11">
        <v>94</v>
      </c>
      <c r="Q108" s="11">
        <f t="shared" si="8"/>
        <v>15</v>
      </c>
      <c r="R108" s="11">
        <f t="shared" si="9"/>
        <v>4</v>
      </c>
      <c r="S108" s="12" cm="1">
        <f t="array" ref="S108">INDEX('CancerEpisode-ConceptMap-2'!$I$15:$N$123,Q108+1,R108)</f>
        <v>0</v>
      </c>
    </row>
    <row r="109" spans="7:19">
      <c r="G109" s="123"/>
      <c r="P109" s="11">
        <v>95</v>
      </c>
      <c r="Q109" s="11">
        <f t="shared" si="8"/>
        <v>15</v>
      </c>
      <c r="R109" s="11">
        <f t="shared" si="9"/>
        <v>5</v>
      </c>
      <c r="S109" s="12" cm="1">
        <f t="array" ref="S109">INDEX('CancerEpisode-ConceptMap-2'!$I$15:$N$123,Q109+1,R109)</f>
        <v>0</v>
      </c>
    </row>
    <row r="110" spans="7:19">
      <c r="G110" s="123"/>
      <c r="P110" s="11">
        <v>96</v>
      </c>
      <c r="Q110" s="11">
        <f t="shared" si="8"/>
        <v>15</v>
      </c>
      <c r="R110" s="11">
        <f t="shared" si="9"/>
        <v>6</v>
      </c>
      <c r="S110" s="12" cm="1">
        <f t="array" ref="S110">INDEX('CancerEpisode-ConceptMap-2'!$I$15:$N$123,Q110+1,R110)</f>
        <v>0</v>
      </c>
    </row>
    <row r="111" spans="7:19">
      <c r="G111" s="123"/>
      <c r="P111" s="11">
        <v>97</v>
      </c>
      <c r="Q111" s="11">
        <f t="shared" si="8"/>
        <v>16</v>
      </c>
      <c r="R111" s="11">
        <f t="shared" si="9"/>
        <v>1</v>
      </c>
      <c r="S111" s="12" cm="1">
        <f t="array" ref="S111">INDEX('CancerEpisode-ConceptMap-2'!$I$15:$N$123,Q111+1,R111)</f>
        <v>0</v>
      </c>
    </row>
    <row r="112" spans="7:19">
      <c r="G112" s="123"/>
      <c r="P112" s="11">
        <v>98</v>
      </c>
      <c r="Q112" s="11">
        <f t="shared" si="8"/>
        <v>16</v>
      </c>
      <c r="R112" s="11">
        <f t="shared" si="9"/>
        <v>2</v>
      </c>
      <c r="S112" s="12" cm="1">
        <f t="array" ref="S112">INDEX('CancerEpisode-ConceptMap-2'!$I$15:$N$123,Q112+1,R112)</f>
        <v>0</v>
      </c>
    </row>
    <row r="113" spans="7:19">
      <c r="G113" s="123"/>
      <c r="P113" s="11">
        <v>99</v>
      </c>
      <c r="Q113" s="11">
        <f t="shared" si="8"/>
        <v>16</v>
      </c>
      <c r="R113" s="11">
        <f t="shared" si="9"/>
        <v>3</v>
      </c>
      <c r="S113" s="12" cm="1">
        <f t="array" ref="S113">INDEX('CancerEpisode-ConceptMap-2'!$I$15:$N$123,Q113+1,R113)</f>
        <v>0</v>
      </c>
    </row>
    <row r="114" spans="7:19">
      <c r="G114" s="123"/>
      <c r="P114" s="11">
        <v>100</v>
      </c>
      <c r="Q114" s="11">
        <f t="shared" si="8"/>
        <v>16</v>
      </c>
      <c r="R114" s="11">
        <f t="shared" si="9"/>
        <v>4</v>
      </c>
      <c r="S114" s="12" cm="1">
        <f t="array" ref="S114">INDEX('CancerEpisode-ConceptMap-2'!$I$15:$N$123,Q114+1,R114)</f>
        <v>0</v>
      </c>
    </row>
    <row r="115" spans="7:19">
      <c r="G115" s="123"/>
      <c r="P115" s="11">
        <v>101</v>
      </c>
      <c r="Q115" s="11">
        <f t="shared" si="8"/>
        <v>16</v>
      </c>
      <c r="R115" s="11">
        <f t="shared" si="9"/>
        <v>5</v>
      </c>
      <c r="S115" s="12" cm="1">
        <f t="array" ref="S115">INDEX('CancerEpisode-ConceptMap-2'!$I$15:$N$123,Q115+1,R115)</f>
        <v>0</v>
      </c>
    </row>
    <row r="116" spans="7:19">
      <c r="G116" s="123"/>
      <c r="P116" s="11">
        <v>102</v>
      </c>
      <c r="Q116" s="11">
        <f t="shared" si="8"/>
        <v>16</v>
      </c>
      <c r="R116" s="11">
        <f t="shared" si="9"/>
        <v>6</v>
      </c>
      <c r="S116" s="12" cm="1">
        <f t="array" ref="S116">INDEX('CancerEpisode-ConceptMap-2'!$I$15:$N$123,Q116+1,R116)</f>
        <v>0</v>
      </c>
    </row>
    <row r="117" spans="7:19">
      <c r="G117" s="123"/>
      <c r="P117" s="11">
        <v>103</v>
      </c>
      <c r="Q117" s="11">
        <f t="shared" si="8"/>
        <v>17</v>
      </c>
      <c r="R117" s="11">
        <f t="shared" si="9"/>
        <v>1</v>
      </c>
      <c r="S117" s="12" cm="1">
        <f t="array" ref="S117">INDEX('CancerEpisode-ConceptMap-2'!$I$15:$N$123,Q117+1,R117)</f>
        <v>0</v>
      </c>
    </row>
    <row r="118" spans="7:19">
      <c r="G118" s="123"/>
      <c r="P118" s="11">
        <v>104</v>
      </c>
      <c r="Q118" s="11">
        <f t="shared" si="8"/>
        <v>17</v>
      </c>
      <c r="R118" s="11">
        <f t="shared" si="9"/>
        <v>2</v>
      </c>
      <c r="S118" s="12" cm="1">
        <f t="array" ref="S118">INDEX('CancerEpisode-ConceptMap-2'!$I$15:$N$123,Q118+1,R118)</f>
        <v>0</v>
      </c>
    </row>
    <row r="119" spans="7:19">
      <c r="G119" s="123"/>
      <c r="P119" s="11">
        <v>105</v>
      </c>
      <c r="Q119" s="11">
        <f t="shared" si="8"/>
        <v>17</v>
      </c>
      <c r="R119" s="11">
        <f t="shared" si="9"/>
        <v>3</v>
      </c>
      <c r="S119" s="12" cm="1">
        <f t="array" ref="S119">INDEX('CancerEpisode-ConceptMap-2'!$I$15:$N$123,Q119+1,R119)</f>
        <v>0</v>
      </c>
    </row>
    <row r="120" spans="7:19">
      <c r="G120" s="123"/>
      <c r="P120" s="11">
        <v>106</v>
      </c>
      <c r="Q120" s="11">
        <f t="shared" si="8"/>
        <v>17</v>
      </c>
      <c r="R120" s="11">
        <f t="shared" si="9"/>
        <v>4</v>
      </c>
      <c r="S120" s="12" cm="1">
        <f t="array" ref="S120">INDEX('CancerEpisode-ConceptMap-2'!$I$15:$N$123,Q120+1,R120)</f>
        <v>0</v>
      </c>
    </row>
    <row r="121" spans="7:19">
      <c r="G121" s="123"/>
      <c r="P121" s="11">
        <v>107</v>
      </c>
      <c r="Q121" s="11">
        <f t="shared" si="8"/>
        <v>17</v>
      </c>
      <c r="R121" s="11">
        <f t="shared" si="9"/>
        <v>5</v>
      </c>
      <c r="S121" s="12" cm="1">
        <f t="array" ref="S121">INDEX('CancerEpisode-ConceptMap-2'!$I$15:$N$123,Q121+1,R121)</f>
        <v>0</v>
      </c>
    </row>
    <row r="122" spans="7:19">
      <c r="G122" s="123"/>
      <c r="P122" s="11">
        <v>108</v>
      </c>
      <c r="Q122" s="11">
        <f t="shared" si="8"/>
        <v>17</v>
      </c>
      <c r="R122" s="11">
        <f t="shared" si="9"/>
        <v>6</v>
      </c>
      <c r="S122" s="12" cm="1">
        <f t="array" ref="S122">INDEX('CancerEpisode-ConceptMap-2'!$I$15:$N$123,Q122+1,R122)</f>
        <v>0</v>
      </c>
    </row>
    <row r="123" spans="7:19">
      <c r="G123" s="123"/>
      <c r="P123" s="11">
        <v>109</v>
      </c>
      <c r="Q123" s="11">
        <f t="shared" si="8"/>
        <v>18</v>
      </c>
      <c r="R123" s="11">
        <f t="shared" si="9"/>
        <v>1</v>
      </c>
      <c r="S123" s="12" cm="1">
        <f t="array" ref="S123">INDEX('CancerEpisode-ConceptMap-2'!$I$15:$N$123,Q123+1,R123)</f>
        <v>0</v>
      </c>
    </row>
    <row r="124" spans="7:19">
      <c r="G124" s="123"/>
      <c r="P124" s="11">
        <v>110</v>
      </c>
      <c r="Q124" s="11">
        <f t="shared" si="8"/>
        <v>18</v>
      </c>
      <c r="R124" s="11">
        <f t="shared" si="9"/>
        <v>2</v>
      </c>
      <c r="S124" s="12" cm="1">
        <f t="array" ref="S124">INDEX('CancerEpisode-ConceptMap-2'!$I$15:$N$123,Q124+1,R124)</f>
        <v>0</v>
      </c>
    </row>
    <row r="125" spans="7:19">
      <c r="G125" s="123"/>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1777</v>
      </c>
    </row>
    <row r="3" spans="2:7">
      <c r="B3" s="24" t="s">
        <v>20</v>
      </c>
    </row>
    <row r="4" spans="2:7">
      <c r="B4" s="65" t="str">
        <f>"Instance: "&amp;'CancerEpisode-ConceptMap-1'!C4</f>
        <v>Instance: cancerEpisode2FHIR</v>
      </c>
    </row>
    <row r="5" spans="2:7">
      <c r="B5" s="65" t="s">
        <v>1447</v>
      </c>
    </row>
    <row r="6" spans="2:7">
      <c r="B6" s="65" t="s">
        <v>1438</v>
      </c>
    </row>
    <row r="7" spans="2:7">
      <c r="B7" s="65" t="s">
        <v>1776</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1"/>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IF('CancerEpisode-ConceptMap-1'!S18=0,"//---END",'CancerEpisode-ConceptMap-1'!S18)</f>
        <v>* group[=].element[=].target.code = #Condition.subject</v>
      </c>
    </row>
    <row r="22" spans="2:7">
      <c r="B22" s="12" t="str">
        <f>IF('CancerEpisode-ConceptMap-1'!S19=0,"//---END",'CancerEpisode-ConceptMap-1'!S19)</f>
        <v>* group[=].element[=].target.display = ##34###34#</v>
      </c>
    </row>
    <row r="23" spans="2:7">
      <c r="B23" s="12" t="str">
        <f>IF('CancerEpisode-ConceptMap-1'!S21=0,"//---END",'CancerEpisode-ConceptMap-1'!S21)</f>
        <v>* group[=].element[=].target.equivalence = #equivalent</v>
      </c>
    </row>
    <row r="24" spans="2:7">
      <c r="B24" s="12" t="str">
        <f>IF('CancerEpisode-ConceptMap-1'!S22=0,"//---END",'CancerEpisode-ConceptMap-1'!S22)</f>
        <v/>
      </c>
      <c r="G24" s="7"/>
    </row>
    <row r="25" spans="2:7">
      <c r="B25" s="12" t="str">
        <f>IF('CancerEpisode-ConceptMap-1'!S23=0,"//---END",'CancerEpisode-ConceptMap-1'!S23)</f>
        <v>* group[=].element[+].code = #CancerEpisode.dateOfDiagnosis</v>
      </c>
    </row>
    <row r="26" spans="2:7">
      <c r="B26" s="12" t="str">
        <f>IF('CancerEpisode-ConceptMap-1'!S24=0,"//---END",'CancerEpisode-ConceptMap-1'!S24)</f>
        <v>* group[=].element[=].display = ##34#Date of diagnosis (biopsy or surgical piece)##34#</v>
      </c>
    </row>
    <row r="27" spans="2:7">
      <c r="B27" s="12" t="str">
        <f>IF('CancerEpisode-ConceptMap-1'!S25=0,"//---END",'CancerEpisode-ConceptMap-1'!S25)</f>
        <v>* group[=].element[=].target.code = #Condition.extension:assertedDate.valueDateTime</v>
      </c>
    </row>
    <row r="28" spans="2:7">
      <c r="B28" s="12" t="str">
        <f>IF('CancerEpisode-ConceptMap-1'!S26=0,"//---END",'CancerEpisode-ConceptMap-1'!S26)</f>
        <v>* group[=].element[=].target.display = ##34###34#</v>
      </c>
    </row>
    <row r="29" spans="2:7">
      <c r="B29" s="12" t="str">
        <f>IF('CancerEpisode-ConceptMap-1'!S27=0,"//---END",'CancerEpisode-ConceptMap-1'!S27)</f>
        <v>* group[=].element[=].target.equivalence = #relatedto</v>
      </c>
    </row>
    <row r="30" spans="2:7">
      <c r="B30" s="12" t="str">
        <f>IF('CancerEpisode-ConceptMap-1'!S28=0,"//---END",'CancerEpisode-ConceptMap-1'!S28)</f>
        <v>* group[=].element[=].target.comment = ##34#to be checked##34#</v>
      </c>
    </row>
    <row r="31" spans="2:7">
      <c r="B31" s="12" t="str">
        <f>IF('CancerEpisode-ConceptMap-1'!S29=0,"//---END",'CancerEpisode-ConceptMap-1'!S29)</f>
        <v>//---END</v>
      </c>
    </row>
    <row r="32" spans="2:7">
      <c r="B32" s="12" t="str">
        <f>IF('CancerEpisode-ConceptMap-1'!S30=0,"//---END",'CancerEpisode-ConceptMap-1'!S30)</f>
        <v>//---END</v>
      </c>
    </row>
    <row r="33" spans="2:2">
      <c r="B33" s="12" t="str">
        <f>IF('CancerEpisode-ConceptMap-1'!S31=0,"//---END",'CancerEpisode-ConceptMap-1'!S31)</f>
        <v>//---END</v>
      </c>
    </row>
    <row r="34" spans="2:2">
      <c r="B34" s="12" t="str">
        <f>IF('CancerEpisode-ConceptMap-1'!S32=0,"//---END",'CancerEpisode-ConceptMap-1'!S32)</f>
        <v>//---END</v>
      </c>
    </row>
    <row r="35" spans="2:2">
      <c r="B35" s="12" t="str">
        <f>IF('CancerEpisode-ConceptMap-1'!S33=0,"//---END",'CancerEpisode-ConceptMap-1'!S33)</f>
        <v>//---END</v>
      </c>
    </row>
    <row r="36" spans="2:2" ht="29.5">
      <c r="B36" s="12" t="str">
        <f>IF('CancerEpisode-ConceptMap-1'!S34=0,"//---END",'CancerEpisode-ConceptMap-1'!S34)</f>
        <v>//---END</v>
      </c>
    </row>
    <row r="37" spans="2:2">
      <c r="B37" s="12" t="str">
        <f>IF('CancerEpisode-ConceptMap-1'!S35=0,"//---END",'CancerEpisode-ConceptMap-1'!S35)</f>
        <v>* group[=].element[+].code = #CancerEpisode.biopsyDoneBy</v>
      </c>
    </row>
    <row r="38" spans="2:2">
      <c r="B38" s="12" t="str">
        <f>IF('CancerEpisode-ConceptMap-1'!S36=0,"//---END",'CancerEpisode-ConceptMap-1'!S36)</f>
        <v>* group[=].element[=].display = ##34#Biopsy done by##34#</v>
      </c>
    </row>
    <row r="39" spans="2:2">
      <c r="B39" s="12" t="str">
        <f>IF('CancerEpisode-ConceptMap-1'!S37=0,"//---END",'CancerEpisode-ConceptMap-1'!S37)</f>
        <v>* group[=].element[=].target.code = #Condition.evidence:diagnosisDetails.detail.performer</v>
      </c>
    </row>
    <row r="40" spans="2:2">
      <c r="B40" s="12" t="str">
        <f>IF('CancerEpisode-ConceptMap-1'!S38=0,"//---END",'CancerEpisode-ConceptMap-1'!S38)</f>
        <v>* group[=].element[=].target.display = ##34###34#</v>
      </c>
    </row>
    <row r="41" spans="2:2">
      <c r="B41" s="12" t="str">
        <f>IF('CancerEpisode-ConceptMap-1'!S39=0,"//---END",'CancerEpisode-ConceptMap-1'!S39)</f>
        <v>* group[=].element[=].target.equivalence = #relatedto</v>
      </c>
    </row>
    <row r="42" spans="2:2">
      <c r="B42" s="12" t="str">
        <f>IF('CancerEpisode-ConceptMap-1'!S40=0,"//---END",'CancerEpisode-ConceptMap-1'!S40)</f>
        <v>* group[=].element[=].target.comment = ##34#detail  id ofType Observation and conformsTo http://hl7.eu/fhir/ig/idea4rc/StructureDefinition/Observation-diagnosis-eu-i4rc##34#</v>
      </c>
    </row>
    <row r="43" spans="2:2">
      <c r="B43" s="12" t="str">
        <f>IF('CancerEpisode-ConceptMap-1'!S41=0,"//---END",'CancerEpisode-ConceptMap-1'!S41)</f>
        <v>* group[=].element[+].code = #CancerEpisode.ageAtDiagnosis</v>
      </c>
    </row>
    <row r="44" spans="2:2">
      <c r="B44" s="12" t="str">
        <f>IF('CancerEpisode-ConceptMap-1'!S42=0,"//---END",'CancerEpisode-ConceptMap-1'!S42)</f>
        <v>* group[=].element[=].display = ##34#Age at diagnosis##34#</v>
      </c>
    </row>
    <row r="45" spans="2:2">
      <c r="B45" s="12" t="str">
        <f>IF('CancerEpisode-ConceptMap-1'!S43=0,"//---END",'CancerEpisode-ConceptMap-1'!S43)</f>
        <v>* group[=].element[=].target.code = #Condition.onsetAge</v>
      </c>
    </row>
    <row r="46" spans="2:2">
      <c r="B46" s="12" t="str">
        <f>IF('CancerEpisode-ConceptMap-1'!S44=0,"//---END",'CancerEpisode-ConceptMap-1'!S44)</f>
        <v>* group[=].element[=].target.display = ##34###34#</v>
      </c>
    </row>
    <row r="47" spans="2:2">
      <c r="B47" s="12" t="str">
        <f>IF('CancerEpisode-ConceptMap-1'!S45=0,"//---END",'CancerEpisode-ConceptMap-1'!S45)</f>
        <v>* group[=].element[=].target.equivalence = #equal</v>
      </c>
    </row>
    <row r="48" spans="2:2">
      <c r="B48" s="12" t="str">
        <f>IF('CancerEpisode-ConceptMap-1'!S46=0,"//---END",'CancerEpisode-ConceptMap-1'!S46)</f>
        <v>* group[=].element[=].target.comment = ##34#to be checked if an onSetdatTime or period is needed##34#</v>
      </c>
    </row>
    <row r="49" spans="2:2">
      <c r="B49" s="12" t="str">
        <f>IF('CancerEpisode-ConceptMap-1'!S47=0,"//---END",'CancerEpisode-ConceptMap-1'!S47)</f>
        <v>//---END</v>
      </c>
    </row>
    <row r="50" spans="2:2">
      <c r="B50" s="12" t="str">
        <f>IF('CancerEpisode-ConceptMap-1'!S48=0,"//---END",'CancerEpisode-ConceptMap-1'!S48)</f>
        <v>//---END</v>
      </c>
    </row>
    <row r="51" spans="2:2">
      <c r="B51" s="12" t="str">
        <f>IF('CancerEpisode-ConceptMap-1'!S49=0,"//---END",'CancerEpisode-ConceptMap-1'!S49)</f>
        <v>//---END</v>
      </c>
    </row>
    <row r="52" spans="2:2">
      <c r="B52" s="12" t="str">
        <f>IF('CancerEpisode-ConceptMap-1'!S50=0,"//---END",'CancerEpisode-ConceptMap-1'!S50)</f>
        <v>//---END</v>
      </c>
    </row>
    <row r="53" spans="2:2">
      <c r="B53" s="12" t="str">
        <f>IF('CancerEpisode-ConceptMap-1'!S51=0,"//---END",'CancerEpisode-ConceptMap-1'!S51)</f>
        <v>//---END</v>
      </c>
    </row>
    <row r="54" spans="2:2" ht="29.5">
      <c r="B54" s="12" t="str">
        <f>IF('CancerEpisode-ConceptMap-1'!S52=0,"//---END",'CancerEpisode-ConceptMap-1'!S52)</f>
        <v>//---END</v>
      </c>
    </row>
    <row r="55" spans="2:2">
      <c r="B55" s="12" t="str">
        <f>IF('CancerEpisode-ConceptMap-1'!S53=0,"//---END",'CancerEpisode-ConceptMap-1'!S53)</f>
        <v>* group[=].element[+].code = #CancerEpisode.grading</v>
      </c>
    </row>
    <row r="56" spans="2:2">
      <c r="B56" s="12" t="str">
        <f>IF('CancerEpisode-ConceptMap-1'!S54=0,"//---END",'CancerEpisode-ConceptMap-1'!S54)</f>
        <v>* group[=].element[=].display = ##34#Grading##34#</v>
      </c>
    </row>
    <row r="57" spans="2:2">
      <c r="B57" s="12" t="str">
        <f>IF('CancerEpisode-ConceptMap-1'!S55=0,"//---END",'CancerEpisode-ConceptMap-1'!S55)</f>
        <v>* group[=].element[=].target.code = #Condition.stage.summary</v>
      </c>
    </row>
    <row r="58" spans="2:2">
      <c r="B58" s="12" t="str">
        <f>IF('CancerEpisode-ConceptMap-1'!S56=0,"//---END",'CancerEpisode-ConceptMap-1'!S56)</f>
        <v>* group[=].element[=].target.display = ##34###34#</v>
      </c>
    </row>
    <row r="59" spans="2:2">
      <c r="B59" s="12" t="str">
        <f>IF('CancerEpisode-ConceptMap-1'!S57=0,"//---END",'CancerEpisode-ConceptMap-1'!S57)</f>
        <v>* group[=].element[=].target.equivalence = #relatedto</v>
      </c>
    </row>
    <row r="60" spans="2:2">
      <c r="B60" s="12" t="str">
        <f>IF('CancerEpisode-ConceptMap-1'!S58=0,"//---END",'CancerEpisode-ConceptMap-1'!S58)</f>
        <v>* group[=].element[=].target.comment = ##34#to be checked##34#</v>
      </c>
    </row>
    <row r="61" spans="2:2">
      <c r="B61" s="12" t="e">
        <f>IF('CancerEpisode-ConceptMap-1'!S59=0,"//---END",'CancerEpisode-ConceptMap-1'!S59)</f>
        <v>#REF!</v>
      </c>
    </row>
    <row r="62" spans="2:2">
      <c r="B62" s="12" t="e">
        <f>IF('CancerEpisode-ConceptMap-1'!S60=0,"//---END",'CancerEpisode-ConceptMap-1'!S60)</f>
        <v>#REF!</v>
      </c>
    </row>
    <row r="63" spans="2:2">
      <c r="B63" s="12" t="str">
        <f>IF('CancerEpisode-ConceptMap-1'!S61=0,"//---END",'CancerEpisode-ConceptMap-1'!S61)</f>
        <v>* group[=].element[=].target.code = #Condition.extension:histologyMorphologyBehavior.valueCodeableConcept</v>
      </c>
    </row>
    <row r="64" spans="2:2">
      <c r="B64" s="12" t="str">
        <f>IF('CancerEpisode-ConceptMap-1'!S62=0,"//---END",'CancerEpisode-ConceptMap-1'!S62)</f>
        <v>* group[=].element[=].target.display = ##34###34#</v>
      </c>
    </row>
    <row r="65" spans="2:2">
      <c r="B65" s="12" t="str">
        <f>IF('CancerEpisode-ConceptMap-1'!S63=0,"//---END",'CancerEpisode-ConceptMap-1'!S63)</f>
        <v>* group[=].element[=].target.equivalence = #relatedto</v>
      </c>
    </row>
    <row r="66" spans="2:2">
      <c r="B66" s="12" t="str">
        <f>IF('CancerEpisode-ConceptMap-1'!S64=0,"//---END",'CancerEpisode-ConceptMap-1'!S64)</f>
        <v>* group[=].element[=].target.comment = ##34#to be checked. How to manage this with the other subgroups. To be seen if a multiconding approach is sufficient##34#</v>
      </c>
    </row>
    <row r="67" spans="2:2">
      <c r="B67" s="12" t="str">
        <f>IF('CancerEpisode-ConceptMap-1'!S65=0,"//---END",'CancerEpisode-ConceptMap-1'!S65)</f>
        <v>* group[=].element[+].code = #CancerEpisode.histologySubGroup</v>
      </c>
    </row>
    <row r="68" spans="2:2">
      <c r="B68" s="12" t="str">
        <f>IF('CancerEpisode-ConceptMap-1'!S66=0,"//---END",'CancerEpisode-ConceptMap-1'!S66)</f>
        <v>* group[=].element[=].display = ##34#Histology Subgroups##34#</v>
      </c>
    </row>
    <row r="69" spans="2:2">
      <c r="B69" s="12" t="str">
        <f>IF('CancerEpisode-ConceptMap-1'!S67=0,"//---END",'CancerEpisode-ConceptMap-1'!S67)</f>
        <v>* group[=].element[=].target.code = #Condition.code</v>
      </c>
    </row>
    <row r="70" spans="2:2">
      <c r="B70" s="12" t="str">
        <f>IF('CancerEpisode-ConceptMap-1'!S68=0,"//---END",'CancerEpisode-ConceptMap-1'!S68)</f>
        <v>* group[=].element[=].target.display = ##34###34#</v>
      </c>
    </row>
    <row r="71" spans="2:2">
      <c r="B71" s="12" t="str">
        <f>IF('CancerEpisode-ConceptMap-1'!S69=0,"//---END",'CancerEpisode-ConceptMap-1'!S69)</f>
        <v>* group[=].element[=].target.equivalence = #relatedto</v>
      </c>
    </row>
    <row r="72" spans="2:2">
      <c r="B72" s="12" t="str">
        <f>IF('CancerEpisode-ConceptMap-1'!S70=0,"//---END",'CancerEpisode-ConceptMap-1'!S70)</f>
        <v>* group[=].element[=].target.comment = ##34#To be checked, linked to the code since the concpet includes both morhphology and topography##34#</v>
      </c>
    </row>
    <row r="73" spans="2:2">
      <c r="B73" s="12" t="str">
        <f>IF('CancerEpisode-ConceptMap-1'!S71=0,"//---END",'CancerEpisode-ConceptMap-1'!S71)</f>
        <v>* group[=].element[+].code = #CancerEpisode.histologySubGroup.histologySquamous</v>
      </c>
    </row>
    <row r="74" spans="2:2">
      <c r="B74" s="12" t="str">
        <f>IF('CancerEpisode-ConceptMap-1'!S72=0,"//---END",'CancerEpisode-ConceptMap-1'!S72)</f>
        <v>* group[=].element[=].display = ##34#Histology Squamous##34#</v>
      </c>
    </row>
    <row r="75" spans="2:2">
      <c r="B75" s="12" t="str">
        <f>IF('CancerEpisode-ConceptMap-1'!S73=0,"//---END",'CancerEpisode-ConceptMap-1'!S73)</f>
        <v>* group[=].element[=].target.code = #Condition.code</v>
      </c>
    </row>
    <row r="76" spans="2:2">
      <c r="B76" s="12" t="str">
        <f>IF('CancerEpisode-ConceptMap-1'!S74=0,"//---END",'CancerEpisode-ConceptMap-1'!S74)</f>
        <v>* group[=].element[=].target.display = ##34###34#</v>
      </c>
    </row>
    <row r="77" spans="2:2">
      <c r="B77" s="12" t="str">
        <f>IF('CancerEpisode-ConceptMap-1'!S75=0,"//---END",'CancerEpisode-ConceptMap-1'!S75)</f>
        <v>* group[=].element[=].target.equivalence = #relatedto</v>
      </c>
    </row>
    <row r="78" spans="2:2">
      <c r="B78" s="12" t="str">
        <f>IF('CancerEpisode-ConceptMap-1'!S76=0,"//---END",'CancerEpisode-ConceptMap-1'!S76)</f>
        <v>* group[=].element[=].target.comment = ##34#To be checked, linked to the code since the concpet includes both morhphology and topography##34#</v>
      </c>
    </row>
    <row r="79" spans="2:2">
      <c r="B79" s="12" t="str">
        <f>IF('CancerEpisode-ConceptMap-1'!S77=0,"//---END",'CancerEpisode-ConceptMap-1'!S77)</f>
        <v>* group[=].element[+].code = #CancerEpisode.histologySubGroup.histologyAdenocarcinoma</v>
      </c>
    </row>
    <row r="80" spans="2:2">
      <c r="B80" s="12" t="str">
        <f>IF('CancerEpisode-ConceptMap-1'!S78=0,"//---END",'CancerEpisode-ConceptMap-1'!S78)</f>
        <v>* group[=].element[=].display = ##34#Histology Adenocarcinoma##34#</v>
      </c>
    </row>
    <row r="81" spans="2:2">
      <c r="B81" s="12" t="str">
        <f>IF('CancerEpisode-ConceptMap-1'!S79=0,"//---END",'CancerEpisode-ConceptMap-1'!S79)</f>
        <v>* group[=].element[=].target.code = #Condition.code</v>
      </c>
    </row>
    <row r="82" spans="2:2">
      <c r="B82" s="12" t="str">
        <f>IF('CancerEpisode-ConceptMap-1'!S80=0,"//---END",'CancerEpisode-ConceptMap-1'!S80)</f>
        <v>* group[=].element[=].target.display = ##34###34#</v>
      </c>
    </row>
    <row r="83" spans="2:2">
      <c r="B83" s="12" t="str">
        <f>IF('CancerEpisode-ConceptMap-1'!S81=0,"//---END",'CancerEpisode-ConceptMap-1'!S81)</f>
        <v>* group[=].element[=].target.equivalence = #relatedto</v>
      </c>
    </row>
    <row r="84" spans="2:2">
      <c r="B84" s="12" t="str">
        <f>IF('CancerEpisode-ConceptMap-1'!S82=0,"//---END",'CancerEpisode-ConceptMap-1'!S82)</f>
        <v>* group[=].element[=].target.comment = ##34#To be checked, linked to the code since the concpet includes both morhphology and topography##34#</v>
      </c>
    </row>
    <row r="85" spans="2:2">
      <c r="B85" s="12" t="str">
        <f>IF('CancerEpisode-ConceptMap-1'!S83=0,"//---END",'CancerEpisode-ConceptMap-1'!S83)</f>
        <v>* group[=].element[+].code = #CancerEpisode.histologySubGroup.histologyNeuroendocrine</v>
      </c>
    </row>
    <row r="86" spans="2:2">
      <c r="B86" s="12" t="str">
        <f>IF('CancerEpisode-ConceptMap-1'!S84=0,"//---END",'CancerEpisode-ConceptMap-1'!S84)</f>
        <v>* group[=].element[=].display = ##34#Histology Neuroendocrine##34#</v>
      </c>
    </row>
    <row r="87" spans="2:2">
      <c r="B87" s="12" t="str">
        <f>IF('CancerEpisode-ConceptMap-1'!S85=0,"//---END",'CancerEpisode-ConceptMap-1'!S85)</f>
        <v>* group[=].element[=].target.code = #Condition.code</v>
      </c>
    </row>
    <row r="88" spans="2:2">
      <c r="B88" s="12" t="str">
        <f>IF('CancerEpisode-ConceptMap-1'!S86=0,"//---END",'CancerEpisode-ConceptMap-1'!S86)</f>
        <v>* group[=].element[=].target.display = ##34###34#</v>
      </c>
    </row>
    <row r="89" spans="2:2">
      <c r="B89" s="12" t="str">
        <f>IF('CancerEpisode-ConceptMap-1'!S87=0,"//---END",'CancerEpisode-ConceptMap-1'!S87)</f>
        <v>* group[=].element[=].target.equivalence = #relatedto</v>
      </c>
    </row>
    <row r="90" spans="2:2">
      <c r="B90" s="12" t="str">
        <f>IF('CancerEpisode-ConceptMap-1'!S88=0,"//---END",'CancerEpisode-ConceptMap-1'!S88)</f>
        <v>* group[=].element[=].target.comment = ##34#To be checked, linked to the code since the concpet includes both morhphology and topography##34#</v>
      </c>
    </row>
    <row r="91" spans="2:2">
      <c r="B91" s="12" t="str">
        <f>IF('CancerEpisode-ConceptMap-1'!S89=0,"//---END",'CancerEpisode-ConceptMap-1'!S89)</f>
        <v>* group[=].element[+].code = #CancerEpisode.histologySubGroup.histologyOdontogenicCarcinoma</v>
      </c>
    </row>
    <row r="92" spans="2:2">
      <c r="B92" s="12" t="str">
        <f>IF('CancerEpisode-ConceptMap-1'!S90=0,"//---END",'CancerEpisode-ConceptMap-1'!S90)</f>
        <v>* group[=].element[=].display = ##34#Histology Odontogenic Carcinoma##34#</v>
      </c>
    </row>
    <row r="93" spans="2:2">
      <c r="B93" s="12" t="str">
        <f>IF('CancerEpisode-ConceptMap-1'!S91=0,"//---END",'CancerEpisode-ConceptMap-1'!S91)</f>
        <v>* group[=].element[=].target.code = #Condition.code</v>
      </c>
    </row>
    <row r="94" spans="2:2">
      <c r="B94" s="12" t="str">
        <f>IF('CancerEpisode-ConceptMap-1'!S92=0,"//---END",'CancerEpisode-ConceptMap-1'!S92)</f>
        <v>* group[=].element[=].target.display = ##34###34#</v>
      </c>
    </row>
    <row r="95" spans="2:2">
      <c r="B95" s="12" t="str">
        <f>IF('CancerEpisode-ConceptMap-1'!S93=0,"//---END",'CancerEpisode-ConceptMap-1'!S93)</f>
        <v>* group[=].element[=].target.equivalence = #relatedto</v>
      </c>
    </row>
    <row r="96" spans="2:2">
      <c r="B96" s="12" t="str">
        <f>IF('CancerEpisode-ConceptMap-1'!S94=0,"//---END",'CancerEpisode-ConceptMap-1'!S94)</f>
        <v>* group[=].element[=].target.comment = ##34#To be checked, linked to the code since the concpet includes both morhphology and topography##34#</v>
      </c>
    </row>
    <row r="97" spans="2:2">
      <c r="B97" s="12" t="str">
        <f>IF('CancerEpisode-ConceptMap-1'!S95=0,"//---END",'CancerEpisode-ConceptMap-1'!S95)</f>
        <v>* group[=].element[+].code = #CancerEpisode.histologySubGroup.histologySNUC</v>
      </c>
    </row>
    <row r="98" spans="2:2">
      <c r="B98" s="12" t="str">
        <f>IF('CancerEpisode-ConceptMap-1'!S96=0,"//---END",'CancerEpisode-ConceptMap-1'!S96)</f>
        <v>* group[=].element[=].display = ##34#Histology Sinonasal undifferentiated carcinoma##34#</v>
      </c>
    </row>
    <row r="99" spans="2:2">
      <c r="B99" s="12" t="str">
        <f>IF('CancerEpisode-ConceptMap-1'!S97=0,"//---END",'CancerEpisode-ConceptMap-1'!S97)</f>
        <v>* group[=].element[=].target.code = #Condition.code</v>
      </c>
    </row>
    <row r="100" spans="2:2">
      <c r="B100" s="12" t="str">
        <f>IF('CancerEpisode-ConceptMap-1'!S98=0,"//---END",'CancerEpisode-ConceptMap-1'!S98)</f>
        <v>* group[=].element[=].target.display = ##34###34#</v>
      </c>
    </row>
    <row r="101" spans="2:2">
      <c r="B101" s="12" t="str">
        <f>IF('CancerEpisode-ConceptMap-1'!S99=0,"//---END",'CancerEpisode-ConceptMap-1'!S99)</f>
        <v>* group[=].element[=].target.equivalence = #relatedto</v>
      </c>
    </row>
    <row r="102" spans="2:2">
      <c r="B102" s="12" t="str">
        <f>IF('CancerEpisode-ConceptMap-1'!S100=0,"//---END",'CancerEpisode-ConceptMap-1'!S100)</f>
        <v>* group[=].element[=].target.comment = ##34#To be checked, linked to the code since the concpet includes both morhphology and topography##34#</v>
      </c>
    </row>
    <row r="103" spans="2:2">
      <c r="B103" s="12" t="str">
        <f>IF('CancerEpisode-ConceptMap-1'!S101=0,"//---END",'CancerEpisode-ConceptMap-1'!S101)</f>
        <v>* group[=].element[+].code = #CancerEpisode.subsites.nasalCavityAndParanasalSinusesSubsite</v>
      </c>
    </row>
    <row r="104" spans="2:2">
      <c r="B104" s="12" t="str">
        <f>IF('CancerEpisode-ConceptMap-1'!S102=0,"//---END",'CancerEpisode-ConceptMap-1'!S102)</f>
        <v>* group[=].element[=].display = ##34#Nasal cavity and paranasal sinuses subsite##34#</v>
      </c>
    </row>
    <row r="105" spans="2:2">
      <c r="B105" s="12" t="str">
        <f>IF('CancerEpisode-ConceptMap-1'!S103=0,"//---END",'CancerEpisode-ConceptMap-1'!S103)</f>
        <v>* group[=].element[=].target.code = #Condition.code</v>
      </c>
    </row>
    <row r="106" spans="2:2">
      <c r="B106" s="12" t="str">
        <f>IF('CancerEpisode-ConceptMap-1'!S104=0,"//---END",'CancerEpisode-ConceptMap-1'!S104)</f>
        <v>* group[=].element[=].target.display = ##34###34#</v>
      </c>
    </row>
    <row r="107" spans="2:2">
      <c r="B107" s="12" t="str">
        <f>IF('CancerEpisode-ConceptMap-1'!S105=0,"//---END",'CancerEpisode-ConceptMap-1'!S105)</f>
        <v>* group[=].element[=].target.equivalence = #relatedto</v>
      </c>
    </row>
    <row r="108" spans="2:2">
      <c r="B108" s="12" t="str">
        <f>IF('CancerEpisode-ConceptMap-1'!S106=0,"//---END",'CancerEpisode-ConceptMap-1'!S106)</f>
        <v>* group[=].element[=].target.comment = ##34#To be checked, linked to the code since the concpet includes both morhphology and topography##34#</v>
      </c>
    </row>
    <row r="109" spans="2:2">
      <c r="B109" s="12" t="str">
        <f>IF('CancerEpisode-ConceptMap-1'!S107=0,"//---END",'CancerEpisode-ConceptMap-1'!S107)</f>
        <v>* group[=].element[+].code = #CancerEpisode.subsites.nasopharynxSubsite</v>
      </c>
    </row>
    <row r="110" spans="2:2">
      <c r="B110" s="12" t="str">
        <f>IF('CancerEpisode-ConceptMap-1'!S108=0,"//---END",'CancerEpisode-ConceptMap-1'!S108)</f>
        <v>* group[=].element[=].display = ##34#Nasopharynx  subsite##34#</v>
      </c>
    </row>
    <row r="111" spans="2:2">
      <c r="B111" s="12" t="str">
        <f>IF('CancerEpisode-ConceptMap-1'!S109=0,"//---END",'CancerEpisode-ConceptMap-1'!S109)</f>
        <v>* group[=].element[=].target.code = #Condition.code</v>
      </c>
    </row>
    <row r="112" spans="2:2">
      <c r="B112" s="12" t="str">
        <f>IF('CancerEpisode-ConceptMap-1'!S110=0,"//---END",'CancerEpisode-ConceptMap-1'!S110)</f>
        <v>* group[=].element[=].target.display = ##34###34#</v>
      </c>
    </row>
    <row r="113" spans="2:2">
      <c r="B113" s="12" t="str">
        <f>IF('CancerEpisode-ConceptMap-1'!S111=0,"//---END",'CancerEpisode-ConceptMap-1'!S111)</f>
        <v>* group[=].element[=].target.equivalence = #relatedto</v>
      </c>
    </row>
    <row r="114" spans="2:2">
      <c r="B114" s="12" t="str">
        <f>IF('CancerEpisode-ConceptMap-1'!S112=0,"//---END",'CancerEpisode-ConceptMap-1'!S112)</f>
        <v>* group[=].element[=].target.comment = ##34#To be checked, linked to the code since the concpet includes both morhphology and topography##34#</v>
      </c>
    </row>
    <row r="115" spans="2:2">
      <c r="B115" s="12" t="str">
        <f>IF('CancerEpisode-ConceptMap-1'!S113=0,"//---END",'CancerEpisode-ConceptMap-1'!S113)</f>
        <v>* group[=].element[+].code = #CancerEpisode.subsites.hypopharynxSubsite</v>
      </c>
    </row>
    <row r="116" spans="2:2">
      <c r="B116" s="12" t="str">
        <f>IF('CancerEpisode-ConceptMap-1'!S114=0,"//---END",'CancerEpisode-ConceptMap-1'!S114)</f>
        <v>* group[=].element[=].display = ##34#Hypopharynx subsite##34#</v>
      </c>
    </row>
    <row r="117" spans="2:2">
      <c r="B117" s="12" t="str">
        <f>IF('CancerEpisode-ConceptMap-1'!S115=0,"//---END",'CancerEpisode-ConceptMap-1'!S115)</f>
        <v>* group[=].element[=].target.code = #Condition.code</v>
      </c>
    </row>
    <row r="118" spans="2:2">
      <c r="B118" s="12" t="str">
        <f>IF('CancerEpisode-ConceptMap-1'!S116=0,"//---END",'CancerEpisode-ConceptMap-1'!S116)</f>
        <v>* group[=].element[=].target.display = ##34###34#</v>
      </c>
    </row>
    <row r="119" spans="2:2">
      <c r="B119" s="12" t="str">
        <f>IF('CancerEpisode-ConceptMap-1'!S117=0,"//---END",'CancerEpisode-ConceptMap-1'!S117)</f>
        <v>* group[=].element[=].target.equivalence = #relatedto</v>
      </c>
    </row>
    <row r="120" spans="2:2">
      <c r="B120" s="12" t="str">
        <f>IF('CancerEpisode-ConceptMap-1'!S118=0,"//---END",'CancerEpisode-ConceptMap-1'!S118)</f>
        <v>* group[=].element[=].target.comment = ##34#To be checked, linked to the code since the concpet includes both morhphology and topography##34#</v>
      </c>
    </row>
    <row r="121" spans="2:2">
      <c r="B121" s="12" t="str">
        <f>IF('CancerEpisode-ConceptMap-1'!S119=0,"//---END",'CancerEpisode-ConceptMap-1'!S119)</f>
        <v>* group[=].element[+].code = #CancerEpisode.subsites.oropharynxSubsite</v>
      </c>
    </row>
    <row r="122" spans="2:2">
      <c r="B122" s="12" t="str">
        <f>IF('CancerEpisode-ConceptMap-1'!S120=0,"//---END",'CancerEpisode-ConceptMap-1'!S120)</f>
        <v>* group[=].element[=].display = ##34#Oropharynx subsite##34#</v>
      </c>
    </row>
    <row r="123" spans="2:2">
      <c r="B123" s="12" t="str">
        <f>IF('CancerEpisode-ConceptMap-1'!S121=0,"//---END",'CancerEpisode-ConceptMap-1'!S121)</f>
        <v>* group[=].element[=].target.code = #Condition.code</v>
      </c>
    </row>
    <row r="124" spans="2:2">
      <c r="B124" s="12" t="str">
        <f>IF('CancerEpisode-ConceptMap-1'!S122=0,"//---END",'CancerEpisode-ConceptMap-1'!S122)</f>
        <v>* group[=].element[=].target.display = ##34###34#</v>
      </c>
    </row>
    <row r="125" spans="2:2">
      <c r="B125" s="12" t="str">
        <f>IF('CancerEpisode-ConceptMap-1'!S123=0,"//---END",'CancerEpisode-ConceptMap-1'!S123)</f>
        <v>* group[=].element[=].target.equivalence = #relatedto</v>
      </c>
    </row>
    <row r="126" spans="2:2">
      <c r="B126" s="12" t="str">
        <f>IF('CancerEpisode-ConceptMap-1'!S124=0,"//---END",'CancerEpisode-ConceptMap-1'!S124)</f>
        <v>* group[=].element[=].target.comment = ##34#To be checked, linked to the code since the concpet includes both morhphology and topography##34#</v>
      </c>
    </row>
    <row r="127" spans="2:2">
      <c r="B127" s="12" t="str">
        <f>IF('CancerEpisode-ConceptMap-1'!S125=0,"//---END",'CancerEpisode-ConceptMap-1'!S125)</f>
        <v>* group[=].element[+].code = #CancerEpisode.subsites.larynxSubsite</v>
      </c>
    </row>
    <row r="128" spans="2:2">
      <c r="B128" s="12" t="str">
        <f>IF('CancerEpisode-ConceptMap-1'!S126=0,"//---END",'CancerEpisode-ConceptMap-1'!S126)</f>
        <v>* group[=].element[=].display = ##34#Larynx subsite##34#</v>
      </c>
    </row>
    <row r="129" spans="2:2">
      <c r="B129" s="12" t="str">
        <f>IF('CancerEpisode-ConceptMap-1'!S127=0,"//---END",'CancerEpisode-ConceptMap-1'!S127)</f>
        <v>* group[=].element[=].target.code = #Condition.code</v>
      </c>
    </row>
    <row r="130" spans="2:2">
      <c r="B130" s="12" t="str">
        <f>IF('CancerEpisode-ConceptMap-1'!S128=0,"//---END",'CancerEpisode-ConceptMap-1'!S128)</f>
        <v>* group[=].element[=].target.display = ##34###34#</v>
      </c>
    </row>
    <row r="131" spans="2:2">
      <c r="B131" s="12" t="str">
        <f>IF('CancerEpisode-ConceptMap-1'!S129=0,"//---END",'CancerEpisode-ConceptMap-1'!S129)</f>
        <v>* group[=].element[=].target.equivalence = #relatedto</v>
      </c>
    </row>
    <row r="132" spans="2:2">
      <c r="B132" s="12" t="str">
        <f>IF('CancerEpisode-ConceptMap-1'!S130=0,"//---END",'CancerEpisode-ConceptMap-1'!S130)</f>
        <v>* group[=].element[=].target.comment = ##34#To be checked, linked to the code since the concpet includes both morhphology and topography##34#</v>
      </c>
    </row>
    <row r="133" spans="2:2">
      <c r="B133" s="12" t="str">
        <f>IF('CancerEpisode-ConceptMap-1'!S131=0,"//---END",'CancerEpisode-ConceptMap-1'!S131)</f>
        <v>* group[=].element[+].code = #CancerEpisode.subsites.oralCavitySubsite</v>
      </c>
    </row>
    <row r="134" spans="2:2">
      <c r="B134" s="12" t="str">
        <f>IF('CancerEpisode-ConceptMap-1'!S132=0,"//---END",'CancerEpisode-ConceptMap-1'!S132)</f>
        <v>* group[=].element[=].display = ##34#Oral cavity subsite##34#</v>
      </c>
    </row>
    <row r="135" spans="2:2">
      <c r="B135" s="12" t="str">
        <f>IF('CancerEpisode-ConceptMap-1'!S133=0,"//---END",'CancerEpisode-ConceptMap-1'!S133)</f>
        <v>* group[=].element[=].target.code = #Condition.code</v>
      </c>
    </row>
    <row r="136" spans="2:2">
      <c r="B136" s="12" t="str">
        <f>IF('CancerEpisode-ConceptMap-1'!S134=0,"//---END",'CancerEpisode-ConceptMap-1'!S134)</f>
        <v>* group[=].element[=].target.display = ##34###34#</v>
      </c>
    </row>
    <row r="137" spans="2:2">
      <c r="B137" s="12" t="str">
        <f>IF('CancerEpisode-ConceptMap-1'!S135=0,"//---END",'CancerEpisode-ConceptMap-1'!S135)</f>
        <v>* group[=].element[=].target.equivalence = #relatedto</v>
      </c>
    </row>
    <row r="138" spans="2:2" ht="29.5">
      <c r="B138" s="12" t="str">
        <f>IF('CancerEpisode-ConceptMap-1'!S136=0,"//---END",'CancerEpisode-ConceptMap-1'!S136)</f>
        <v>* group[=].element[=].target.comment = ##34#To be checked, linked to the code since the concpet includes both morhphology and topography##34#</v>
      </c>
    </row>
    <row r="139" spans="2:2">
      <c r="B139" s="12" t="str">
        <f>IF('CancerEpisode-ConceptMap-1'!S137=0,"//---END",'CancerEpisode-ConceptMap-1'!S137)</f>
        <v>* group[=].element[+].code = #CancerEpisode.subsites.lipSubsite</v>
      </c>
    </row>
    <row r="140" spans="2:2">
      <c r="B140" s="12" t="str">
        <f>IF('CancerEpisode-ConceptMap-1'!S138=0,"//---END",'CancerEpisode-ConceptMap-1'!S138)</f>
        <v>* group[=].element[=].display = ##34#Lip subsite##34#</v>
      </c>
    </row>
    <row r="141" spans="2:2">
      <c r="B141" s="12" t="str">
        <f>IF('CancerEpisode-ConceptMap-1'!S139=0,"//---END",'CancerEpisode-ConceptMap-1'!S139)</f>
        <v>* group[=].element[=].target.code = #Condition.code</v>
      </c>
    </row>
    <row r="142" spans="2:2">
      <c r="B142" s="12" t="str">
        <f>IF('CancerEpisode-ConceptMap-1'!S140=0,"//---END",'CancerEpisode-ConceptMap-1'!S140)</f>
        <v>* group[=].element[=].target.display = ##34###34#</v>
      </c>
    </row>
    <row r="143" spans="2:2">
      <c r="B143" s="12" t="str">
        <f>IF('CancerEpisode-ConceptMap-1'!S141=0,"//---END",'CancerEpisode-ConceptMap-1'!S141)</f>
        <v>* group[=].element[=].target.equivalence = #relatedto</v>
      </c>
    </row>
    <row r="144" spans="2:2" ht="44.25">
      <c r="B144" s="12" t="str">
        <f>IF('CancerEpisode-ConceptMap-1'!S142=0,"//---END",'CancerEpisode-ConceptMap-1'!S142)</f>
        <v>* group[=].element[=].target.comment = ##34#To be checked, linked to the code since the concpet includes both morhphology and topography##34#</v>
      </c>
    </row>
    <row r="145" spans="2:2">
      <c r="B145" s="12" t="str">
        <f>IF('CancerEpisode-ConceptMap-1'!S143=0,"//---END",'CancerEpisode-ConceptMap-1'!S143)</f>
        <v>* group[=].element[+].code = #CancerEpisode.plasmaticEbvDnaAtBaseline</v>
      </c>
    </row>
    <row r="146" spans="2:2">
      <c r="B146" s="12" t="str">
        <f>IF('CancerEpisode-ConceptMap-1'!S144=0,"//---END",'CancerEpisode-ConceptMap-1'!S144)</f>
        <v>* group[=].element[=].display = ##34#Plasmatic EBV DNA at baseline##34#</v>
      </c>
    </row>
    <row r="147" spans="2:2">
      <c r="B147" s="12" t="str">
        <f>IF('CancerEpisode-ConceptMap-1'!S145=0,"//---END",'CancerEpisode-ConceptMap-1'!S145)</f>
        <v>* group[=].element[=].target.code = #Condition.evidence:plasmaticEbvDnaAtBaseline.valueCodeableConcept</v>
      </c>
    </row>
    <row r="148" spans="2:2">
      <c r="B148" s="12" t="str">
        <f>IF('CancerEpisode-ConceptMap-1'!S146=0,"//---END",'CancerEpisode-ConceptMap-1'!S146)</f>
        <v>* group[=].element[=].target.display = ##34###34#</v>
      </c>
    </row>
    <row r="149" spans="2:2">
      <c r="B149" s="12" t="str">
        <f>IF('CancerEpisode-ConceptMap-1'!S147=0,"//---END",'CancerEpisode-ConceptMap-1'!S147)</f>
        <v>* group[=].element[=].target.equivalence = #relatedto</v>
      </c>
    </row>
    <row r="150" spans="2:2" ht="29.5">
      <c r="B150" s="12" t="str">
        <f>IF('CancerEpisode-ConceptMap-1'!S148=0,"//---END",'CancerEpisode-ConceptMap-1'!S148)</f>
        <v>* group[=].element[=].target.comment = ##34#Where Observation.code is 43730-1 EBV DNA NAA+probe Qn.
NOTE : code to be changed !##34#</v>
      </c>
    </row>
    <row r="151" spans="2:2">
      <c r="B151" s="12" t="str">
        <f>IF('CancerEpisode-ConceptMap-1'!S149=0,"//---END",'CancerEpisode-ConceptMap-1'!S149)</f>
        <v>//---END</v>
      </c>
    </row>
    <row r="152" spans="2:2">
      <c r="B152" s="12" t="str">
        <f>IF('CancerEpisode-ConceptMap-1'!S150=0,"//---END",'CancerEpisode-ConceptMap-1'!S150)</f>
        <v>//---END</v>
      </c>
    </row>
    <row r="153" spans="2:2">
      <c r="B153" s="12" t="str">
        <f>IF('CancerEpisode-ConceptMap-1'!S151=0,"//---END",'CancerEpisode-ConceptMap-1'!S151)</f>
        <v>//---END</v>
      </c>
    </row>
    <row r="154" spans="2:2">
      <c r="B154" s="12"/>
    </row>
    <row r="155" spans="2:2">
      <c r="B155" s="12"/>
    </row>
    <row r="156" spans="2:2">
      <c r="B156" s="12"/>
    </row>
    <row r="157" spans="2:2">
      <c r="B157" s="121"/>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1"/>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59"/>
  <sheetViews>
    <sheetView topLeftCell="A6" zoomScaleNormal="100" workbookViewId="0">
      <selection activeCell="G36" sqref="G36:G3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57">
        <v>0</v>
      </c>
      <c r="B8" s="158" t="s">
        <v>1824</v>
      </c>
      <c r="C8" s="2" t="s">
        <v>191</v>
      </c>
      <c r="D8" s="2" t="s">
        <v>54</v>
      </c>
      <c r="E8" s="3">
        <v>1</v>
      </c>
      <c r="F8" s="3">
        <v>1</v>
      </c>
      <c r="G8" s="159" t="s">
        <v>1764</v>
      </c>
      <c r="H8" s="2" t="s">
        <v>1696</v>
      </c>
      <c r="I8" s="25"/>
      <c r="J8" s="12" t="str">
        <f t="shared" ref="J8:J59" si="0">CONCATENATE("* ",B8, " ",E8,"..",F8," ",G8," ##34#",C8,"##34# ##334#",D8,"##334#")</f>
        <v>* sex 1..1 CodeableConcept ##34#Gender##34#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1825</v>
      </c>
      <c r="C9" s="12" t="s">
        <v>58</v>
      </c>
      <c r="D9" s="12" t="s">
        <v>60</v>
      </c>
      <c r="E9" s="11">
        <v>1</v>
      </c>
      <c r="F9" s="11">
        <v>1</v>
      </c>
      <c r="G9" s="108" t="s">
        <v>1764</v>
      </c>
      <c r="H9" s="12" t="s">
        <v>1697</v>
      </c>
      <c r="I9" s="25"/>
      <c r="J9" s="12" t="str">
        <f t="shared" si="0"/>
        <v>* race 1..1 CodeableConcept ##34#Race##34# ##334#Describes race as recorded in  the hospital record, the one declared by the patient,, otherwise, the onerecognized by the observer##334#</v>
      </c>
      <c r="L9" s="12" t="str">
        <f t="shared" ref="L9:L59" si="1">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1826</v>
      </c>
      <c r="C10" s="12" t="s">
        <v>1675</v>
      </c>
      <c r="D10" s="12" t="s">
        <v>66</v>
      </c>
      <c r="E10" s="11">
        <v>1</v>
      </c>
      <c r="F10" s="11">
        <v>1</v>
      </c>
      <c r="G10" s="108" t="s">
        <v>1764</v>
      </c>
      <c r="H10" s="12" t="s">
        <v>1698</v>
      </c>
      <c r="I10" s="25"/>
      <c r="J10" s="12" t="str">
        <f t="shared" si="0"/>
        <v>* countryOfResidence 1..1 CodeableConcept ##34#Country of Residence##34# ##334#Country of residence at the time of diagnosis##334#</v>
      </c>
      <c r="L10" s="12" t="str">
        <f t="shared" si="1"/>
        <v>* countryOfResidence ^comment = ##334#Value from the code list of countries
Son in the hierarchy of countries##334#</v>
      </c>
    </row>
    <row r="11" spans="1:12" ht="88.5">
      <c r="A11" s="11">
        <v>3</v>
      </c>
      <c r="B11" s="107" t="s">
        <v>1827</v>
      </c>
      <c r="C11" s="12" t="s">
        <v>70</v>
      </c>
      <c r="D11" s="12" t="s">
        <v>72</v>
      </c>
      <c r="E11" s="11">
        <v>1</v>
      </c>
      <c r="F11" s="11">
        <v>1</v>
      </c>
      <c r="G11" s="108" t="s">
        <v>1764</v>
      </c>
      <c r="H11" s="12" t="s">
        <v>2437</v>
      </c>
      <c r="I11" s="25"/>
      <c r="J11" s="12" t="str">
        <f t="shared" si="0"/>
        <v>* smoking 1..1 CodeableConcept ##34#Smoking##34# ##334#Describes tobacco smoker habits within the options proposed##334#</v>
      </c>
      <c r="L11" s="12" t="str">
        <f t="shared" si="1"/>
        <v>* smoking ^comment = ##334#Current tobacco smoker; Former smoker (at least for 12 months); Never smoker; Unknown
Current smoker - 36309332
Former smoker - 45883458
Never smoker - 45879404
##334#</v>
      </c>
    </row>
    <row r="12" spans="1:12" ht="59">
      <c r="A12" s="11">
        <v>4</v>
      </c>
      <c r="B12" s="107" t="s">
        <v>1828</v>
      </c>
      <c r="C12" s="12" t="s">
        <v>76</v>
      </c>
      <c r="D12" s="12" t="s">
        <v>1676</v>
      </c>
      <c r="E12" s="11">
        <v>0</v>
      </c>
      <c r="F12" s="11">
        <v>1</v>
      </c>
      <c r="G12" s="108" t="s">
        <v>1764</v>
      </c>
      <c r="H12" s="12" t="s">
        <v>1699</v>
      </c>
      <c r="I12" s="25"/>
      <c r="J12" s="12" t="str">
        <f t="shared" si="0"/>
        <v>* smokingType 0..1 CodeableConcept ##34#Smoking type##34# ##334#Describes type of tobacco##334#</v>
      </c>
      <c r="L12" s="12" t="str">
        <f t="shared" si="1"/>
        <v>* smokingType ^comment = ##334#Cigarettes; Cigar; Unknown
Cigarettes - 36716475
Cigar -  36716476
Unknown - 4129922##334#</v>
      </c>
    </row>
    <row r="13" spans="1:12" ht="59">
      <c r="A13" s="11">
        <v>5</v>
      </c>
      <c r="B13" s="107" t="s">
        <v>1829</v>
      </c>
      <c r="C13" s="12" t="s">
        <v>79</v>
      </c>
      <c r="D13" s="12" t="s">
        <v>1677</v>
      </c>
      <c r="E13" s="11">
        <v>0</v>
      </c>
      <c r="F13" s="11">
        <v>1</v>
      </c>
      <c r="G13" s="108" t="s">
        <v>1608</v>
      </c>
      <c r="H13" s="12"/>
      <c r="I13" s="25"/>
      <c r="J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1"/>
        <v/>
      </c>
    </row>
    <row r="14" spans="1:12" ht="29.5">
      <c r="A14" s="11">
        <v>6</v>
      </c>
      <c r="B14" s="107" t="s">
        <v>1830</v>
      </c>
      <c r="C14" s="12" t="s">
        <v>83</v>
      </c>
      <c r="D14" s="12" t="s">
        <v>84</v>
      </c>
      <c r="E14" s="11">
        <v>0</v>
      </c>
      <c r="F14" s="11">
        <v>1</v>
      </c>
      <c r="G14" s="108" t="s">
        <v>1608</v>
      </c>
      <c r="H14" s="12"/>
      <c r="I14" s="25"/>
      <c r="J14" s="12" t="str">
        <f t="shared" si="0"/>
        <v>* yearsAsSmoker 0..1 integer ##34#Number of years as a smoker##34# ##334#Number of years the person has smoked##334#</v>
      </c>
      <c r="L14" s="12" t="str">
        <f t="shared" si="1"/>
        <v/>
      </c>
    </row>
    <row r="15" spans="1:12" ht="103.25">
      <c r="A15" s="11">
        <v>7</v>
      </c>
      <c r="B15" s="107" t="s">
        <v>1831</v>
      </c>
      <c r="C15" s="11" t="s">
        <v>92</v>
      </c>
      <c r="D15" s="11" t="s">
        <v>94</v>
      </c>
      <c r="E15" s="11">
        <v>1</v>
      </c>
      <c r="F15" s="11">
        <v>1</v>
      </c>
      <c r="G15" s="108" t="s">
        <v>1764</v>
      </c>
      <c r="H15" s="12" t="s">
        <v>2438</v>
      </c>
      <c r="I15" s="25"/>
      <c r="J15" s="12" t="str">
        <f t="shared" si="0"/>
        <v>* alcohol 1..1 CodeableConcept ##34#Alcohol##34# ##334#Describes alcohol habits within the options proposed##334#</v>
      </c>
      <c r="L15" s="12" t="str">
        <f t="shared" si="1"/>
        <v>* alcohol ^comment = ##334#Current; Former (at least for 12 months); Never; History of alcohol dependence; Unknown
Current drinker - 4074035
Ex-drinker - 4220362
Lifetime non-drinker of alcohol - 37204556
Ex-problem drinker - 4117706
##334#</v>
      </c>
    </row>
    <row r="16" spans="1:12" ht="29.5">
      <c r="A16" s="11">
        <v>8</v>
      </c>
      <c r="B16" s="11" t="s">
        <v>2375</v>
      </c>
      <c r="C16" s="11" t="s">
        <v>2376</v>
      </c>
      <c r="D16" s="11" t="s">
        <v>2377</v>
      </c>
      <c r="E16" s="11">
        <v>0</v>
      </c>
      <c r="F16" s="11">
        <v>1</v>
      </c>
      <c r="G16" s="108" t="s">
        <v>2443</v>
      </c>
      <c r="H16" s="12"/>
      <c r="I16" s="25"/>
      <c r="J16" s="12" t="str">
        <f t="shared" si="0"/>
        <v>* bMI 0..1 Quantity ##34#Height/weight (BMI)
##34# ##334#Provides the BMI for the patient##334#</v>
      </c>
      <c r="L16" s="12" t="str">
        <f t="shared" si="1"/>
        <v/>
      </c>
    </row>
    <row r="17" spans="1:12" ht="44.25">
      <c r="A17" s="11">
        <v>9</v>
      </c>
      <c r="B17" s="11" t="s">
        <v>2378</v>
      </c>
      <c r="C17" s="11" t="s">
        <v>2379</v>
      </c>
      <c r="D17" s="11" t="s">
        <v>2380</v>
      </c>
      <c r="E17" s="11">
        <v>0</v>
      </c>
      <c r="F17" s="11">
        <v>1</v>
      </c>
      <c r="G17" s="108" t="s">
        <v>1608</v>
      </c>
      <c r="H17" s="12"/>
      <c r="I17" s="25"/>
      <c r="J17" s="12" t="str">
        <f t="shared" si="0"/>
        <v>* charlsonComorbidityIndex 0..1 integer ##34#Charlson Comorbidity index##34# ##334#Provides the Charlson Comorbidity index for the patient##334#</v>
      </c>
      <c r="L17" s="12" t="str">
        <f t="shared" si="1"/>
        <v/>
      </c>
    </row>
    <row r="18" spans="1:12" ht="59">
      <c r="A18" s="11">
        <v>10</v>
      </c>
      <c r="B18" s="107" t="s">
        <v>1805</v>
      </c>
      <c r="C18" s="4" t="s">
        <v>114</v>
      </c>
      <c r="D18" s="4" t="s">
        <v>2383</v>
      </c>
      <c r="E18" s="6">
        <v>1</v>
      </c>
      <c r="F18" s="6">
        <v>1</v>
      </c>
      <c r="G18" s="4" t="s">
        <v>1</v>
      </c>
      <c r="H18" s="12" t="s">
        <v>1700</v>
      </c>
      <c r="I18" s="25"/>
      <c r="J18" s="12" t="str">
        <f t="shared" si="0"/>
        <v>* comorbidity 1..1 BackboneElement ##34#Comorbidity##34# ##334#Describes whether the patient was diagnosed before treatment of at least one of the comorbidities listed  next or not##334#</v>
      </c>
      <c r="L18" s="12" t="str">
        <f t="shared" si="1"/>
        <v>* comorbidity ^comment = ##334#Yes; No; Unknown
Yes - 4188539
No -  4188540
Unknown - 4129922##334#</v>
      </c>
    </row>
    <row r="19" spans="1:12" ht="59">
      <c r="A19" s="11">
        <v>11</v>
      </c>
      <c r="B19" s="109" t="s">
        <v>1811</v>
      </c>
      <c r="C19" s="12" t="s">
        <v>119</v>
      </c>
      <c r="D19" s="111" t="s">
        <v>120</v>
      </c>
      <c r="E19" s="11">
        <v>0</v>
      </c>
      <c r="F19" s="11">
        <v>1</v>
      </c>
      <c r="G19" s="108" t="s">
        <v>157</v>
      </c>
      <c r="H19" s="12"/>
      <c r="I19" s="25"/>
      <c r="J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L19" s="12" t="str">
        <f t="shared" si="1"/>
        <v/>
      </c>
    </row>
    <row r="20" spans="1:12" ht="44.25">
      <c r="A20" s="11">
        <v>12</v>
      </c>
      <c r="B20" s="109" t="s">
        <v>1816</v>
      </c>
      <c r="C20" s="12" t="s">
        <v>1678</v>
      </c>
      <c r="D20" s="108" t="s">
        <v>2384</v>
      </c>
      <c r="E20" s="11">
        <v>0</v>
      </c>
      <c r="F20" s="11">
        <v>1</v>
      </c>
      <c r="G20" s="108" t="s">
        <v>157</v>
      </c>
      <c r="H20" s="12"/>
      <c r="I20" s="25"/>
      <c r="J20" s="12" t="str">
        <f t="shared" si="0"/>
        <v>* comorbidity.congestiveHeartFailure 0..1 boolean ##34#Congestive heart failure##34# ##334#Previous cancer comorbidity related to Congestive heart failure##334#</v>
      </c>
      <c r="L20" s="12" t="str">
        <f t="shared" si="1"/>
        <v/>
      </c>
    </row>
    <row r="21" spans="1:12" ht="44.25">
      <c r="A21" s="11">
        <v>13</v>
      </c>
      <c r="B21" s="109" t="s">
        <v>1821</v>
      </c>
      <c r="C21" s="12" t="s">
        <v>1679</v>
      </c>
      <c r="D21" s="108" t="s">
        <v>2385</v>
      </c>
      <c r="E21" s="11">
        <v>0</v>
      </c>
      <c r="F21" s="11">
        <v>1</v>
      </c>
      <c r="G21" s="108" t="s">
        <v>157</v>
      </c>
      <c r="H21" s="12"/>
      <c r="I21" s="25"/>
      <c r="J21" s="12" t="str">
        <f t="shared" si="0"/>
        <v>* comorbidity.peripheralVascularDisease 0..1 boolean ##34#Peripheral vascular disease##34# ##334#Previous cancer comorbidity related to Peripheral vascular disease##334#</v>
      </c>
      <c r="L21" s="12" t="str">
        <f t="shared" si="1"/>
        <v/>
      </c>
    </row>
    <row r="22" spans="1:12" ht="59">
      <c r="A22" s="11">
        <v>14</v>
      </c>
      <c r="B22" s="110" t="s">
        <v>1817</v>
      </c>
      <c r="C22" s="12" t="s">
        <v>1680</v>
      </c>
      <c r="D22" s="108" t="s">
        <v>2386</v>
      </c>
      <c r="E22" s="11">
        <v>0</v>
      </c>
      <c r="F22" s="11">
        <v>1</v>
      </c>
      <c r="G22" s="108" t="s">
        <v>157</v>
      </c>
      <c r="H22" s="12"/>
      <c r="I22" s="25"/>
      <c r="J22" s="12" t="str">
        <f t="shared" si="0"/>
        <v>* comorbidity.cerebrovascularAccidentExceptHemiplegia 0..1 boolean ##34#Cerebrovascular accident  (except hemiplegia)##34# ##334#Previous cancer comorbidity related to Cerebrovascular accident  (except hemiplegia)##334#</v>
      </c>
      <c r="L22" s="12" t="str">
        <f t="shared" si="1"/>
        <v/>
      </c>
    </row>
    <row r="23" spans="1:12" ht="29.5">
      <c r="A23" s="11">
        <v>15</v>
      </c>
      <c r="B23" s="109" t="s">
        <v>1808</v>
      </c>
      <c r="C23" s="12" t="s">
        <v>1681</v>
      </c>
      <c r="D23" s="108" t="s">
        <v>2387</v>
      </c>
      <c r="E23" s="11">
        <v>0</v>
      </c>
      <c r="F23" s="11">
        <v>1</v>
      </c>
      <c r="G23" s="108" t="s">
        <v>157</v>
      </c>
      <c r="H23" s="12"/>
      <c r="I23" s="25"/>
      <c r="J23" s="12" t="str">
        <f t="shared" si="0"/>
        <v>* comorbidity.dementia 0..1 boolean ##34#Dementia##34# ##334#Previous cancer comorbidity related to Dementia##334#</v>
      </c>
      <c r="L23" s="12" t="str">
        <f t="shared" si="1"/>
        <v/>
      </c>
    </row>
    <row r="24" spans="1:12" ht="44.25">
      <c r="A24" s="11">
        <v>16</v>
      </c>
      <c r="B24" s="109" t="s">
        <v>1818</v>
      </c>
      <c r="C24" s="12" t="s">
        <v>1682</v>
      </c>
      <c r="D24" s="108" t="s">
        <v>2388</v>
      </c>
      <c r="E24" s="11">
        <v>0</v>
      </c>
      <c r="F24" s="11">
        <v>1</v>
      </c>
      <c r="G24" s="108" t="s">
        <v>157</v>
      </c>
      <c r="H24" s="12"/>
      <c r="I24" s="25"/>
      <c r="J24" s="12" t="str">
        <f t="shared" si="0"/>
        <v>* comorbidity.chronicPulmonaryDisease 0..1 boolean ##34#Chronic pulmonary disease##34# ##334#Previous cancer comorbidity related to Chronic pulmonary disease##334#</v>
      </c>
      <c r="L24" s="12" t="str">
        <f t="shared" si="1"/>
        <v/>
      </c>
    </row>
    <row r="25" spans="1:12" ht="44.25">
      <c r="A25" s="11">
        <v>17</v>
      </c>
      <c r="B25" s="109" t="s">
        <v>1819</v>
      </c>
      <c r="C25" s="12" t="s">
        <v>1683</v>
      </c>
      <c r="D25" s="108" t="s">
        <v>2389</v>
      </c>
      <c r="E25" s="11">
        <v>0</v>
      </c>
      <c r="F25" s="11">
        <v>1</v>
      </c>
      <c r="G25" s="108" t="s">
        <v>157</v>
      </c>
      <c r="H25" s="12"/>
      <c r="I25" s="25"/>
      <c r="J25" s="12" t="str">
        <f t="shared" si="0"/>
        <v>* comorbidity.connectiveTissueDisease 0..1 boolean ##34#Connective tissue disease##34# ##334#Previous cancer comorbidity related to Connective tissue disease##334#</v>
      </c>
      <c r="L25" s="12" t="str">
        <f t="shared" si="1"/>
        <v/>
      </c>
    </row>
    <row r="26" spans="1:12" ht="29.5">
      <c r="A26" s="11">
        <v>18</v>
      </c>
      <c r="B26" s="109" t="s">
        <v>1820</v>
      </c>
      <c r="C26" s="12" t="s">
        <v>1684</v>
      </c>
      <c r="D26" s="108" t="s">
        <v>2390</v>
      </c>
      <c r="E26" s="11">
        <v>0</v>
      </c>
      <c r="F26" s="11">
        <v>1</v>
      </c>
      <c r="G26" s="108" t="s">
        <v>157</v>
      </c>
      <c r="H26" s="12"/>
      <c r="I26" s="25"/>
      <c r="J26" s="12" t="str">
        <f t="shared" si="0"/>
        <v>* comorbidity.ulcer 0..1 boolean ##34#Ulcer##34# ##334#Previous cancer comorbidity related to Ulcer##334#</v>
      </c>
      <c r="L26" s="12" t="str">
        <f t="shared" si="1"/>
        <v/>
      </c>
    </row>
    <row r="27" spans="1:12" ht="29.5">
      <c r="A27" s="11">
        <v>19</v>
      </c>
      <c r="B27" s="109" t="s">
        <v>1812</v>
      </c>
      <c r="C27" s="12" t="s">
        <v>1685</v>
      </c>
      <c r="D27" s="108" t="s">
        <v>2391</v>
      </c>
      <c r="E27" s="11">
        <v>0</v>
      </c>
      <c r="F27" s="11">
        <v>1</v>
      </c>
      <c r="G27" s="108" t="s">
        <v>157</v>
      </c>
      <c r="H27" s="12"/>
      <c r="I27" s="25"/>
      <c r="J27" s="12" t="str">
        <f t="shared" si="0"/>
        <v>* comorbidity.mildLiverDisease 0..1 boolean ##34#Mild liver disease##34# ##334#Previous cancer comorbidity related to Mild liver disease##334#</v>
      </c>
      <c r="L27" s="12" t="str">
        <f t="shared" si="1"/>
        <v/>
      </c>
    </row>
    <row r="28" spans="1:12" ht="44.25">
      <c r="A28" s="11">
        <v>20</v>
      </c>
      <c r="B28" s="109" t="s">
        <v>1813</v>
      </c>
      <c r="C28" s="12" t="s">
        <v>1686</v>
      </c>
      <c r="D28" s="108" t="s">
        <v>2392</v>
      </c>
      <c r="E28" s="11">
        <v>0</v>
      </c>
      <c r="F28" s="11">
        <v>1</v>
      </c>
      <c r="G28" s="108" t="s">
        <v>157</v>
      </c>
      <c r="H28" s="12"/>
      <c r="I28" s="25"/>
      <c r="J28" s="12" t="str">
        <f t="shared" si="0"/>
        <v>* comorbidity.moderateToSevereLiverDisease 0..1 boolean ##34#Moderate to severe liver disease##34# ##334#Previous cancer comorbidity related to Moderate to severe liver disease##334#</v>
      </c>
      <c r="L28" s="12" t="str">
        <f t="shared" si="1"/>
        <v/>
      </c>
    </row>
    <row r="29" spans="1:12" ht="44.25">
      <c r="A29" s="11">
        <v>21</v>
      </c>
      <c r="B29" s="110" t="s">
        <v>1809</v>
      </c>
      <c r="C29" s="12" t="s">
        <v>1687</v>
      </c>
      <c r="D29" s="108" t="s">
        <v>2393</v>
      </c>
      <c r="E29" s="11">
        <v>0</v>
      </c>
      <c r="F29" s="11">
        <v>1</v>
      </c>
      <c r="G29" s="108" t="s">
        <v>157</v>
      </c>
      <c r="H29" s="12"/>
      <c r="I29" s="25"/>
      <c r="J29" s="12" t="str">
        <f t="shared" si="0"/>
        <v>* comorbidity.diabetesWithoutComplications 0..1 boolean ##34#Diabetes (without complications)##34# ##334#Previous cancer comorbidity related to Diabetes (without complications)##334#</v>
      </c>
      <c r="L29" s="12" t="str">
        <f t="shared" si="1"/>
        <v/>
      </c>
    </row>
    <row r="30" spans="1:12" ht="44.25">
      <c r="A30" s="11">
        <v>22</v>
      </c>
      <c r="B30" s="109" t="s">
        <v>1810</v>
      </c>
      <c r="C30" s="12" t="s">
        <v>1688</v>
      </c>
      <c r="D30" s="108" t="s">
        <v>2394</v>
      </c>
      <c r="E30" s="11">
        <v>0</v>
      </c>
      <c r="F30" s="11">
        <v>1</v>
      </c>
      <c r="G30" s="108" t="s">
        <v>157</v>
      </c>
      <c r="H30" s="12"/>
      <c r="I30" s="25"/>
      <c r="J30" s="12" t="str">
        <f t="shared" si="0"/>
        <v>* comorbidity.diabetesWithEndOrganDamage 0..1 boolean ##34#Diabetes with end organ damage##34# ##334#Previous cancer comorbidity related to Diabetes with end organ damage##334#</v>
      </c>
      <c r="L30" s="12" t="str">
        <f t="shared" si="1"/>
        <v/>
      </c>
    </row>
    <row r="31" spans="1:12" ht="29.5">
      <c r="A31" s="11">
        <v>23</v>
      </c>
      <c r="B31" s="109" t="s">
        <v>1806</v>
      </c>
      <c r="C31" s="12" t="s">
        <v>1689</v>
      </c>
      <c r="D31" s="108" t="s">
        <v>2395</v>
      </c>
      <c r="E31" s="11">
        <v>0</v>
      </c>
      <c r="F31" s="11">
        <v>1</v>
      </c>
      <c r="G31" s="108" t="s">
        <v>157</v>
      </c>
      <c r="H31" s="12"/>
      <c r="I31" s="25"/>
      <c r="J31" s="12" t="str">
        <f t="shared" si="0"/>
        <v>* comorbidity.hemiplegia 0..1 boolean ##34#Hemiplegia##34# ##334#Previous cancer comorbidity related to Hemiplegia##334#</v>
      </c>
      <c r="L31" s="12" t="str">
        <f t="shared" si="1"/>
        <v/>
      </c>
    </row>
    <row r="32" spans="1:12" ht="44.25">
      <c r="A32" s="11">
        <v>24</v>
      </c>
      <c r="B32" s="109" t="s">
        <v>1814</v>
      </c>
      <c r="C32" s="12" t="s">
        <v>1690</v>
      </c>
      <c r="D32" s="108" t="s">
        <v>2396</v>
      </c>
      <c r="E32" s="11">
        <v>0</v>
      </c>
      <c r="F32" s="11">
        <v>1</v>
      </c>
      <c r="G32" s="108" t="s">
        <v>157</v>
      </c>
      <c r="H32" s="12"/>
      <c r="I32" s="25"/>
      <c r="J32" s="12" t="str">
        <f t="shared" si="0"/>
        <v>* comorbidity.moderateToSevereRenalDisease 0..1 boolean ##34#Moderate to severe renal disease##34# ##334#Previous cancer comorbidity related to Moderate to severe renal disease##334#</v>
      </c>
      <c r="L32" s="12" t="str">
        <f t="shared" si="1"/>
        <v/>
      </c>
    </row>
    <row r="33" spans="1:12" ht="44.25">
      <c r="A33" s="11">
        <v>25</v>
      </c>
      <c r="B33" s="110" t="s">
        <v>1822</v>
      </c>
      <c r="C33" s="12" t="s">
        <v>1691</v>
      </c>
      <c r="D33" s="108" t="s">
        <v>2397</v>
      </c>
      <c r="E33" s="11">
        <v>0</v>
      </c>
      <c r="F33" s="11">
        <v>1</v>
      </c>
      <c r="G33" s="108" t="s">
        <v>157</v>
      </c>
      <c r="H33" s="12"/>
      <c r="I33" s="25"/>
      <c r="J33" s="12" t="str">
        <f t="shared" si="0"/>
        <v>* comorbidity.solidTumorNonMetastatic 0..1 boolean ##34#Solid tumor (non metastatic)##34# ##334#Previous cancer comorbidity related to Solid tumor (non metastatic)##334#</v>
      </c>
      <c r="L33" s="12" t="str">
        <f t="shared" si="1"/>
        <v/>
      </c>
    </row>
    <row r="34" spans="1:12" ht="44.25">
      <c r="A34" s="11">
        <v>26</v>
      </c>
      <c r="B34" s="109" t="s">
        <v>1815</v>
      </c>
      <c r="C34" s="12" t="s">
        <v>1692</v>
      </c>
      <c r="D34" s="108" t="s">
        <v>2398</v>
      </c>
      <c r="E34" s="11">
        <v>0</v>
      </c>
      <c r="F34" s="11">
        <v>1</v>
      </c>
      <c r="G34" s="108" t="s">
        <v>157</v>
      </c>
      <c r="H34" s="12"/>
      <c r="I34" s="25"/>
      <c r="J34" s="12" t="str">
        <f t="shared" si="0"/>
        <v>* comorbidity.metastaticSolidTumor 0..1 boolean ##34#Metastatic solid tumor##34# ##334#Previous cancer comorbidity related to Metastatic solid tumor##334#</v>
      </c>
      <c r="L34" s="12" t="str">
        <f t="shared" si="1"/>
        <v/>
      </c>
    </row>
    <row r="35" spans="1:12" ht="29.5">
      <c r="A35" s="11">
        <v>27</v>
      </c>
      <c r="B35" s="109" t="s">
        <v>1807</v>
      </c>
      <c r="C35" s="12" t="s">
        <v>1693</v>
      </c>
      <c r="D35" s="108" t="s">
        <v>2399</v>
      </c>
      <c r="E35" s="11">
        <v>0</v>
      </c>
      <c r="F35" s="11">
        <v>1</v>
      </c>
      <c r="G35" s="108" t="s">
        <v>157</v>
      </c>
      <c r="H35" s="12"/>
      <c r="I35" s="25"/>
      <c r="J35" s="12" t="str">
        <f t="shared" si="0"/>
        <v>* comorbidity.leukemia 0..1 boolean ##34#Leukemia##34# ##334#Previous cancer comorbidity related to Leukemia##334#</v>
      </c>
      <c r="L35" s="12" t="str">
        <f t="shared" si="1"/>
        <v/>
      </c>
    </row>
    <row r="36" spans="1:12" ht="29.5">
      <c r="A36" s="11">
        <v>28</v>
      </c>
      <c r="B36" s="110" t="s">
        <v>2381</v>
      </c>
      <c r="C36" s="12" t="s">
        <v>2400</v>
      </c>
      <c r="D36" s="108" t="s">
        <v>2401</v>
      </c>
      <c r="E36" s="11">
        <v>0</v>
      </c>
      <c r="F36" s="11">
        <v>1</v>
      </c>
      <c r="G36" s="108" t="s">
        <v>157</v>
      </c>
      <c r="H36" s="12"/>
      <c r="I36" s="25"/>
      <c r="J36" s="12" t="str">
        <f t="shared" si="0"/>
        <v>* comorbidity.lymphoma 0..1 boolean ##34#Lymphoma##34# ##334#Previous cancer comorbidity related to Lymphoma##334#</v>
      </c>
      <c r="L36" s="12" t="str">
        <f t="shared" si="1"/>
        <v/>
      </c>
    </row>
    <row r="37" spans="1:12" ht="29.5">
      <c r="A37" s="11">
        <v>29</v>
      </c>
      <c r="B37" s="110" t="s">
        <v>2382</v>
      </c>
      <c r="C37" s="12" t="s">
        <v>2402</v>
      </c>
      <c r="D37" s="108" t="s">
        <v>2403</v>
      </c>
      <c r="E37" s="11">
        <v>0</v>
      </c>
      <c r="F37" s="11">
        <v>1</v>
      </c>
      <c r="G37" s="108" t="s">
        <v>157</v>
      </c>
      <c r="H37" s="12"/>
      <c r="I37" s="25"/>
      <c r="J37" s="12" t="str">
        <f t="shared" si="0"/>
        <v>* comorbidity.multipleMyeloma 0..1 boolean ##34#Multiple myeloma##34# ##334#Previous cancer comorbidity related to Multiple myeloma##334#</v>
      </c>
      <c r="L37" s="12" t="str">
        <f t="shared" si="1"/>
        <v/>
      </c>
    </row>
    <row r="38" spans="1:12" ht="29.5">
      <c r="A38" s="11">
        <v>30</v>
      </c>
      <c r="B38" s="109" t="s">
        <v>1823</v>
      </c>
      <c r="C38" s="12" t="s">
        <v>1694</v>
      </c>
      <c r="D38" s="108" t="s">
        <v>2404</v>
      </c>
      <c r="E38" s="11">
        <v>0</v>
      </c>
      <c r="F38" s="11">
        <v>1</v>
      </c>
      <c r="G38" s="108" t="s">
        <v>157</v>
      </c>
      <c r="H38" s="12"/>
      <c r="I38" s="25"/>
      <c r="J38" s="12" t="str">
        <f t="shared" si="0"/>
        <v>* comorbidity.aids 0..1 boolean ##34#AIDS##34# ##334#Previous cancer comorbidity related to AIDS##334#</v>
      </c>
      <c r="L38" s="12" t="str">
        <f t="shared" si="1"/>
        <v/>
      </c>
    </row>
    <row r="39" spans="1:12" ht="118">
      <c r="A39" s="11">
        <v>31</v>
      </c>
      <c r="B39" s="110" t="s">
        <v>1832</v>
      </c>
      <c r="C39" s="12" t="s">
        <v>143</v>
      </c>
      <c r="D39" s="12" t="s">
        <v>143</v>
      </c>
      <c r="E39" s="11">
        <v>0</v>
      </c>
      <c r="F39" s="11">
        <v>1</v>
      </c>
      <c r="G39" s="108" t="s">
        <v>1764</v>
      </c>
      <c r="H39" s="12" t="s">
        <v>2439</v>
      </c>
      <c r="I39" s="25"/>
      <c r="J39" s="12" t="str">
        <f t="shared" si="0"/>
        <v>* ecogPsAtDiagnosis 0..1 CodeableConcept ##34#Eastern Cooperative Oncology Group performance status (ECOG PS)  at diagnosis##34# ##334#Eastern Cooperative Oncology Group performance status (ECOG PS)  at diagnosis##334#</v>
      </c>
      <c r="L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40" spans="1:12" ht="44.25">
      <c r="A40" s="11">
        <v>32</v>
      </c>
      <c r="B40" s="107" t="s">
        <v>1833</v>
      </c>
      <c r="C40" s="12" t="s">
        <v>147</v>
      </c>
      <c r="D40" s="12" t="s">
        <v>147</v>
      </c>
      <c r="E40" s="11">
        <v>0</v>
      </c>
      <c r="F40" s="11">
        <v>1</v>
      </c>
      <c r="G40" s="108" t="s">
        <v>1764</v>
      </c>
      <c r="H40" s="12" t="s">
        <v>2440</v>
      </c>
      <c r="I40" s="25"/>
      <c r="J40" s="12" t="str">
        <f t="shared" si="0"/>
        <v>* karnofsyIndexAtDiagnosis 0..1 CodeableConcept ##34#Karnofsy index at diagnosis##34# ##334#Karnofsy index at diagnosis##334#</v>
      </c>
      <c r="L40" s="12" t="str">
        <f t="shared" si="1"/>
        <v>* karnofsyIndexAtDiagnosis ^comment = ##334#KPS Scale
SONS Functional Neurologic Status - Karnofsky Performance Scale (KPS) - 35917688 ##334#</v>
      </c>
    </row>
    <row r="41" spans="1:12" ht="29.5">
      <c r="A41" s="11">
        <v>33</v>
      </c>
      <c r="B41" s="6" t="s">
        <v>2405</v>
      </c>
      <c r="C41" s="11" t="s">
        <v>2406</v>
      </c>
      <c r="D41" s="11" t="s">
        <v>2406</v>
      </c>
      <c r="E41" s="11">
        <v>1</v>
      </c>
      <c r="F41" s="11">
        <v>1</v>
      </c>
      <c r="G41" s="6" t="s">
        <v>1</v>
      </c>
      <c r="H41" s="12"/>
      <c r="J41" s="12" t="str">
        <f t="shared" si="0"/>
        <v>* noGeneticSyndromeWho2020 1..1 BackboneElement ##34#No Genetic syndrome WHO 2020 ##34# ##334#No Genetic syndrome WHO 2020 ##334#</v>
      </c>
      <c r="L41" s="12" t="str">
        <f t="shared" si="1"/>
        <v/>
      </c>
    </row>
    <row r="42" spans="1:12" ht="29.5">
      <c r="A42" s="11">
        <v>34</v>
      </c>
      <c r="B42" s="6" t="s">
        <v>2407</v>
      </c>
      <c r="C42" s="11" t="s">
        <v>2408</v>
      </c>
      <c r="D42" s="11" t="s">
        <v>2408</v>
      </c>
      <c r="E42" s="11">
        <v>1</v>
      </c>
      <c r="F42" s="11">
        <v>1</v>
      </c>
      <c r="G42" s="6" t="s">
        <v>157</v>
      </c>
      <c r="H42" s="12"/>
      <c r="J42" s="12" t="str">
        <f t="shared" si="0"/>
        <v>* olliersDisease 1..1 boolean ##34#Olliers disease##34# ##334#Olliers disease##334#</v>
      </c>
      <c r="L42" s="12" t="str">
        <f t="shared" si="1"/>
        <v/>
      </c>
    </row>
    <row r="43" spans="1:12" ht="29.5">
      <c r="A43" s="11">
        <v>35</v>
      </c>
      <c r="B43" s="6" t="s">
        <v>2409</v>
      </c>
      <c r="C43" s="11" t="s">
        <v>2410</v>
      </c>
      <c r="D43" s="11" t="s">
        <v>2410</v>
      </c>
      <c r="E43" s="11">
        <v>1</v>
      </c>
      <c r="F43" s="11">
        <v>1</v>
      </c>
      <c r="G43" s="6" t="s">
        <v>157</v>
      </c>
      <c r="H43" s="12"/>
      <c r="J43" s="12" t="str">
        <f t="shared" si="0"/>
        <v>* maffuciSyndrome 1..1 boolean ##34#Maffuci syndrome##34# ##334#Maffuci syndrome##334#</v>
      </c>
      <c r="L43" s="12" t="str">
        <f t="shared" si="1"/>
        <v/>
      </c>
    </row>
    <row r="44" spans="1:12" ht="29.5">
      <c r="A44" s="11">
        <v>36</v>
      </c>
      <c r="B44" s="6" t="s">
        <v>2411</v>
      </c>
      <c r="C44" s="11" t="s">
        <v>2412</v>
      </c>
      <c r="D44" s="11" t="s">
        <v>2412</v>
      </c>
      <c r="E44" s="11">
        <v>1</v>
      </c>
      <c r="F44" s="11">
        <v>1</v>
      </c>
      <c r="G44" s="6" t="s">
        <v>157</v>
      </c>
      <c r="H44" s="12"/>
      <c r="J44" s="12" t="str">
        <f t="shared" si="0"/>
        <v>* liFraumeniSyndrome 1..1 boolean ##34#Li-Fraumeni syndrome##34# ##334#Li-Fraumeni syndrome##334#</v>
      </c>
      <c r="L44" s="12" t="str">
        <f t="shared" si="1"/>
        <v/>
      </c>
    </row>
    <row r="45" spans="1:12" ht="29.5">
      <c r="A45" s="11">
        <v>37</v>
      </c>
      <c r="B45" s="6" t="s">
        <v>2413</v>
      </c>
      <c r="C45" s="11" t="s">
        <v>2414</v>
      </c>
      <c r="D45" s="11" t="s">
        <v>2414</v>
      </c>
      <c r="E45" s="11">
        <v>1</v>
      </c>
      <c r="F45" s="11">
        <v>1</v>
      </c>
      <c r="G45" s="6" t="s">
        <v>157</v>
      </c>
      <c r="H45" s="12"/>
      <c r="J45" s="12" t="str">
        <f t="shared" si="0"/>
        <v>* mcCuneAlbrightSyndrome 1..1 boolean ##34#McCune-Albright syndrome##34# ##334#McCune-Albright syndrome##334#</v>
      </c>
      <c r="L45" s="12" t="str">
        <f t="shared" si="1"/>
        <v/>
      </c>
    </row>
    <row r="46" spans="1:12" ht="29.5">
      <c r="A46" s="11">
        <v>38</v>
      </c>
      <c r="B46" s="6" t="s">
        <v>2415</v>
      </c>
      <c r="C46" s="11" t="s">
        <v>2416</v>
      </c>
      <c r="D46" s="11" t="s">
        <v>2416</v>
      </c>
      <c r="E46" s="11">
        <v>1</v>
      </c>
      <c r="F46" s="11">
        <v>1</v>
      </c>
      <c r="G46" s="6" t="s">
        <v>157</v>
      </c>
      <c r="H46" s="12"/>
      <c r="J46" s="12" t="str">
        <f t="shared" si="0"/>
        <v>* multipleOsteochondromas 1..1 boolean ##34#Multiple osteochondromas##34# ##334#Multiple osteochondromas##334#</v>
      </c>
      <c r="L46" s="12" t="str">
        <f t="shared" si="1"/>
        <v/>
      </c>
    </row>
    <row r="47" spans="1:12" ht="29.5">
      <c r="A47" s="11">
        <v>39</v>
      </c>
      <c r="B47" s="6" t="s">
        <v>2417</v>
      </c>
      <c r="C47" s="11" t="s">
        <v>2418</v>
      </c>
      <c r="D47" s="11" t="s">
        <v>2436</v>
      </c>
      <c r="E47" s="11">
        <v>1</v>
      </c>
      <c r="F47" s="11">
        <v>1</v>
      </c>
      <c r="G47" s="6" t="s">
        <v>157</v>
      </c>
      <c r="H47" s="12"/>
      <c r="J47" s="12" t="str">
        <f t="shared" si="0"/>
        <v>* neurofibromatosisType1 1..1 boolean ##34#Neurofibromatosis type 1##34# ##334#Neurofibromatosis type 2##334#</v>
      </c>
      <c r="L47" s="12" t="str">
        <f t="shared" si="1"/>
        <v/>
      </c>
    </row>
    <row r="48" spans="1:12" ht="29.5">
      <c r="A48" s="11">
        <v>40</v>
      </c>
      <c r="B48" s="6" t="s">
        <v>2419</v>
      </c>
      <c r="C48" s="11" t="s">
        <v>2420</v>
      </c>
      <c r="D48" s="11" t="s">
        <v>2420</v>
      </c>
      <c r="E48" s="11">
        <v>1</v>
      </c>
      <c r="F48" s="11">
        <v>1</v>
      </c>
      <c r="G48" s="6" t="s">
        <v>157</v>
      </c>
      <c r="H48" s="12"/>
      <c r="J48" s="12" t="str">
        <f t="shared" si="0"/>
        <v>* rothmundThomsonSyndrome 1..1 boolean ##34#Rothmund-Thomson syndrome##34# ##334#Rothmund-Thomson syndrome##334#</v>
      </c>
      <c r="L48" s="12" t="str">
        <f t="shared" si="1"/>
        <v/>
      </c>
    </row>
    <row r="49" spans="1:12" ht="29.5">
      <c r="A49" s="11">
        <v>41</v>
      </c>
      <c r="B49" s="6" t="s">
        <v>2421</v>
      </c>
      <c r="C49" s="11" t="s">
        <v>2422</v>
      </c>
      <c r="D49" s="11" t="s">
        <v>2422</v>
      </c>
      <c r="E49" s="11">
        <v>1</v>
      </c>
      <c r="F49" s="11">
        <v>1</v>
      </c>
      <c r="G49" s="6" t="s">
        <v>157</v>
      </c>
      <c r="H49" s="12"/>
      <c r="J49" s="12" t="str">
        <f t="shared" si="0"/>
        <v>* wernerSyndrome 1..1 boolean ##34#Werner syndrome##34# ##334#Werner syndrome##334#</v>
      </c>
      <c r="L49" s="12" t="str">
        <f t="shared" si="1"/>
        <v/>
      </c>
    </row>
    <row r="50" spans="1:12" ht="29.5">
      <c r="A50" s="11">
        <v>42</v>
      </c>
      <c r="B50" s="6" t="s">
        <v>2423</v>
      </c>
      <c r="C50" s="11" t="s">
        <v>2424</v>
      </c>
      <c r="D50" s="11" t="s">
        <v>2424</v>
      </c>
      <c r="E50" s="11">
        <v>1</v>
      </c>
      <c r="F50" s="11">
        <v>1</v>
      </c>
      <c r="G50" s="6" t="s">
        <v>157</v>
      </c>
      <c r="H50" s="12"/>
      <c r="J50" s="12" t="str">
        <f t="shared" si="0"/>
        <v>* retinoblastoma 1..1 boolean ##34#Retinoblastoma##34# ##334#Retinoblastoma##334#</v>
      </c>
      <c r="L50" s="12" t="str">
        <f t="shared" si="1"/>
        <v/>
      </c>
    </row>
    <row r="51" spans="1:12" ht="29.5">
      <c r="A51" s="11">
        <v>43</v>
      </c>
      <c r="B51" s="6" t="s">
        <v>2425</v>
      </c>
      <c r="C51" s="11" t="s">
        <v>2426</v>
      </c>
      <c r="D51" s="11" t="s">
        <v>2426</v>
      </c>
      <c r="E51" s="11">
        <v>1</v>
      </c>
      <c r="F51" s="11">
        <v>1</v>
      </c>
      <c r="G51" s="6" t="s">
        <v>157</v>
      </c>
      <c r="H51" s="12"/>
      <c r="J51" s="12" t="str">
        <f t="shared" si="0"/>
        <v>* pagetDisease 1..1 boolean ##34#Paget disease##34# ##334#Paget disease##334#</v>
      </c>
      <c r="L51" s="12" t="str">
        <f t="shared" si="1"/>
        <v/>
      </c>
    </row>
    <row r="52" spans="1:12" ht="29.5">
      <c r="A52" s="11">
        <v>44</v>
      </c>
      <c r="B52" s="6" t="s">
        <v>2427</v>
      </c>
      <c r="C52" s="11" t="s">
        <v>2428</v>
      </c>
      <c r="D52" s="11" t="s">
        <v>2428</v>
      </c>
      <c r="E52" s="11">
        <v>1</v>
      </c>
      <c r="F52" s="11">
        <v>1</v>
      </c>
      <c r="G52" s="6" t="s">
        <v>157</v>
      </c>
      <c r="H52" s="12"/>
      <c r="J52" s="12" t="str">
        <f t="shared" si="0"/>
        <v>* otherGeneticSyndromeWho2020 1..1 boolean ##34#Other Genetic syndrome WHO 2020 ##34# ##334#Other Genetic syndrome WHO 2020 ##334#</v>
      </c>
      <c r="L52" s="12" t="str">
        <f t="shared" si="1"/>
        <v/>
      </c>
    </row>
    <row r="53" spans="1:12" ht="29.5">
      <c r="A53" s="11">
        <v>45</v>
      </c>
      <c r="B53" s="6" t="s">
        <v>2429</v>
      </c>
      <c r="C53" s="11" t="s">
        <v>2430</v>
      </c>
      <c r="D53" s="11" t="s">
        <v>2430</v>
      </c>
      <c r="E53" s="11">
        <v>1</v>
      </c>
      <c r="F53" s="11">
        <v>1</v>
      </c>
      <c r="G53" s="6" t="s">
        <v>157</v>
      </c>
      <c r="H53" s="12"/>
      <c r="J53" s="12" t="str">
        <f t="shared" si="0"/>
        <v>* occurrenceOfOtherCancer 1..1 boolean ##34#Occurrence of other cancer##34# ##334#Occurrence of other cancer##334#</v>
      </c>
      <c r="L53" s="12" t="str">
        <f t="shared" si="1"/>
        <v/>
      </c>
    </row>
    <row r="54" spans="1:12" ht="103.25">
      <c r="A54" s="11">
        <v>46</v>
      </c>
      <c r="B54" s="11" t="s">
        <v>2431</v>
      </c>
      <c r="C54" s="11" t="s">
        <v>2432</v>
      </c>
      <c r="D54" s="11" t="s">
        <v>2432</v>
      </c>
      <c r="E54" s="11">
        <v>1</v>
      </c>
      <c r="F54" s="11">
        <v>1</v>
      </c>
      <c r="G54" s="11" t="s">
        <v>1764</v>
      </c>
      <c r="H54" s="12" t="s">
        <v>2441</v>
      </c>
      <c r="J54" s="12" t="str">
        <f t="shared" si="0"/>
        <v>* previousCancerTreatment 1..1 CodeableConcept ##34#Previous cancer treatment##34# ##334#Previous cancer treatment##334#</v>
      </c>
      <c r="L54" s="12" t="str">
        <f t="shared" si="1"/>
        <v>* previousCancerTreatment ^comment = ##334#Chemotherapy/radiation/surgery/other (site of radiotherapy)
Chemotherapy - 4273629
Radiation - 4029715
Surgery - 4121697 
Other - Needs to be specified##334#</v>
      </c>
    </row>
    <row r="55" spans="1:12" ht="29.5">
      <c r="A55" s="11">
        <v>47</v>
      </c>
      <c r="B55" s="11" t="s">
        <v>2433</v>
      </c>
      <c r="C55" s="11" t="s">
        <v>2434</v>
      </c>
      <c r="D55" s="11" t="s">
        <v>2435</v>
      </c>
      <c r="E55" s="11">
        <v>1</v>
      </c>
      <c r="F55" s="11">
        <v>1</v>
      </c>
      <c r="G55" s="11" t="s">
        <v>2444</v>
      </c>
      <c r="H55" s="12"/>
      <c r="J55" s="12" t="str">
        <f t="shared" si="0"/>
        <v>* lastContact 1..1 dateTime ##34#Last Contact##34# ##334#Date of the last contact with the patient, of any kind.##334#</v>
      </c>
      <c r="L55" s="12" t="str">
        <f t="shared" si="1"/>
        <v/>
      </c>
    </row>
    <row r="56" spans="1:12">
      <c r="J56" s="12" t="str">
        <f t="shared" si="0"/>
        <v>*  ..  ##34###34# ##334###334#</v>
      </c>
      <c r="L56" s="12" t="str">
        <f t="shared" si="1"/>
        <v>*  ..  ##34###34# ##334###334#</v>
      </c>
    </row>
    <row r="57" spans="1:12">
      <c r="J57" s="12" t="str">
        <f t="shared" si="0"/>
        <v>*  ..  ##34###34# ##334###334#</v>
      </c>
      <c r="L57" s="12" t="str">
        <f t="shared" si="1"/>
        <v>*  ..  ##34###34# ##334###334#</v>
      </c>
    </row>
    <row r="58" spans="1:12">
      <c r="J58" s="12" t="str">
        <f t="shared" si="0"/>
        <v>*  ..  ##34###34# ##334###334#</v>
      </c>
      <c r="L58" s="12" t="str">
        <f t="shared" si="1"/>
        <v>*  ..  ##34###34# ##334###334#</v>
      </c>
    </row>
    <row r="59" spans="1:12">
      <c r="J59" s="12" t="str">
        <f t="shared" si="0"/>
        <v>*  ..  ##34###34# ##334###334#</v>
      </c>
      <c r="L59" s="12" t="str">
        <f t="shared" si="1"/>
        <v>*  ..  ##34###34# ##334###334#</v>
      </c>
    </row>
  </sheetData>
  <autoFilter ref="A7:M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Subject!B18</f>
        <v>comorbidity</v>
      </c>
      <c r="C18" s="11" t="s">
        <v>1609</v>
      </c>
      <c r="E18" s="12" t="str">
        <f t="shared" si="0"/>
        <v>* comorbidity -&gt; ##34#TBD##34#</v>
      </c>
    </row>
    <row r="19" spans="1:5">
      <c r="A19" s="11"/>
      <c r="B19" s="11" t="e">
        <f>Subject!#REF!</f>
        <v>#REF!</v>
      </c>
      <c r="C19" s="11" t="s">
        <v>1609</v>
      </c>
      <c r="E19" s="12" t="e">
        <f t="shared" si="0"/>
        <v>#REF!</v>
      </c>
    </row>
    <row r="20" spans="1:5">
      <c r="A20" s="11"/>
      <c r="B20" s="11" t="str">
        <f>Subject!B19</f>
        <v>comorbidity.myocardialInfarction</v>
      </c>
      <c r="C20" s="11" t="s">
        <v>1609</v>
      </c>
      <c r="E20" s="12" t="str">
        <f t="shared" si="0"/>
        <v>* comorbidity.myocardialInfarction -&gt; ##34#TBD##34#</v>
      </c>
    </row>
    <row r="21" spans="1:5">
      <c r="B21" s="11" t="str">
        <f>Subject!B20</f>
        <v>comorbidity.congestiveHeartFailure</v>
      </c>
      <c r="C21" s="11" t="s">
        <v>1609</v>
      </c>
      <c r="E21" s="12" t="str">
        <f t="shared" si="0"/>
        <v>* comorbidity.congestiveHeartFailure -&gt; ##34#TBD##34#</v>
      </c>
    </row>
    <row r="22" spans="1:5">
      <c r="B22" s="11" t="str">
        <f>Subject!B21</f>
        <v>comorbidity.peripheralVascularDisease</v>
      </c>
      <c r="C22" s="11" t="s">
        <v>1609</v>
      </c>
      <c r="E22" s="12" t="str">
        <f t="shared" si="0"/>
        <v>* comorbidity.peripheralVascularDisease -&gt; ##34#TBD##34#</v>
      </c>
    </row>
    <row r="23" spans="1:5">
      <c r="B23" s="11" t="str">
        <f>Subject!B22</f>
        <v>comorbidity.cerebrovascularAccidentExceptHemiplegia</v>
      </c>
      <c r="C23" s="11" t="s">
        <v>1609</v>
      </c>
      <c r="E23" s="12" t="str">
        <f t="shared" si="0"/>
        <v>* comorbidity.cerebrovascularAccidentExceptHemiplegia -&gt; ##34#TBD##34#</v>
      </c>
    </row>
    <row r="24" spans="1:5">
      <c r="B24" s="11" t="str">
        <f>Subject!B23</f>
        <v>comorbidity.dementia</v>
      </c>
      <c r="C24" s="11" t="s">
        <v>1609</v>
      </c>
      <c r="E24" s="12" t="str">
        <f t="shared" si="0"/>
        <v>* comorbidity.dementia -&gt; ##34#TBD##34#</v>
      </c>
    </row>
    <row r="25" spans="1:5">
      <c r="B25" s="11" t="str">
        <f>Subject!B24</f>
        <v>comorbidity.chronicPulmonaryDisease</v>
      </c>
      <c r="C25" s="11" t="s">
        <v>1609</v>
      </c>
      <c r="E25" s="12" t="str">
        <f t="shared" si="0"/>
        <v>* comorbidity.chronicPulmonaryDisease -&gt; ##34#TBD##34#</v>
      </c>
    </row>
    <row r="26" spans="1:5">
      <c r="B26" s="11" t="str">
        <f>Subject!B25</f>
        <v>comorbidity.connectiveTissueDisease</v>
      </c>
      <c r="C26" s="11" t="s">
        <v>1609</v>
      </c>
      <c r="E26" s="12" t="str">
        <f t="shared" si="0"/>
        <v>* comorbidity.connectiveTissueDisease -&gt; ##34#TBD##34#</v>
      </c>
    </row>
    <row r="27" spans="1:5">
      <c r="B27" s="11" t="str">
        <f>Subject!B26</f>
        <v>comorbidity.ulcer</v>
      </c>
      <c r="C27" s="11" t="s">
        <v>1609</v>
      </c>
      <c r="E27" s="12" t="str">
        <f t="shared" si="0"/>
        <v>* comorbidity.ulcer -&gt; ##34#TBD##34#</v>
      </c>
    </row>
    <row r="28" spans="1:5">
      <c r="B28" s="11" t="str">
        <f>Subject!B27</f>
        <v>comorbidity.mildLiverDisease</v>
      </c>
      <c r="C28" s="11" t="s">
        <v>1609</v>
      </c>
      <c r="E28" s="12" t="str">
        <f t="shared" si="0"/>
        <v>* comorbidity.mildLiverDisease -&gt; ##34#TBD##34#</v>
      </c>
    </row>
    <row r="29" spans="1:5">
      <c r="B29" s="11" t="str">
        <f>Subject!B28</f>
        <v>comorbidity.moderateToSevereLiverDisease</v>
      </c>
      <c r="C29" s="11" t="s">
        <v>1609</v>
      </c>
      <c r="E29" s="12" t="str">
        <f t="shared" si="0"/>
        <v>* comorbidity.moderateToSevereLiverDisease -&gt; ##34#TBD##34#</v>
      </c>
    </row>
    <row r="30" spans="1:5">
      <c r="B30" s="11" t="str">
        <f>Subject!B29</f>
        <v>comorbidity.diabetesWithoutComplications</v>
      </c>
      <c r="C30" s="11" t="s">
        <v>1609</v>
      </c>
      <c r="E30" s="12" t="str">
        <f t="shared" si="0"/>
        <v>* comorbidity.diabetesWithoutComplications -&gt; ##34#TBD##34#</v>
      </c>
    </row>
    <row r="31" spans="1:5">
      <c r="B31" s="11" t="str">
        <f>Subject!B30</f>
        <v>comorbidity.diabetesWithEndOrganDamage</v>
      </c>
      <c r="C31" s="11" t="s">
        <v>1609</v>
      </c>
      <c r="E31" s="12" t="str">
        <f t="shared" si="0"/>
        <v>* comorbidity.diabetesWithEndOrganDamage -&gt; ##34#TBD##34#</v>
      </c>
    </row>
    <row r="32" spans="1:5">
      <c r="B32" s="11" t="str">
        <f>Subject!B31</f>
        <v>comorbidity.hemiplegia</v>
      </c>
      <c r="C32" s="11" t="s">
        <v>1609</v>
      </c>
      <c r="E32" s="12" t="str">
        <f t="shared" si="0"/>
        <v>* comorbidity.hemiplegia -&gt; ##34#TBD##34#</v>
      </c>
    </row>
    <row r="33" spans="2:5">
      <c r="B33" s="11" t="str">
        <f>Subject!B32</f>
        <v>comorbidity.moderateToSevereRenalDisease</v>
      </c>
      <c r="C33" s="11" t="s">
        <v>1609</v>
      </c>
      <c r="E33" s="12" t="str">
        <f t="shared" si="0"/>
        <v>* comorbidity.moderateToSevereRenalDisease -&gt; ##34#TBD##34#</v>
      </c>
    </row>
    <row r="34" spans="2:5">
      <c r="B34" s="11" t="str">
        <f>Subject!B33</f>
        <v>comorbidity.solidTumorNonMetastatic</v>
      </c>
      <c r="C34" s="11" t="s">
        <v>1609</v>
      </c>
      <c r="E34" s="12" t="str">
        <f t="shared" si="0"/>
        <v>* comorbidity.solidTumorNonMetastatic -&gt; ##34#TBD##34#</v>
      </c>
    </row>
    <row r="35" spans="2:5">
      <c r="B35" s="11" t="str">
        <f>Subject!B34</f>
        <v>comorbidity.metastaticSolidTumor</v>
      </c>
      <c r="C35" s="11" t="s">
        <v>1609</v>
      </c>
      <c r="E35" s="12" t="str">
        <f t="shared" si="0"/>
        <v>* comorbidity.metastaticSolidTumor -&gt; ##34#TBD##34#</v>
      </c>
    </row>
    <row r="36" spans="2:5">
      <c r="B36" s="11" t="str">
        <f>Subject!B35</f>
        <v>comorbidity.leukemia</v>
      </c>
      <c r="C36" s="11" t="s">
        <v>1609</v>
      </c>
      <c r="E36" s="12" t="str">
        <f t="shared" si="0"/>
        <v>* comorbidity.leukemia -&gt; ##34#TBD##34#</v>
      </c>
    </row>
    <row r="37" spans="2:5">
      <c r="B37" s="11" t="str">
        <f>Subject!B36</f>
        <v>comorbidity.lymphoma</v>
      </c>
      <c r="C37" s="11" t="s">
        <v>1609</v>
      </c>
      <c r="E37" s="12" t="str">
        <f t="shared" si="0"/>
        <v>* comorbidity.lymphoma -&gt; ##34#TBD##34#</v>
      </c>
    </row>
    <row r="38" spans="2:5">
      <c r="B38" s="11" t="str">
        <f>Subject!B38</f>
        <v>comorbidity.aids</v>
      </c>
      <c r="C38" s="11" t="s">
        <v>1609</v>
      </c>
      <c r="E38" s="12" t="str">
        <f t="shared" si="0"/>
        <v>* comorbidity.aids -&gt; ##34#TBD##34#</v>
      </c>
    </row>
    <row r="39" spans="2:5">
      <c r="B39" s="11" t="str">
        <f>Subject!B39</f>
        <v>ecogPsAtDiagnosis</v>
      </c>
      <c r="C39" s="11" t="s">
        <v>1609</v>
      </c>
      <c r="E39" s="12" t="str">
        <f t="shared" si="0"/>
        <v>* ecogPsAtDiagnosis -&gt; ##34#TBD##34#</v>
      </c>
    </row>
    <row r="40" spans="2:5">
      <c r="B40" s="11" t="str">
        <f>Subject!B40</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113"/>
  <sheetViews>
    <sheetView workbookViewId="0">
      <selection activeCell="C8" sqref="C8:C5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##34#Gender##34#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29.5">
      <c r="C16" s="12" t="str">
        <f>IF(Subject!J16="*  ..  ##34###34# ##334###334#","//--- END",Subject!J16)</f>
        <v>* bMI 0..1 Quantity ##34#Height/weight (BMI)
##34# ##334#Provides the BMI for the patient##334#</v>
      </c>
    </row>
    <row r="17" spans="3:3" ht="29.5">
      <c r="C17" s="12" t="str">
        <f>IF(Subject!J17="*  ..  ##34###34# ##334###334#","//--- END",Subject!J17)</f>
        <v>* charlsonComorbidityIndex 0..1 integer ##34#Charlson Comorbidity index##34# ##334#Provides the Charlson Comorbidity index for the patient##334#</v>
      </c>
    </row>
    <row r="18" spans="3:3" ht="29.5">
      <c r="C18" s="12" t="str">
        <f>IF(Subject!J18="*  ..  ##34###34# ##334###334#","//--- END",Subject!J18)</f>
        <v>* comorbidity 1..1 BackboneElement ##34#Comorbidity##34# ##334#Describes whether the patient was diagnosed before treatment of at least one of the comorbidities listed  next or not##334#</v>
      </c>
    </row>
    <row r="19" spans="3:3" ht="44.25">
      <c r="C19" s="12" t="str">
        <f>IF(Subject!J19="*  ..  ##34###34# ##334###334#","//--- END",Subject!J19)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IF(Subject!J20="*  ..  ##34###34# ##334###334#","//--- END",Subject!J20)</f>
        <v>* comorbidity.congestiveHeartFailure 0..1 boolean ##34#Congestive heart failure##34# ##334#Previous cancer comorbidity related to Congestive heart failure##334#</v>
      </c>
    </row>
    <row r="21" spans="3:3" ht="29.5">
      <c r="C21" s="12" t="str">
        <f>IF(Subject!J21="*  ..  ##34###34# ##334###334#","//--- END",Subject!J21)</f>
        <v>* comorbidity.peripheralVascularDisease 0..1 boolean ##34#Peripheral vascular disease##34# ##334#Previous cancer comorbidity related to Peripheral vascular disease##334#</v>
      </c>
    </row>
    <row r="22" spans="3:3" ht="29.5">
      <c r="C22" s="12" t="str">
        <f>IF(Subject!J22="*  ..  ##34###34# ##334###334#","//--- END",Subject!J22)</f>
        <v>* comorbidity.cerebrovascularAccidentExceptHemiplegia 0..1 boolean ##34#Cerebrovascular accident  (except hemiplegia)##34# ##334#Previous cancer comorbidity related to Cerebrovascular accident  (except hemiplegia)##334#</v>
      </c>
    </row>
    <row r="23" spans="3:3">
      <c r="C23" s="12" t="str">
        <f>IF(Subject!J23="*  ..  ##34###34# ##334###334#","//--- END",Subject!J23)</f>
        <v>* comorbidity.dementia 0..1 boolean ##34#Dementia##34# ##334#Previous cancer comorbidity related to Dementia##334#</v>
      </c>
    </row>
    <row r="24" spans="3:3" ht="29.5">
      <c r="C24" s="12" t="str">
        <f>IF(Subject!J24="*  ..  ##34###34# ##334###334#","//--- END",Subject!J24)</f>
        <v>* comorbidity.chronicPulmonaryDisease 0..1 boolean ##34#Chronic pulmonary disease##34# ##334#Previous cancer comorbidity related to Chronic pulmonary disease##334#</v>
      </c>
    </row>
    <row r="25" spans="3:3" ht="29.5">
      <c r="C25" s="12" t="str">
        <f>IF(Subject!J25="*  ..  ##34###34# ##334###334#","//--- END",Subject!J25)</f>
        <v>* comorbidity.connectiveTissueDisease 0..1 boolean ##34#Connective tissue disease##34# ##334#Previous cancer comorbidity related to Connective tissue disease##334#</v>
      </c>
    </row>
    <row r="26" spans="3:3">
      <c r="C26" s="12" t="str">
        <f>IF(Subject!J26="*  ..  ##34###34# ##334###334#","//--- END",Subject!J26)</f>
        <v>* comorbidity.ulcer 0..1 boolean ##34#Ulcer##34# ##334#Previous cancer comorbidity related to Ulcer##334#</v>
      </c>
    </row>
    <row r="27" spans="3:3" ht="29.5">
      <c r="C27" s="12" t="str">
        <f>IF(Subject!J27="*  ..  ##34###34# ##334###334#","//--- END",Subject!J27)</f>
        <v>* comorbidity.mildLiverDisease 0..1 boolean ##34#Mild liver disease##34# ##334#Previous cancer comorbidity related to Mild liver disease##334#</v>
      </c>
    </row>
    <row r="28" spans="3:3" ht="29.5">
      <c r="C28" s="12" t="str">
        <f>IF(Subject!J28="*  ..  ##34###34# ##334###334#","//--- END",Subject!J28)</f>
        <v>* comorbidity.moderateToSevereLiverDisease 0..1 boolean ##34#Moderate to severe liver disease##34# ##334#Previous cancer comorbidity related to Moderate to severe liver disease##334#</v>
      </c>
    </row>
    <row r="29" spans="3:3" ht="29.5">
      <c r="C29" s="12" t="str">
        <f>IF(Subject!J29="*  ..  ##34###34# ##334###334#","//--- END",Subject!J29)</f>
        <v>* comorbidity.diabetesWithoutComplications 0..1 boolean ##34#Diabetes (without complications)##34# ##334#Previous cancer comorbidity related to Diabetes (without complications)##334#</v>
      </c>
    </row>
    <row r="30" spans="3:3" ht="29.5">
      <c r="C30" s="12" t="str">
        <f>IF(Subject!J30="*  ..  ##34###34# ##334###334#","//--- END",Subject!J30)</f>
        <v>* comorbidity.diabetesWithEndOrganDamage 0..1 boolean ##34#Diabetes with end organ damage##34# ##334#Previous cancer comorbidity related to Diabetes with end organ damage##334#</v>
      </c>
    </row>
    <row r="31" spans="3:3" ht="29.5">
      <c r="C31" s="12" t="str">
        <f>IF(Subject!J31="*  ..  ##34###34# ##334###334#","//--- END",Subject!J31)</f>
        <v>* comorbidity.hemiplegia 0..1 boolean ##34#Hemiplegia##34# ##334#Previous cancer comorbidity related to Hemiplegia##334#</v>
      </c>
    </row>
    <row r="32" spans="3:3" ht="29.5">
      <c r="C32" s="12" t="str">
        <f>IF(Subject!J32="*  ..  ##34###34# ##334###334#","//--- END",Subject!J32)</f>
        <v>* comorbidity.moderateToSevereRenalDisease 0..1 boolean ##34#Moderate to severe renal disease##34# ##334#Previous cancer comorbidity related to Moderate to severe renal disease##334#</v>
      </c>
    </row>
    <row r="33" spans="3:3" ht="29.5">
      <c r="C33" s="12" t="str">
        <f>IF(Subject!J33="*  ..  ##34###34# ##334###334#","//--- END",Subject!J33)</f>
        <v>* comorbidity.solidTumorNonMetastatic 0..1 boolean ##34#Solid tumor (non metastatic)##34# ##334#Previous cancer comorbidity related to Solid tumor (non metastatic)##334#</v>
      </c>
    </row>
    <row r="34" spans="3:3" ht="29.5">
      <c r="C34" s="12" t="str">
        <f>IF(Subject!J34="*  ..  ##34###34# ##334###334#","//--- END",Subject!J34)</f>
        <v>* comorbidity.metastaticSolidTumor 0..1 boolean ##34#Metastatic solid tumor##34# ##334#Previous cancer comorbidity related to Metastatic solid tumor##334#</v>
      </c>
    </row>
    <row r="35" spans="3:3">
      <c r="C35" s="12" t="str">
        <f>IF(Subject!J35="*  ..  ##34###34# ##334###334#","//--- END",Subject!J35)</f>
        <v>* comorbidity.leukemia 0..1 boolean ##34#Leukemia##34# ##334#Previous cancer comorbidity related to Leukemia##334#</v>
      </c>
    </row>
    <row r="36" spans="3:3">
      <c r="C36" s="12" t="str">
        <f>IF(Subject!J36="*  ..  ##34###34# ##334###334#","//--- END",Subject!J36)</f>
        <v>* comorbidity.lymphoma 0..1 boolean ##34#Lymphoma##34# ##334#Previous cancer comorbidity related to Lymphoma##334#</v>
      </c>
    </row>
    <row r="37" spans="3:3" ht="29.5">
      <c r="C37" s="12" t="str">
        <f>IF(Subject!J37="*  ..  ##34###34# ##334###334#","//--- END",Subject!J37)</f>
        <v>* comorbidity.multipleMyeloma 0..1 boolean ##34#Multiple myeloma##34# ##334#Previous cancer comorbidity related to Multiple myeloma##334#</v>
      </c>
    </row>
    <row r="38" spans="3:3">
      <c r="C38" s="12" t="str">
        <f>IF(Subject!J38="*  ..  ##34###34# ##334###334#","//--- END",Subject!J38)</f>
        <v>* comorbidity.aids 0..1 boolean ##34#AIDS##34# ##334#Previous cancer comorbidity related to AIDS##334#</v>
      </c>
    </row>
    <row r="39" spans="3:3" ht="29.5">
      <c r="C39" s="12" t="str">
        <f>IF(Subject!J39="*  ..  ##34###34# ##334###334#","//--- END",Subject!J39)</f>
        <v>* ecogPsAtDiagnosis 0..1 CodeableConcept ##34#Eastern Cooperative Oncology Group performance status (ECOG PS)  at diagnosis##34# ##334#Eastern Cooperative Oncology Group performance status (ECOG PS)  at diagnosis##334#</v>
      </c>
    </row>
    <row r="40" spans="3:3" ht="29.5">
      <c r="C40" s="12" t="str">
        <f>IF(Subject!J40="*  ..  ##34###34# ##334###334#","//--- END",Subject!J40)</f>
        <v>* karnofsyIndexAtDiagnosis 0..1 CodeableConcept ##34#Karnofsy index at diagnosis##34# ##334#Karnofsy index at diagnosis##334#</v>
      </c>
    </row>
    <row r="41" spans="3:3" ht="29.5">
      <c r="C41" s="12" t="str">
        <f>IF(Subject!J41="*  ..  ##34###34# ##334###334#","//--- END",Subject!J41)</f>
        <v>* noGeneticSyndromeWho2020 1..1 BackboneElement ##34#No Genetic syndrome WHO 2020 ##34# ##334#No Genetic syndrome WHO 2020 ##334#</v>
      </c>
    </row>
    <row r="42" spans="3:3">
      <c r="C42" s="12" t="str">
        <f>IF(Subject!J42="*  ..  ##34###34# ##334###334#","//--- END",Subject!J42)</f>
        <v>* olliersDisease 1..1 boolean ##34#Olliers disease##34# ##334#Olliers disease##334#</v>
      </c>
    </row>
    <row r="43" spans="3:3">
      <c r="C43" s="12" t="str">
        <f>IF(Subject!J43="*  ..  ##34###34# ##334###334#","//--- END",Subject!J43)</f>
        <v>* maffuciSyndrome 1..1 boolean ##34#Maffuci syndrome##34# ##334#Maffuci syndrome##334#</v>
      </c>
    </row>
    <row r="44" spans="3:3">
      <c r="C44" s="12" t="str">
        <f>IF(Subject!J44="*  ..  ##34###34# ##334###334#","//--- END",Subject!J44)</f>
        <v>* liFraumeniSyndrome 1..1 boolean ##34#Li-Fraumeni syndrome##34# ##334#Li-Fraumeni syndrome##334#</v>
      </c>
    </row>
    <row r="45" spans="3:3">
      <c r="C45" s="12" t="str">
        <f>IF(Subject!J45="*  ..  ##34###34# ##334###334#","//--- END",Subject!J45)</f>
        <v>* mcCuneAlbrightSyndrome 1..1 boolean ##34#McCune-Albright syndrome##34# ##334#McCune-Albright syndrome##334#</v>
      </c>
    </row>
    <row r="46" spans="3:3">
      <c r="C46" s="12" t="str">
        <f>IF(Subject!J46="*  ..  ##34###34# ##334###334#","//--- END",Subject!J46)</f>
        <v>* multipleOsteochondromas 1..1 boolean ##34#Multiple osteochondromas##34# ##334#Multiple osteochondromas##334#</v>
      </c>
    </row>
    <row r="47" spans="3:3">
      <c r="C47" s="12" t="str">
        <f>IF(Subject!J47="*  ..  ##34###34# ##334###334#","//--- END",Subject!J47)</f>
        <v>* neurofibromatosisType1 1..1 boolean ##34#Neurofibromatosis type 1##34# ##334#Neurofibromatosis type 2##334#</v>
      </c>
    </row>
    <row r="48" spans="3:3" ht="29.5">
      <c r="C48" s="12" t="str">
        <f>IF(Subject!J48="*  ..  ##34###34# ##334###334#","//--- END",Subject!J48)</f>
        <v>* rothmundThomsonSyndrome 1..1 boolean ##34#Rothmund-Thomson syndrome##34# ##334#Rothmund-Thomson syndrome##334#</v>
      </c>
    </row>
    <row r="49" spans="3:3">
      <c r="C49" s="12" t="str">
        <f>IF(Subject!J49="*  ..  ##34###34# ##334###334#","//--- END",Subject!J49)</f>
        <v>* wernerSyndrome 1..1 boolean ##34#Werner syndrome##34# ##334#Werner syndrome##334#</v>
      </c>
    </row>
    <row r="50" spans="3:3">
      <c r="C50" s="12" t="str">
        <f>IF(Subject!J50="*  ..  ##34###34# ##334###334#","//--- END",Subject!J50)</f>
        <v>* retinoblastoma 1..1 boolean ##34#Retinoblastoma##34# ##334#Retinoblastoma##334#</v>
      </c>
    </row>
    <row r="51" spans="3:3">
      <c r="C51" s="12" t="str">
        <f>IF(Subject!J51="*  ..  ##34###34# ##334###334#","//--- END",Subject!J51)</f>
        <v>* pagetDisease 1..1 boolean ##34#Paget disease##34# ##334#Paget disease##334#</v>
      </c>
    </row>
    <row r="52" spans="3:3" ht="29.5">
      <c r="C52" s="12" t="str">
        <f>IF(Subject!J52="*  ..  ##34###34# ##334###334#","//--- END",Subject!J52)</f>
        <v>* otherGeneticSyndromeWho2020 1..1 boolean ##34#Other Genetic syndrome WHO 2020 ##34# ##334#Other Genetic syndrome WHO 2020 ##334#</v>
      </c>
    </row>
    <row r="53" spans="3:3">
      <c r="C53" s="12" t="str">
        <f>IF(Subject!J53="*  ..  ##34###34# ##334###334#","//--- END",Subject!J53)</f>
        <v>* occurrenceOfOtherCancer 1..1 boolean ##34#Occurrence of other cancer##34# ##334#Occurrence of other cancer##334#</v>
      </c>
    </row>
    <row r="54" spans="3:3" ht="29.5">
      <c r="C54" s="12" t="str">
        <f>IF(Subject!J54="*  ..  ##34###34# ##334###334#","//--- END",Subject!J54)</f>
        <v>* previousCancerTreatment 1..1 CodeableConcept ##34#Previous cancer treatment##34# ##334#Previous cancer treatment##334#</v>
      </c>
    </row>
    <row r="55" spans="3:3">
      <c r="C55" s="12" t="str">
        <f>IF(Subject!J55="*  ..  ##34###34# ##334###334#","//--- END",Subject!J55)</f>
        <v>* lastContact 1..1 dateTime ##34#Last Contact##34# ##334#Date of the last contact with the patient, of any kind.##334#</v>
      </c>
    </row>
    <row r="56" spans="3:3">
      <c r="C56" s="12" t="str">
        <f>IF(Subject!J56="*  ..  ##34###34# ##334###334#","//--- END",Subject!J56)</f>
        <v>//--- END</v>
      </c>
    </row>
    <row r="57" spans="3:3">
      <c r="C57" s="12" t="str">
        <f>IF(Subject!J57="*  ..  ##34###34# ##334###334#","//--- END",Subject!J57)</f>
        <v>//--- END</v>
      </c>
    </row>
    <row r="58" spans="3:3">
      <c r="C58" s="12" t="str">
        <f>IF(Subject!J58="*  ..  ##34###34# ##334###334#","//--- END",Subject!J58)</f>
        <v>//--- END</v>
      </c>
    </row>
    <row r="60" spans="3:3">
      <c r="C60" s="23" t="s">
        <v>1613</v>
      </c>
    </row>
    <row r="61" spans="3:3">
      <c r="C61" s="24" t="s">
        <v>1701</v>
      </c>
    </row>
    <row r="62" spans="3:3">
      <c r="C62" s="24" t="s">
        <v>1613</v>
      </c>
    </row>
    <row r="63" spans="3:3" ht="59">
      <c r="C63" s="12" t="str">
        <f>IF(Subject!L8="*  ..  ##34###34# ##334###334#","//--- END",Subject!L8)</f>
        <v>* sex ^comment = ##334#Male; Female; Unknown.
Male - 8507
Female - 8532
Unknown - 4129922##334#</v>
      </c>
    </row>
    <row r="64" spans="3:3" ht="88.5">
      <c r="C64" s="12" t="str">
        <f>IF(Subject!L9="*  ..  ##34###34# ##334###334#","//--- END",Subject!L9)</f>
        <v>* race ^comment = ##334#Unknown; White; Black; Asians/Pacific Islanders; American Indian/Alaska Native
White - 8527
Black - 8516
Asian/Pacific Islanders - 8515
American Indian/Alaska Native - 8657
Unknown - 4129922##334#</v>
      </c>
    </row>
    <row r="65" spans="3:3" ht="29.5">
      <c r="C65" s="12" t="str">
        <f>IF(Subject!L10="*  ..  ##34###34# ##334###334#","//--- END",Subject!L10)</f>
        <v>* countryOfResidence ^comment = ##334#Value from the code list of countries
Son in the hierarchy of countries##334#</v>
      </c>
    </row>
    <row r="66" spans="3:3" ht="73.75">
      <c r="C66" s="12" t="str">
        <f>IF(Subject!L11="*  ..  ##34###34# ##334###334#","//--- END",Subject!L11)</f>
        <v>* smoking ^comment = ##334#Current tobacco smoker; Former smoker (at least for 12 months); Never smoker; Unknown
Current smoker - 36309332
Former smoker - 45883458
Never smoker - 45879404
##334#</v>
      </c>
    </row>
    <row r="67" spans="3:3" ht="59">
      <c r="C67" s="12" t="str">
        <f>IF(Subject!L12="*  ..  ##34###34# ##334###334#","//--- END",Subject!L12)</f>
        <v>* smokingType ^comment = ##334#Cigarettes; Cigar; Unknown
Cigarettes - 36716475
Cigar -  36716476
Unknown - 4129922##334#</v>
      </c>
    </row>
    <row r="68" spans="3:3">
      <c r="C68" s="12" t="str">
        <f>IF(Subject!L13="*  ..  ##34###34# ##334###334#","//--- END",Subject!L13)</f>
        <v/>
      </c>
    </row>
    <row r="69" spans="3:3">
      <c r="C69" s="12" t="str">
        <f>IF(Subject!L14="*  ..  ##34###34# ##334###334#","//--- END",Subject!L14)</f>
        <v/>
      </c>
    </row>
    <row r="70" spans="3:3" ht="88.5">
      <c r="C70" s="12" t="str">
        <f>IF(Subject!L15="*  ..  ##34###34# ##334###334#","//--- END",Subject!L15)</f>
        <v>* alcohol ^comment = ##334#Current; Former (at least for 12 months); Never; History of alcohol dependence; Unknown
Current drinker - 4074035
Ex-drinker - 4220362
Lifetime non-drinker of alcohol - 37204556
Ex-problem drinker - 4117706
##334#</v>
      </c>
    </row>
    <row r="71" spans="3:3">
      <c r="C71" s="12" t="str">
        <f>IF(Subject!L16="*  ..  ##34###34# ##334###334#","//--- END",Subject!L16)</f>
        <v/>
      </c>
    </row>
    <row r="72" spans="3:3">
      <c r="C72" s="12" t="str">
        <f>IF(Subject!L17="*  ..  ##34###34# ##334###334#","//--- END",Subject!L17)</f>
        <v/>
      </c>
    </row>
    <row r="73" spans="3:3" ht="59">
      <c r="C73" s="12" t="str">
        <f>IF(Subject!L18="*  ..  ##34###34# ##334###334#","//--- END",Subject!L18)</f>
        <v>* comorbidity ^comment = ##334#Yes; No; Unknown
Yes - 4188539
No -  4188540
Unknown - 4129922##334#</v>
      </c>
    </row>
    <row r="74" spans="3:3">
      <c r="C74" s="12" t="str">
        <f>IF(Subject!L19="*  ..  ##34###34# ##334###334#","//--- END",Subject!L19)</f>
        <v/>
      </c>
    </row>
    <row r="75" spans="3:3">
      <c r="C75" s="12" t="str">
        <f>IF(Subject!L20="*  ..  ##34###34# ##334###334#","//--- END",Subject!L20)</f>
        <v/>
      </c>
    </row>
    <row r="76" spans="3:3">
      <c r="C76" s="12" t="str">
        <f>IF(Subject!L21="*  ..  ##34###34# ##334###334#","//--- END",Subject!L21)</f>
        <v/>
      </c>
    </row>
    <row r="77" spans="3:3">
      <c r="C77" s="12" t="str">
        <f>IF(Subject!L22="*  ..  ##34###34# ##334###334#","//--- END",Subject!L22)</f>
        <v/>
      </c>
    </row>
    <row r="78" spans="3:3">
      <c r="C78" s="12" t="str">
        <f>IF(Subject!L23="*  ..  ##34###34# ##334###334#","//--- END",Subject!L23)</f>
        <v/>
      </c>
    </row>
    <row r="79" spans="3:3">
      <c r="C79" s="12" t="str">
        <f>IF(Subject!L24="*  ..  ##34###34# ##334###334#","//--- END",Subject!L24)</f>
        <v/>
      </c>
    </row>
    <row r="80" spans="3:3">
      <c r="C80" s="12" t="str">
        <f>IF(Subject!L25="*  ..  ##34###34# ##334###334#","//--- END",Subject!L25)</f>
        <v/>
      </c>
    </row>
    <row r="81" spans="3:3">
      <c r="C81" s="12" t="str">
        <f>IF(Subject!L26="*  ..  ##34###34# ##334###334#","//--- END",Subject!L26)</f>
        <v/>
      </c>
    </row>
    <row r="82" spans="3:3">
      <c r="C82" s="12" t="str">
        <f>IF(Subject!L27="*  ..  ##34###34# ##334###334#","//--- END",Subject!L27)</f>
        <v/>
      </c>
    </row>
    <row r="83" spans="3:3">
      <c r="C83" s="12" t="str">
        <f>IF(Subject!L28="*  ..  ##34###34# ##334###334#","//--- END",Subject!L28)</f>
        <v/>
      </c>
    </row>
    <row r="84" spans="3:3">
      <c r="C84" s="12" t="str">
        <f>IF(Subject!L29="*  ..  ##34###34# ##334###334#","//--- END",Subject!L29)</f>
        <v/>
      </c>
    </row>
    <row r="85" spans="3:3">
      <c r="C85" s="12" t="str">
        <f>IF(Subject!L30="*  ..  ##34###34# ##334###334#","//--- END",Subject!L30)</f>
        <v/>
      </c>
    </row>
    <row r="86" spans="3:3">
      <c r="C86" s="12" t="str">
        <f>IF(Subject!L31="*  ..  ##34###34# ##334###334#","//--- END",Subject!L31)</f>
        <v/>
      </c>
    </row>
    <row r="87" spans="3:3">
      <c r="C87" s="12" t="str">
        <f>IF(Subject!L32="*  ..  ##34###34# ##334###334#","//--- END",Subject!L32)</f>
        <v/>
      </c>
    </row>
    <row r="88" spans="3:3">
      <c r="C88" s="12" t="str">
        <f>IF(Subject!L33="*  ..  ##34###34# ##334###334#","//--- END",Subject!L33)</f>
        <v/>
      </c>
    </row>
    <row r="89" spans="3:3">
      <c r="C89" s="12" t="str">
        <f>IF(Subject!L34="*  ..  ##34###34# ##334###334#","//--- END",Subject!L34)</f>
        <v/>
      </c>
    </row>
    <row r="90" spans="3:3">
      <c r="C90" s="12" t="str">
        <f>IF(Subject!L35="*  ..  ##34###34# ##334###334#","//--- END",Subject!L35)</f>
        <v/>
      </c>
    </row>
    <row r="91" spans="3:3">
      <c r="C91" s="12" t="str">
        <f>IF(Subject!L36="*  ..  ##34###34# ##334###334#","//--- END",Subject!L36)</f>
        <v/>
      </c>
    </row>
    <row r="92" spans="3:3">
      <c r="C92" s="12" t="str">
        <f>IF(Subject!L37="*  ..  ##34###34# ##334###334#","//--- END",Subject!L37)</f>
        <v/>
      </c>
    </row>
    <row r="93" spans="3:3">
      <c r="C93" s="12" t="str">
        <f>IF(Subject!L38="*  ..  ##34###34# ##334###334#","//--- END",Subject!L38)</f>
        <v/>
      </c>
    </row>
    <row r="94" spans="3:3" ht="118">
      <c r="C94" s="12" t="str">
        <f>IF(Subject!L39="*  ..  ##34###34# ##334###334#","//--- END",Subject!L39)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IF(Subject!L40="*  ..  ##34###34# ##334###334#","//--- END",Subject!L40)</f>
        <v>* karnofsyIndexAtDiagnosis ^comment = ##334#KPS Scale
SONS Functional Neurologic Status - Karnofsky Performance Scale (KPS) - 35917688 ##334#</v>
      </c>
    </row>
    <row r="96" spans="3:3">
      <c r="C96" s="12" t="str">
        <f>IF(Subject!L41="*  ..  ##34###34# ##334###334#","//--- END",Subject!L41)</f>
        <v/>
      </c>
    </row>
    <row r="97" spans="3:3">
      <c r="C97" s="12" t="str">
        <f>IF(Subject!L42="*  ..  ##34###34# ##334###334#","//--- END",Subject!L42)</f>
        <v/>
      </c>
    </row>
    <row r="98" spans="3:3">
      <c r="C98" s="12" t="str">
        <f>IF(Subject!L43="*  ..  ##34###34# ##334###334#","//--- END",Subject!L43)</f>
        <v/>
      </c>
    </row>
    <row r="99" spans="3:3">
      <c r="C99" s="12" t="str">
        <f>IF(Subject!L44="*  ..  ##34###34# ##334###334#","//--- END",Subject!L44)</f>
        <v/>
      </c>
    </row>
    <row r="100" spans="3:3">
      <c r="C100" s="12" t="str">
        <f>IF(Subject!L45="*  ..  ##34###34# ##334###334#","//--- END",Subject!L45)</f>
        <v/>
      </c>
    </row>
    <row r="101" spans="3:3">
      <c r="C101" s="12" t="str">
        <f>IF(Subject!L46="*  ..  ##34###34# ##334###334#","//--- END",Subject!L46)</f>
        <v/>
      </c>
    </row>
    <row r="102" spans="3:3">
      <c r="C102" s="12" t="str">
        <f>IF(Subject!L47="*  ..  ##34###34# ##334###334#","//--- END",Subject!L47)</f>
        <v/>
      </c>
    </row>
    <row r="103" spans="3:3">
      <c r="C103" s="12" t="str">
        <f>IF(Subject!L48="*  ..  ##34###34# ##334###334#","//--- END",Subject!L48)</f>
        <v/>
      </c>
    </row>
    <row r="104" spans="3:3">
      <c r="C104" s="12" t="str">
        <f>IF(Subject!L49="*  ..  ##34###34# ##334###334#","//--- END",Subject!L49)</f>
        <v/>
      </c>
    </row>
    <row r="105" spans="3:3">
      <c r="C105" s="12" t="str">
        <f>IF(Subject!L50="*  ..  ##34###34# ##334###334#","//--- END",Subject!L50)</f>
        <v/>
      </c>
    </row>
    <row r="106" spans="3:3">
      <c r="C106" s="12" t="str">
        <f>IF(Subject!L51="*  ..  ##34###34# ##334###334#","//--- END",Subject!L51)</f>
        <v/>
      </c>
    </row>
    <row r="107" spans="3:3">
      <c r="C107" s="12" t="str">
        <f>IF(Subject!L52="*  ..  ##34###34# ##334###334#","//--- END",Subject!L52)</f>
        <v/>
      </c>
    </row>
    <row r="108" spans="3:3">
      <c r="C108" s="12" t="str">
        <f>IF(Subject!L53="*  ..  ##34###34# ##334###334#","//--- END",Subject!L53)</f>
        <v/>
      </c>
    </row>
    <row r="109" spans="3:3" ht="73.75">
      <c r="C109" s="12" t="str">
        <f>IF(Subject!L54="*  ..  ##34###34# ##334###334#","//--- END",Subject!L54)</f>
        <v>* previousCancerTreatment ^comment = ##334#Chemotherapy/radiation/surgery/other (site of radiotherapy)
Chemotherapy - 4273629
Radiation - 4029715
Surgery - 4121697 
Other - Needs to be specified##334#</v>
      </c>
    </row>
    <row r="110" spans="3:3">
      <c r="C110" s="12" t="str">
        <f>IF(Subject!L55="*  ..  ##34###34# ##334###334#","//--- END",Subject!L55)</f>
        <v/>
      </c>
    </row>
    <row r="111" spans="3:3">
      <c r="C111" s="12" t="str">
        <f>IF(Subject!L56="*  ..  ##34###34# ##334###334#","//--- END",Subject!L56)</f>
        <v>//--- END</v>
      </c>
    </row>
    <row r="112" spans="3:3">
      <c r="C112" s="12" t="str">
        <f>IF(Subject!L57="*  ..  ##34###34# ##334###334#","//--- END",Subject!L57)</f>
        <v>//--- END</v>
      </c>
    </row>
    <row r="113" spans="3:3">
      <c r="C113" s="12" t="str">
        <f>IF(Subject!L58="*  ..  ##34###34# ##334###334#","//--- END",Subject!L58)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A17" zoomScale="85" zoomScaleNormal="85" workbookViewId="0">
      <selection activeCell="G28" sqref="G28:G3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84" t="s">
        <v>1861</v>
      </c>
      <c r="F4" s="185"/>
      <c r="G4" s="185"/>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1861</v>
      </c>
      <c r="F7" s="185"/>
      <c r="G7" s="185"/>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1842</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1843</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1407</v>
      </c>
      <c r="G28" s="73" t="s">
        <v>2447</v>
      </c>
      <c r="I28" s="12" t="str">
        <f t="shared" si="15"/>
        <v>* group[=].element[+].code = #Subject.noGeneticSyndromeWho2020</v>
      </c>
      <c r="J28" s="12" t="str">
        <f t="shared" si="16"/>
        <v>* group[=].element[=].display = ##34#No Genetic syndrome WHO 2020 ##34#</v>
      </c>
      <c r="K28" s="12" t="str">
        <f t="shared" si="17"/>
        <v>* group[=].element[=].target.code = #Patient.</v>
      </c>
      <c r="L28" s="12" t="str">
        <f t="shared" si="18"/>
        <v>* group[=].element[=].target.display = ##34###34#</v>
      </c>
      <c r="M28" s="12" t="str">
        <f t="shared" si="19"/>
        <v>* group[=].element[=].target.equivalence = #relatedto</v>
      </c>
      <c r="N28" s="12" t="str">
        <f t="shared" si="20"/>
        <v>* group[=].element[=].target.comment = ##34#TO BE MAPPED##34#</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1407</v>
      </c>
      <c r="G29" s="73" t="s">
        <v>2447</v>
      </c>
      <c r="I29" s="12" t="str">
        <f t="shared" si="15"/>
        <v>* group[=].element[+].code = #Subject.otherGeneticSyndromeWho2020</v>
      </c>
      <c r="J29" s="12" t="str">
        <f t="shared" si="16"/>
        <v>* group[=].element[=].display = ##34#Other Genetic syndrome WHO 2020 ##34#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1407</v>
      </c>
      <c r="G30" s="73" t="s">
        <v>2447</v>
      </c>
      <c r="I30" s="12" t="str">
        <f t="shared" si="15"/>
        <v>* group[=].element[+].code = #Subject.occurrenceOfOtherCancer</v>
      </c>
      <c r="J30" s="12" t="str">
        <f t="shared" si="16"/>
        <v>* group[=].element[=].display = ##34#Occurrence of other cancer##34#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1407</v>
      </c>
      <c r="G31" s="73" t="s">
        <v>2447</v>
      </c>
      <c r="I31" s="12" t="str">
        <f t="shared" si="15"/>
        <v>* group[=].element[+].code = #Subject.previousCancerTreatment</v>
      </c>
      <c r="J31" s="12" t="str">
        <f t="shared" si="16"/>
        <v>* group[=].element[=].display = ##34#Previous cancer treatment##34#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1407</v>
      </c>
      <c r="G32" s="73" t="s">
        <v>2447</v>
      </c>
      <c r="I32" s="12" t="str">
        <f t="shared" si="15"/>
        <v>* group[=].element[+].code = #Subject.lastContact</v>
      </c>
      <c r="J32" s="12" t="str">
        <f t="shared" si="16"/>
        <v>* group[=].element[=].display = ##34#Last Contact##34#</v>
      </c>
      <c r="K32" s="12" t="str">
        <f t="shared" si="17"/>
        <v>* group[=].element[=].target.code = #Patient.</v>
      </c>
      <c r="L32" s="12" t="str">
        <f t="shared" si="18"/>
        <v>* group[=].element[=].target.display = ##34###34#</v>
      </c>
      <c r="M32" s="12" t="str">
        <f t="shared" si="19"/>
        <v>* group[=].element[=].target.equivalence = #relatedto</v>
      </c>
      <c r="N32" s="12" t="str">
        <f t="shared" si="20"/>
        <v>* group[=].element[=].target.comment = ##34#TO BE MAPPED##34#</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group[=].element[=].target.code = #Patient.</v>
      </c>
    </row>
    <row r="96" spans="16:19">
      <c r="P96" s="11">
        <v>82</v>
      </c>
      <c r="Q96" s="11">
        <f t="shared" si="23"/>
        <v>13</v>
      </c>
      <c r="R96" s="11">
        <f t="shared" si="24"/>
        <v>4</v>
      </c>
      <c r="S96" s="12" t="str" cm="1">
        <f t="array" ref="S96">INDEX('Subject-ConceptMap-1'!$I$15:$N$70,Q96+1,R96)</f>
        <v>* group[=].element[=].target.display = ##34###34#</v>
      </c>
    </row>
    <row r="97" spans="16:19">
      <c r="P97" s="11">
        <v>83</v>
      </c>
      <c r="Q97" s="11">
        <f t="shared" si="23"/>
        <v>13</v>
      </c>
      <c r="R97" s="11">
        <f t="shared" si="24"/>
        <v>5</v>
      </c>
      <c r="S97" s="12" t="str" cm="1">
        <f t="array" ref="S97">INDEX('Subject-ConceptMap-1'!$I$15:$N$70,Q97+1,R97)</f>
        <v>* group[=].element[=].target.equivalence = #relatedto</v>
      </c>
    </row>
    <row r="98" spans="16:19">
      <c r="P98" s="11">
        <v>84</v>
      </c>
      <c r="Q98" s="11">
        <f t="shared" si="23"/>
        <v>13</v>
      </c>
      <c r="R98" s="11">
        <f t="shared" si="24"/>
        <v>6</v>
      </c>
      <c r="S98" s="12" t="str" cm="1">
        <f t="array" ref="S98">INDEX('Subject-ConceptMap-1'!$I$15:$N$70,Q98+1,R98)</f>
        <v>* group[=].element[=].target.comment = ##34#TO BE MAPPED##34#</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group[=].element[=].target.code = #Patient.</v>
      </c>
    </row>
    <row r="102" spans="16:19">
      <c r="P102" s="11">
        <v>88</v>
      </c>
      <c r="Q102" s="11">
        <f t="shared" si="23"/>
        <v>14</v>
      </c>
      <c r="R102" s="11">
        <f t="shared" si="24"/>
        <v>4</v>
      </c>
      <c r="S102" s="12" t="str" cm="1">
        <f t="array" ref="S102">INDEX('Subject-ConceptMap-1'!$I$15:$N$70,Q102+1,R102)</f>
        <v>* group[=].element[=].target.display = ##34###34#</v>
      </c>
    </row>
    <row r="103" spans="16:19">
      <c r="P103" s="11">
        <v>89</v>
      </c>
      <c r="Q103" s="11">
        <f t="shared" si="23"/>
        <v>14</v>
      </c>
      <c r="R103" s="11">
        <f t="shared" si="24"/>
        <v>5</v>
      </c>
      <c r="S103" s="12" t="str" cm="1">
        <f t="array" ref="S103">INDEX('Subject-ConceptMap-1'!$I$15:$N$70,Q103+1,R103)</f>
        <v>* group[=].element[=].target.equivalence = #relatedto</v>
      </c>
    </row>
    <row r="104" spans="16:19">
      <c r="P104" s="11">
        <v>90</v>
      </c>
      <c r="Q104" s="11">
        <f t="shared" si="23"/>
        <v>14</v>
      </c>
      <c r="R104" s="11">
        <f t="shared" si="24"/>
        <v>6</v>
      </c>
      <c r="S104" s="12" t="str" cm="1">
        <f t="array" ref="S104">INDEX('Subject-ConceptMap-1'!$I$15:$N$70,Q104+1,R104)</f>
        <v>* group[=].element[=].target.comment = ##34#TO BE MAPPED##34#</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group[=].element[=].target.code = #Patient.</v>
      </c>
    </row>
    <row r="108" spans="16:19">
      <c r="P108" s="11">
        <v>94</v>
      </c>
      <c r="Q108" s="11">
        <f t="shared" si="23"/>
        <v>15</v>
      </c>
      <c r="R108" s="11">
        <f t="shared" si="24"/>
        <v>4</v>
      </c>
      <c r="S108" s="12" t="str" cm="1">
        <f t="array" ref="S108">INDEX('Subject-ConceptMap-1'!$I$15:$N$70,Q108+1,R108)</f>
        <v>* group[=].element[=].target.display = ##34###34#</v>
      </c>
    </row>
    <row r="109" spans="16:19">
      <c r="P109" s="11">
        <v>95</v>
      </c>
      <c r="Q109" s="11">
        <f t="shared" si="23"/>
        <v>15</v>
      </c>
      <c r="R109" s="11">
        <f t="shared" si="24"/>
        <v>5</v>
      </c>
      <c r="S109" s="12" t="str" cm="1">
        <f t="array" ref="S109">INDEX('Subject-ConceptMap-1'!$I$15:$N$70,Q109+1,R109)</f>
        <v>* group[=].element[=].target.equivalence = #relatedto</v>
      </c>
    </row>
    <row r="110" spans="16:19">
      <c r="P110" s="11">
        <v>96</v>
      </c>
      <c r="Q110" s="11">
        <f t="shared" si="23"/>
        <v>15</v>
      </c>
      <c r="R110" s="11">
        <f t="shared" si="24"/>
        <v>6</v>
      </c>
      <c r="S110" s="12" t="str" cm="1">
        <f t="array" ref="S110">INDEX('Subject-ConceptMap-1'!$I$15:$N$70,Q110+1,R110)</f>
        <v>* group[=].element[=].target.comment = ##34#TO BE MAPPED##34#</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group[=].element[=].target.code = #Patient.</v>
      </c>
    </row>
    <row r="114" spans="16:19">
      <c r="P114" s="11">
        <v>100</v>
      </c>
      <c r="Q114" s="11">
        <f t="shared" si="23"/>
        <v>16</v>
      </c>
      <c r="R114" s="11">
        <f t="shared" si="24"/>
        <v>4</v>
      </c>
      <c r="S114" s="12" t="str" cm="1">
        <f t="array" ref="S114">INDEX('Subject-ConceptMap-1'!$I$15:$N$70,Q114+1,R114)</f>
        <v>* group[=].element[=].target.display = ##34###34#</v>
      </c>
    </row>
    <row r="115" spans="16:19">
      <c r="P115" s="11">
        <v>101</v>
      </c>
      <c r="Q115" s="11">
        <f t="shared" si="23"/>
        <v>16</v>
      </c>
      <c r="R115" s="11">
        <f t="shared" si="24"/>
        <v>5</v>
      </c>
      <c r="S115" s="12" t="str" cm="1">
        <f t="array" ref="S115">INDEX('Subject-ConceptMap-1'!$I$15:$N$70,Q115+1,R115)</f>
        <v>* group[=].element[=].target.equivalence = #relatedto</v>
      </c>
    </row>
    <row r="116" spans="16:19">
      <c r="P116" s="11">
        <v>102</v>
      </c>
      <c r="Q116" s="11">
        <f t="shared" si="23"/>
        <v>16</v>
      </c>
      <c r="R116" s="11">
        <f t="shared" si="24"/>
        <v>6</v>
      </c>
      <c r="S116" s="12" t="str" cm="1">
        <f t="array" ref="S116">INDEX('Subject-ConceptMap-1'!$I$15:$N$70,Q116+1,R116)</f>
        <v>* group[=].element[=].target.comment = ##34#TO BE MAPPED##34#</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group[=].element[=].target.code = #Patient.</v>
      </c>
    </row>
    <row r="120" spans="16:19">
      <c r="P120" s="11">
        <v>106</v>
      </c>
      <c r="Q120" s="11">
        <f t="shared" si="23"/>
        <v>17</v>
      </c>
      <c r="R120" s="11">
        <f t="shared" si="24"/>
        <v>4</v>
      </c>
      <c r="S120" s="12" t="str" cm="1">
        <f t="array" ref="S120">INDEX('Subject-ConceptMap-1'!$I$15:$N$70,Q120+1,R120)</f>
        <v>* group[=].element[=].target.display = ##34###34#</v>
      </c>
    </row>
    <row r="121" spans="16:19">
      <c r="P121" s="11">
        <v>107</v>
      </c>
      <c r="Q121" s="11">
        <f t="shared" si="23"/>
        <v>17</v>
      </c>
      <c r="R121" s="11">
        <f t="shared" si="24"/>
        <v>5</v>
      </c>
      <c r="S121" s="12" t="str" cm="1">
        <f t="array" ref="S121">INDEX('Subject-ConceptMap-1'!$I$15:$N$70,Q121+1,R121)</f>
        <v>* group[=].element[=].target.equivalence = #relatedto</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1844</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88.5">
      <c r="A15" s="59"/>
      <c r="B15" s="11" t="str">
        <f>Subject!B11</f>
        <v>smoking</v>
      </c>
      <c r="C15" s="11" t="str">
        <f>Subject!C11</f>
        <v>Smoking</v>
      </c>
      <c r="D15" s="12" t="s">
        <v>1847</v>
      </c>
      <c r="E15" s="12"/>
      <c r="F15" s="64" t="s">
        <v>1429</v>
      </c>
      <c r="G15" s="123"/>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1846</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1848</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1849</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1850</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73.75">
      <c r="A15" s="59"/>
      <c r="B15" s="11" t="str">
        <f>Subject!B15</f>
        <v>alcohol</v>
      </c>
      <c r="C15" s="11" t="str">
        <f>Subject!C15</f>
        <v>Alcohol</v>
      </c>
      <c r="D15" s="12" t="s">
        <v>1851</v>
      </c>
      <c r="E15" s="12"/>
      <c r="F15" s="64" t="s">
        <v>1429</v>
      </c>
      <c r="G15" s="123"/>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A25"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1852</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3" t="s">
        <v>2442</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1853</v>
      </c>
      <c r="E16" s="11"/>
      <c r="F16" s="64" t="s">
        <v>1407</v>
      </c>
      <c r="G16" s="123"/>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1853</v>
      </c>
      <c r="E17" s="11"/>
      <c r="F17" s="64" t="s">
        <v>1429</v>
      </c>
      <c r="G17" s="123"/>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1853</v>
      </c>
      <c r="E18" s="11"/>
      <c r="F18" s="64" t="s">
        <v>1429</v>
      </c>
      <c r="G18" s="123"/>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1853</v>
      </c>
      <c r="E19" s="11"/>
      <c r="F19" s="64" t="s">
        <v>1429</v>
      </c>
      <c r="G19" s="123"/>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1853</v>
      </c>
      <c r="E20" s="11"/>
      <c r="F20" s="64" t="s">
        <v>1429</v>
      </c>
      <c r="G20" s="123"/>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1853</v>
      </c>
      <c r="E21" s="11"/>
      <c r="F21" s="64" t="s">
        <v>1429</v>
      </c>
      <c r="G21" s="123"/>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1853</v>
      </c>
      <c r="E22" s="11"/>
      <c r="F22" s="64" t="s">
        <v>1429</v>
      </c>
      <c r="G22" s="123"/>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1853</v>
      </c>
      <c r="E23" s="11"/>
      <c r="F23" s="64" t="s">
        <v>1429</v>
      </c>
      <c r="G23" s="123"/>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1853</v>
      </c>
      <c r="E24" s="11"/>
      <c r="F24" s="64" t="s">
        <v>1429</v>
      </c>
      <c r="G24" s="123"/>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1853</v>
      </c>
      <c r="E25" s="12"/>
      <c r="F25" s="64" t="s">
        <v>1429</v>
      </c>
      <c r="G25" s="123"/>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1853</v>
      </c>
      <c r="E26" s="12"/>
      <c r="F26" s="64" t="s">
        <v>1429</v>
      </c>
      <c r="G26" s="123"/>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1853</v>
      </c>
      <c r="E27" s="12"/>
      <c r="F27" s="64" t="s">
        <v>1429</v>
      </c>
      <c r="G27" s="123"/>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1853</v>
      </c>
      <c r="E28" s="12"/>
      <c r="F28" s="64" t="s">
        <v>1429</v>
      </c>
      <c r="G28" s="123"/>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1853</v>
      </c>
      <c r="E29" s="12"/>
      <c r="F29" s="64" t="s">
        <v>1429</v>
      </c>
      <c r="G29" s="123"/>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1853</v>
      </c>
      <c r="E30" s="12"/>
      <c r="F30" s="64" t="s">
        <v>1429</v>
      </c>
      <c r="G30" s="123"/>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1853</v>
      </c>
      <c r="E31" s="12"/>
      <c r="F31" s="64" t="s">
        <v>1429</v>
      </c>
      <c r="G31" s="123"/>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1853</v>
      </c>
      <c r="E32" s="12"/>
      <c r="F32" s="64" t="s">
        <v>1429</v>
      </c>
      <c r="G32" s="123"/>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1853</v>
      </c>
      <c r="E33" s="12"/>
      <c r="F33" s="64" t="s">
        <v>1429</v>
      </c>
      <c r="G33" s="123"/>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1853</v>
      </c>
      <c r="E34" s="12"/>
      <c r="F34" s="64" t="s">
        <v>1429</v>
      </c>
      <c r="G34" s="123"/>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1853</v>
      </c>
      <c r="E35" s="12"/>
      <c r="F35" s="64" t="s">
        <v>1429</v>
      </c>
      <c r="G35" s="123"/>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1854</v>
      </c>
      <c r="F7" s="185"/>
      <c r="G7" s="185"/>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44.25">
      <c r="A15" s="59"/>
      <c r="B15" s="11" t="str">
        <f>Subject!B40</f>
        <v>karnofsyIndexAtDiagnosis</v>
      </c>
      <c r="C15" s="11" t="str">
        <f>Subject!C40</f>
        <v>Karnofsy index at diagnosis</v>
      </c>
      <c r="D15" s="12" t="s">
        <v>1855</v>
      </c>
      <c r="E15" s="12"/>
      <c r="F15" s="64" t="s">
        <v>1430</v>
      </c>
      <c r="G15" s="123"/>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3"/>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3"/>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4" t="s">
        <v>1771</v>
      </c>
      <c r="E19" s="135" t="str">
        <f>$E$3</f>
        <v>http://hl7.eu/fhir/ig/idea4rc/StructureDefinition/Subject</v>
      </c>
      <c r="F19" s="136"/>
      <c r="G19" s="137"/>
      <c r="H19" s="58"/>
      <c r="I19" s="137"/>
      <c r="J19" s="137"/>
      <c r="K19" s="137"/>
      <c r="L19" s="137"/>
      <c r="M19" s="137"/>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4" t="s">
        <v>1772</v>
      </c>
      <c r="E20" s="135" t="s">
        <v>1856</v>
      </c>
      <c r="F20" s="136"/>
      <c r="G20" s="137"/>
      <c r="H20" s="58"/>
      <c r="I20" s="137"/>
      <c r="J20" s="137"/>
      <c r="K20" s="137"/>
      <c r="L20" s="137"/>
      <c r="M20" s="137"/>
      <c r="N20" s="12" t="str">
        <f t="shared" si="4"/>
        <v/>
      </c>
      <c r="P20" s="11">
        <v>6</v>
      </c>
      <c r="Q20" s="11">
        <f t="shared" si="5"/>
        <v>0</v>
      </c>
      <c r="R20" s="11">
        <f t="shared" si="6"/>
        <v>6</v>
      </c>
      <c r="S20" s="12" t="str" cm="1">
        <f t="array" ref="S20">INDEX('Subject-ConceptMap-5-8'!$I$15:$N$17,Q20+1,R20)</f>
        <v/>
      </c>
    </row>
    <row r="21" spans="1:19" ht="44.25" customHeight="1">
      <c r="A21" s="59"/>
      <c r="B21" s="110"/>
      <c r="C21" s="110"/>
      <c r="D21" s="134"/>
      <c r="E21" s="135"/>
      <c r="F21" s="136"/>
      <c r="G21" s="137"/>
      <c r="H21" s="58"/>
      <c r="I21" s="137"/>
      <c r="J21" s="137"/>
      <c r="K21" s="137"/>
      <c r="L21" s="137"/>
      <c r="M21" s="137"/>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1996</v>
      </c>
      <c r="E22" s="12"/>
      <c r="F22" s="64" t="s">
        <v>1430</v>
      </c>
      <c r="G22" s="123"/>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c r="A23" s="59"/>
      <c r="B23" s="11"/>
      <c r="C23" s="11"/>
      <c r="D23" s="12"/>
      <c r="E23" s="11"/>
      <c r="F23" s="64"/>
      <c r="G23" s="123"/>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3"/>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3"/>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3"/>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3"/>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3"/>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3"/>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3"/>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3"/>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3"/>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3"/>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3"/>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3"/>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3"/>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4" t="s">
        <v>1771</v>
      </c>
      <c r="E40" s="135" t="str">
        <f>$E$3</f>
        <v>http://hl7.eu/fhir/ig/idea4rc/StructureDefinition/Subject</v>
      </c>
      <c r="F40" s="136"/>
      <c r="G40" s="137"/>
      <c r="H40" s="58"/>
      <c r="I40" s="137"/>
      <c r="J40" s="137"/>
      <c r="K40" s="137"/>
      <c r="L40" s="137"/>
      <c r="M40" s="137"/>
      <c r="N40" s="12" t="str">
        <f t="shared" ref="N40:N41" si="12">IF(G40&lt;&gt;"",CONCATENATE("* group[=].element[=].target.comment = ","##34#",G40,"##34#"),"")</f>
        <v/>
      </c>
      <c r="P40" s="11"/>
      <c r="Q40" s="11"/>
      <c r="R40" s="11"/>
      <c r="S40" s="12"/>
    </row>
    <row r="41" spans="1:19" ht="44.25" customHeight="1">
      <c r="A41" s="59"/>
      <c r="B41" s="110"/>
      <c r="C41" s="110"/>
      <c r="D41" s="134" t="s">
        <v>1772</v>
      </c>
      <c r="E41" s="135" t="s">
        <v>2445</v>
      </c>
      <c r="F41" s="136"/>
      <c r="G41" s="137"/>
      <c r="H41" s="58"/>
      <c r="I41" s="137"/>
      <c r="J41" s="137"/>
      <c r="K41" s="137"/>
      <c r="L41" s="137"/>
      <c r="M41" s="137"/>
      <c r="N41" s="12" t="str">
        <f t="shared" si="12"/>
        <v/>
      </c>
      <c r="P41" s="11"/>
      <c r="Q41" s="11"/>
      <c r="R41" s="11"/>
      <c r="S41" s="12"/>
    </row>
    <row r="42" spans="1:19" ht="44.25" customHeight="1">
      <c r="A42" s="59"/>
      <c r="B42" s="110"/>
      <c r="C42" s="110"/>
      <c r="D42" s="134"/>
      <c r="E42" s="135"/>
      <c r="F42" s="136"/>
      <c r="G42" s="137"/>
      <c r="H42" s="58"/>
      <c r="I42" s="137"/>
      <c r="J42" s="137"/>
      <c r="K42" s="137"/>
      <c r="L42" s="137"/>
      <c r="M42" s="137"/>
      <c r="N42" s="12"/>
      <c r="P42" s="110"/>
      <c r="Q42" s="110"/>
      <c r="R42" s="110"/>
      <c r="S42" s="111"/>
    </row>
    <row r="43" spans="1:19" s="2" customFormat="1" ht="44.25">
      <c r="A43"/>
      <c r="B43" s="11" t="str">
        <f>Subject!B17</f>
        <v>charlsonComorbidityIndex</v>
      </c>
      <c r="C43" s="11" t="str">
        <f>Subject!C17</f>
        <v>Charlson Comorbidity index</v>
      </c>
      <c r="D43" s="12" t="s">
        <v>1855</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4" t="s">
        <v>1771</v>
      </c>
      <c r="E57" s="135" t="str">
        <f>$E$3</f>
        <v>http://hl7.eu/fhir/ig/idea4rc/StructureDefinition/Subject</v>
      </c>
      <c r="F57" s="136"/>
      <c r="G57" s="137"/>
      <c r="H57" s="58"/>
      <c r="I57" s="137"/>
      <c r="J57" s="137"/>
      <c r="K57" s="137"/>
      <c r="L57" s="137"/>
      <c r="M57" s="137"/>
      <c r="N57" s="12" t="str">
        <f t="shared" ref="N57:N58" si="20">IF(G57&lt;&gt;"",CONCATENATE("* group[=].element[=].target.comment = ","##34#",G57,"##34#"),"")</f>
        <v/>
      </c>
      <c r="P57" s="11"/>
      <c r="Q57" s="11"/>
      <c r="R57" s="11"/>
      <c r="S57" s="12"/>
    </row>
    <row r="58" spans="1:19" ht="44.25" customHeight="1">
      <c r="A58" s="59"/>
      <c r="B58" s="110"/>
      <c r="C58" s="110"/>
      <c r="D58" s="134" t="s">
        <v>1772</v>
      </c>
      <c r="E58" s="135" t="s">
        <v>2446</v>
      </c>
      <c r="F58" s="136"/>
      <c r="G58" s="137"/>
      <c r="H58" s="58"/>
      <c r="I58" s="137"/>
      <c r="J58" s="137"/>
      <c r="K58" s="137"/>
      <c r="L58" s="137"/>
      <c r="M58" s="137"/>
      <c r="N58" s="12" t="str">
        <f t="shared" si="20"/>
        <v/>
      </c>
      <c r="P58" s="11"/>
      <c r="Q58" s="11"/>
      <c r="R58" s="11"/>
      <c r="S58" s="12"/>
    </row>
    <row r="59" spans="1:19" ht="44.25" customHeight="1">
      <c r="A59" s="59"/>
      <c r="B59" s="110"/>
      <c r="C59" s="110"/>
      <c r="D59" s="134"/>
      <c r="E59" s="135"/>
      <c r="F59" s="136"/>
      <c r="G59" s="137"/>
      <c r="H59" s="58"/>
      <c r="I59" s="137"/>
      <c r="J59" s="137"/>
      <c r="K59" s="137"/>
      <c r="L59" s="137"/>
      <c r="M59" s="137"/>
      <c r="N59" s="12"/>
      <c r="P59" s="110"/>
      <c r="Q59" s="110"/>
      <c r="R59" s="110"/>
      <c r="S59" s="111"/>
    </row>
    <row r="60" spans="1:19" s="2" customFormat="1" ht="73.75">
      <c r="A60"/>
      <c r="B60" s="11" t="str">
        <f>Subject!B16</f>
        <v>bMI</v>
      </c>
      <c r="C60" s="11" t="str">
        <f>Subject!C16</f>
        <v xml:space="preserve">Height/weight (BMI)
</v>
      </c>
      <c r="D60" s="12" t="s">
        <v>1996</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84" t="s">
        <v>1861</v>
      </c>
      <c r="F4" s="185"/>
      <c r="G4" s="185"/>
    </row>
    <row r="5" spans="1:19">
      <c r="B5" s="62" t="s">
        <v>10</v>
      </c>
      <c r="C5" s="127" t="s">
        <v>1838</v>
      </c>
      <c r="D5" s="62"/>
      <c r="E5" s="7"/>
    </row>
    <row r="6" spans="1:19">
      <c r="B6" s="62" t="s">
        <v>18</v>
      </c>
      <c r="C6" s="128"/>
      <c r="D6" s="62" t="s">
        <v>1771</v>
      </c>
      <c r="E6" s="184" t="str">
        <f>E3</f>
        <v>http://hl7.eu/fhir/ig/idea4rc/StructureDefinition/Subject</v>
      </c>
      <c r="F6" s="185"/>
      <c r="G6" s="185"/>
    </row>
    <row r="7" spans="1:19">
      <c r="B7" s="62" t="s">
        <v>15</v>
      </c>
      <c r="C7" s="129"/>
      <c r="D7" s="62" t="s">
        <v>1772</v>
      </c>
      <c r="E7" s="184" t="s">
        <v>1861</v>
      </c>
      <c r="F7" s="185"/>
      <c r="G7" s="185"/>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2308</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otherGeneticSyndromeWho2020</v>
      </c>
      <c r="C17" s="12" t="str">
        <f>Subject!C52</f>
        <v xml:space="preserve">Other Genetic syndrome WHO 2020 </v>
      </c>
      <c r="D17" s="12"/>
      <c r="E17" s="12"/>
      <c r="F17" s="64" t="s">
        <v>1424</v>
      </c>
      <c r="G17" s="11"/>
      <c r="I17" s="12" t="str">
        <f t="shared" si="7"/>
        <v>* group[=].element[+].code = #Subject.otherGeneticSyndromeWho2020</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09" si="8">IF(MOD(P67,$Q$8)=0,P67/$Q$8-1,INT(P67/$Q$8))</f>
        <v>10</v>
      </c>
      <c r="R67" s="11">
        <f t="shared" ref="R67:R109"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G366" sqref="G366"/>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1857</v>
      </c>
    </row>
    <row r="3" spans="2:7">
      <c r="B3" s="24" t="s">
        <v>20</v>
      </c>
    </row>
    <row r="4" spans="2:7">
      <c r="B4" s="160" t="str">
        <f>"Instance: "&amp;'Subject-ConceptMap-1'!C4</f>
        <v>Instance: subject2FHIR</v>
      </c>
    </row>
    <row r="5" spans="2:7">
      <c r="B5" s="160" t="s">
        <v>1447</v>
      </c>
    </row>
    <row r="6" spans="2:7">
      <c r="B6" s="160" t="s">
        <v>1438</v>
      </c>
    </row>
    <row r="7" spans="2:7">
      <c r="B7" s="160" t="s">
        <v>1776</v>
      </c>
    </row>
    <row r="8" spans="2:7">
      <c r="B8" s="160" t="str">
        <f>"* name = ##34#"&amp;'Subject-ConceptMap-1'!C3&amp;"##34#"</f>
        <v>* name = ##34#Subject2FHIR##34#</v>
      </c>
    </row>
    <row r="9" spans="2:7">
      <c r="B9" s="160" t="str">
        <f>"* title = ##34#"&amp;'Subject-ConceptMap-1'!C5&amp;"##34#"</f>
        <v>* title = ##34#Subject Model to this guide Map##34#</v>
      </c>
    </row>
    <row r="10" spans="2:7">
      <c r="B10" s="160" t="s">
        <v>1439</v>
      </c>
    </row>
    <row r="11" spans="2:7">
      <c r="B11" s="160" t="s">
        <v>1440</v>
      </c>
    </row>
    <row r="12" spans="2:7">
      <c r="B12" s="160" t="str">
        <f>"* description = ##34#"&amp;'Subject-ConceptMap-1'!C8&amp;"##34#"</f>
        <v>* description = ##34#Subject Model to this guide Map##34#</v>
      </c>
    </row>
    <row r="13" spans="2:7">
      <c r="B13" s="160" t="str">
        <f>"* purpose = ##34#"&amp;'Subject-ConceptMap-1'!C9&amp;"##34#"</f>
        <v>* purpose = ##34#It shows how the Subject model is mapped into this guide##34#</v>
      </c>
    </row>
    <row r="14" spans="2:7">
      <c r="B14" s="161" t="str">
        <f>"* sourceUri = ##34#"&amp;'Subject-ConceptMap-1'!E3&amp;"##34#"</f>
        <v>* sourceUri = ##34#http://hl7.eu/fhir/ig/idea4rc/StructureDefinition/Subject##34#</v>
      </c>
    </row>
    <row r="15" spans="2:7">
      <c r="B15" s="161" t="str">
        <f>"* targetUri = ##34#"&amp;'Subject-ConceptMap-1'!E4&amp;"##34#"</f>
        <v>* targetUri = ##34#http://hl7.eu/fhir/ig/idea4rc/StructureDefinition/patient-eu-i4rc##34#</v>
      </c>
    </row>
    <row r="16" spans="2:7">
      <c r="B16" s="162" t="str">
        <f>"* group[+].source = ##34#"&amp;'Subject-ConceptMap-1'!E6&amp;"##34#"</f>
        <v>* group[+].source = ##34#http://hl7.eu/fhir/ig/idea4rc/StructureDefinition/Subject##34#</v>
      </c>
    </row>
    <row r="17" spans="2:7">
      <c r="B17" s="162" t="str">
        <f>"* group[=].target = ##34#"&amp;'Subject-ConceptMap-1'!E7&amp;"##34#"</f>
        <v>* group[=].target = ##34#http://hl7.eu/fhir/ig/idea4rc/StructureDefinition/patient-eu-i4rc##34#</v>
      </c>
    </row>
    <row r="18" spans="2:7">
      <c r="B18" s="163"/>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group[=].element[=].target.code = #Patient.</v>
      </c>
    </row>
    <row r="100" spans="2:2">
      <c r="B100" s="12" t="str">
        <f>IF('Subject-ConceptMap-1'!S96=0,"//---END",'Subject-ConceptMap-1'!S96)</f>
        <v>* group[=].element[=].target.display = ##34###34#</v>
      </c>
    </row>
    <row r="101" spans="2:2">
      <c r="B101" s="12" t="str">
        <f>IF('Subject-ConceptMap-1'!S97=0,"//---END",'Subject-ConceptMap-1'!S97)</f>
        <v>* group[=].element[=].target.equivalence = #relatedto</v>
      </c>
    </row>
    <row r="102" spans="2:2">
      <c r="B102" s="12" t="str">
        <f>IF('Subject-ConceptMap-1'!S98=0,"//---END",'Subject-ConceptMap-1'!S98)</f>
        <v>* group[=].element[=].target.comment = ##34#TO BE MAPPED##34#</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group[=].element[=].target.code = #Patient.</v>
      </c>
    </row>
    <row r="106" spans="2:2">
      <c r="B106" s="12" t="str">
        <f>IF('Subject-ConceptMap-1'!S102=0,"//---END",'Subject-ConceptMap-1'!S102)</f>
        <v>* group[=].element[=].target.display = ##34###34#</v>
      </c>
    </row>
    <row r="107" spans="2:2">
      <c r="B107" s="12" t="str">
        <f>IF('Subject-ConceptMap-1'!S103=0,"//---END",'Subject-ConceptMap-1'!S103)</f>
        <v>* group[=].element[=].target.equivalence = #relatedto</v>
      </c>
    </row>
    <row r="108" spans="2:2">
      <c r="B108" s="12" t="str">
        <f>IF('Subject-ConceptMap-1'!S104=0,"//---END",'Subject-ConceptMap-1'!S104)</f>
        <v>* group[=].element[=].target.comment = ##34#TO BE MAPPED##34#</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group[=].element[=].target.code = #Patient.</v>
      </c>
    </row>
    <row r="112" spans="2:2">
      <c r="B112" s="12" t="str">
        <f>IF('Subject-ConceptMap-1'!S108=0,"//---END",'Subject-ConceptMap-1'!S108)</f>
        <v>* group[=].element[=].target.display = ##34###34#</v>
      </c>
    </row>
    <row r="113" spans="2:2">
      <c r="B113" s="12" t="str">
        <f>IF('Subject-ConceptMap-1'!S109=0,"//---END",'Subject-ConceptMap-1'!S109)</f>
        <v>* group[=].element[=].target.equivalence = #relatedto</v>
      </c>
    </row>
    <row r="114" spans="2:2">
      <c r="B114" s="12" t="str">
        <f>IF('Subject-ConceptMap-1'!S110=0,"//---END",'Subject-ConceptMap-1'!S110)</f>
        <v>* group[=].element[=].target.comment = ##34#TO BE MAPPED##34#</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group[=].element[=].target.code = #Patient.</v>
      </c>
    </row>
    <row r="118" spans="2:2">
      <c r="B118" s="12" t="str">
        <f>IF('Subject-ConceptMap-1'!S114=0,"//---END",'Subject-ConceptMap-1'!S114)</f>
        <v>* group[=].element[=].target.display = ##34###34#</v>
      </c>
    </row>
    <row r="119" spans="2:2">
      <c r="B119" s="12" t="str">
        <f>IF('Subject-ConceptMap-1'!S115=0,"//---END",'Subject-ConceptMap-1'!S115)</f>
        <v>* group[=].element[=].target.equivalence = #relatedto</v>
      </c>
    </row>
    <row r="120" spans="2:2">
      <c r="B120" s="12" t="str">
        <f>IF('Subject-ConceptMap-1'!S116=0,"//---END",'Subject-ConceptMap-1'!S116)</f>
        <v>* group[=].element[=].target.comment = ##34#TO BE MAPPED##34#</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group[=].element[=].target.code = #Patient.</v>
      </c>
    </row>
    <row r="124" spans="2:2">
      <c r="B124" s="12" t="str">
        <f>IF('Subject-ConceptMap-1'!S120=0,"//---END",'Subject-ConceptMap-1'!S120)</f>
        <v>* group[=].element[=].target.display = ##34###34#</v>
      </c>
    </row>
    <row r="125" spans="2:2">
      <c r="B125" s="12" t="str">
        <f>IF('Subject-ConceptMap-1'!S121=0,"//---END",'Subject-ConceptMap-1'!S121)</f>
        <v>* group[=].element[=].target.equivalence = #relatedto</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64"/>
    </row>
    <row r="136" spans="2:2">
      <c r="B136" s="162" t="str">
        <f>"* group[+].source = ##34#"&amp;'Subject-ConceptMap-2'!E6&amp;"##34#"</f>
        <v>* group[+].source = ##34#http://hl7.eu/fhir/ig/idea4rc/StructureDefinition/Subject##34#</v>
      </c>
    </row>
    <row r="137" spans="2:2">
      <c r="B137" s="165" t="str">
        <f>"* group[=].target = ##34#"&amp;'Subject-ConceptMap-2'!E7&amp;"##34#"</f>
        <v>* group[=].target = ##34#http://hl7.eu/fhir/ig/idea4rc/StructureDefinition/observation-tobaccouse-eu-i4rc##34#</v>
      </c>
    </row>
    <row r="138" spans="2:2">
      <c r="B138" s="166"/>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64"/>
    </row>
    <row r="182" spans="2:3">
      <c r="B182" s="162" t="str">
        <f>"* group[+].source = ##34#"&amp;'Subject-ConceptMap-3'!E6&amp;"##34#"</f>
        <v>* group[+].source = ##34#http://hl7.eu/fhir/ig/idea4rc/StructureDefinition/Subject##34#</v>
      </c>
    </row>
    <row r="183" spans="2:3">
      <c r="B183" s="165" t="str">
        <f>"* group[=].target = ##34#"&amp;'Subject-ConceptMap-3'!E7&amp;"##34#"</f>
        <v>* group[=].target = ##34#http://hl7.eu/fhir/ig/idea4rc/StructureDefinition/observation-alcoholuse-eu-i4rc##34#</v>
      </c>
    </row>
    <row r="184" spans="2:3">
      <c r="B184" s="167"/>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3"/>
    </row>
    <row r="202" spans="2:3">
      <c r="B202" s="12" t="str">
        <f>IF('Subject-ConceptMap-3'!S31=0,"//---END",'Subject-ConceptMap-3'!S31)</f>
        <v>//---END</v>
      </c>
      <c r="C202" s="133"/>
    </row>
    <row r="203" spans="2:3">
      <c r="B203" s="12" t="str">
        <f>IF('Subject-ConceptMap-3'!S32=0,"//---END",'Subject-ConceptMap-3'!S32)</f>
        <v>//---END</v>
      </c>
      <c r="C203" s="133"/>
    </row>
    <row r="204" spans="2:3">
      <c r="B204" s="12"/>
    </row>
    <row r="205" spans="2:3">
      <c r="B205" s="164"/>
    </row>
    <row r="206" spans="2:3">
      <c r="B206" s="165" t="str">
        <f>"* group[+].source = ##34#"&amp;'Subject-ConceptMap-4'!E6&amp;"##34#"</f>
        <v>* group[+].source = ##34#http://hl7.eu/fhir/ig/idea4rc/StructureDefinition/Subject##34#</v>
      </c>
    </row>
    <row r="207" spans="2:3">
      <c r="B207" s="165" t="str">
        <f>"* group[=].target = ##34#"&amp;'Subject-ConceptMap-4'!E7&amp;"##34#"</f>
        <v>* group[=].target = ##34#http://hl7.eu/fhir/ig/idea4rc/StructureDefinition/observation-comorbidity-eu-i4rc##34#</v>
      </c>
    </row>
    <row r="208" spans="2:3">
      <c r="B208" s="166"/>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str">
        <f>IF('Subject-ConceptMap-4'!S36=0,"//---END",'Subject-ConceptMap-4'!S36)</f>
        <v>* group[=].element[=].target.display = ##34###34#</v>
      </c>
    </row>
    <row r="232" spans="2:2">
      <c r="B232" s="12" t="str">
        <f>IF('Subject-ConceptMap-4'!S37=0,"//---END",'Subject-ConceptMap-4'!S37)</f>
        <v>* group[=].element[=].target.equivalence = #equivalent</v>
      </c>
    </row>
    <row r="233" spans="2:2">
      <c r="B233" s="12" t="str">
        <f>IF('Subject-ConceptMap-4'!S38=0,"//---END",'Subject-ConceptMap-4'!S38)</f>
        <v/>
      </c>
    </row>
    <row r="234" spans="2:2">
      <c r="B234" s="12" t="str">
        <f>IF('Subject-ConceptMap-4'!S39=0,"//---END",'Subject-ConceptMap-4'!S39)</f>
        <v>* group[=].element[+].code = #Subject.comorbidity.cerebrovascularAccidentExceptHemiplegia</v>
      </c>
    </row>
    <row r="235" spans="2:2">
      <c r="B235" s="12" t="str">
        <f>IF('Subject-ConceptMap-4'!S40=0,"//---END",'Subject-ConceptMap-4'!S40)</f>
        <v>* group[=].element[=].display = ##34#Cerebrovascular accident  (except hemiplegia)##34#</v>
      </c>
    </row>
    <row r="236" spans="2:2">
      <c r="B236" s="12" t="str">
        <f>IF('Subject-ConceptMap-4'!S41=0,"//---END",'Subject-ConceptMap-4'!S41)</f>
        <v>* group[=].element[=].target.code = #Observation.extension:comorbidConditionPresent</v>
      </c>
    </row>
    <row r="237" spans="2:2">
      <c r="B237" s="12" t="str">
        <f>IF('Subject-ConceptMap-4'!S42=0,"//---END",'Subject-ConceptMap-4'!S42)</f>
        <v>* group[=].element[=].target.display = ##34###34#</v>
      </c>
    </row>
    <row r="238" spans="2:2">
      <c r="B238" s="12" t="str">
        <f>IF('Subject-ConceptMap-4'!S43=0,"//---END",'Subject-ConceptMap-4'!S43)</f>
        <v>* group[=].element[=].target.equivalence = #equivalent</v>
      </c>
    </row>
    <row r="239" spans="2:2">
      <c r="B239" s="12" t="str">
        <f>IF('Subject-ConceptMap-4'!S44=0,"//---END",'Subject-ConceptMap-4'!S44)</f>
        <v/>
      </c>
    </row>
    <row r="240" spans="2:2">
      <c r="B240" s="12" t="str">
        <f>IF('Subject-ConceptMap-4'!S45=0,"//---END",'Subject-ConceptMap-4'!S45)</f>
        <v>* group[=].element[+].code = #Subject.comorbidity.dementia</v>
      </c>
    </row>
    <row r="241" spans="2:2">
      <c r="B241" s="12" t="str">
        <f>IF('Subject-ConceptMap-4'!S46=0,"//---END",'Subject-ConceptMap-4'!S46)</f>
        <v>* group[=].element[=].display = ##34#Dementia##34#</v>
      </c>
    </row>
    <row r="242" spans="2:2">
      <c r="B242" s="12" t="str">
        <f>IF('Subject-ConceptMap-4'!S47=0,"//---END",'Subject-ConceptMap-4'!S47)</f>
        <v>* group[=].element[=].target.code = #Observation.extension:comorbidConditionPresent</v>
      </c>
    </row>
    <row r="243" spans="2:2">
      <c r="B243" s="12" t="str">
        <f>IF('Subject-ConceptMap-4'!S48=0,"//---END",'Subject-ConceptMap-4'!S48)</f>
        <v>* group[=].element[=].target.display = ##34###34#</v>
      </c>
    </row>
    <row r="244" spans="2:2">
      <c r="B244" s="12" t="str">
        <f>IF('Subject-ConceptMap-4'!S49=0,"//---END",'Subject-ConceptMap-4'!S49)</f>
        <v>* group[=].element[=].target.equivalence = #equivalent</v>
      </c>
    </row>
    <row r="245" spans="2:2">
      <c r="B245" s="12" t="str">
        <f>IF('Subject-ConceptMap-4'!S50=0,"//---END",'Subject-ConceptMap-4'!S50)</f>
        <v/>
      </c>
    </row>
    <row r="246" spans="2:2">
      <c r="B246" s="12" t="str">
        <f>IF('Subject-ConceptMap-4'!S51=0,"//---END",'Subject-ConceptMap-4'!S51)</f>
        <v>* group[=].element[+].code = #Subject.comorbidity.chronicPulmonaryDisease</v>
      </c>
    </row>
    <row r="247" spans="2:2">
      <c r="B247" s="12" t="str">
        <f>IF('Subject-ConceptMap-4'!S52=0,"//---END",'Subject-ConceptMap-4'!S52)</f>
        <v>* group[=].element[=].display = ##34#Chronic pulmonary disease##34#</v>
      </c>
    </row>
    <row r="248" spans="2:2">
      <c r="B248" s="12" t="str">
        <f>IF('Subject-ConceptMap-4'!S53=0,"//---END",'Subject-ConceptMap-4'!S53)</f>
        <v>* group[=].element[=].target.code = #Observation.extension:comorbidConditionPresent</v>
      </c>
    </row>
    <row r="249" spans="2:2">
      <c r="B249" s="12" t="str">
        <f>IF('Subject-ConceptMap-4'!S54=0,"//---END",'Subject-ConceptMap-4'!S54)</f>
        <v>* group[=].element[=].target.display = ##34###34#</v>
      </c>
    </row>
    <row r="250" spans="2:2">
      <c r="B250" s="12" t="str">
        <f>IF('Subject-ConceptMap-4'!S55=0,"//---END",'Subject-ConceptMap-4'!S55)</f>
        <v>* group[=].element[=].target.equivalence = #equivalent</v>
      </c>
    </row>
    <row r="251" spans="2:2">
      <c r="B251" s="12" t="str">
        <f>IF('Subject-ConceptMap-4'!S56=0,"//---END",'Subject-ConceptMap-4'!S56)</f>
        <v/>
      </c>
    </row>
    <row r="252" spans="2:2">
      <c r="B252" s="12" t="str">
        <f>IF('Subject-ConceptMap-4'!S57=0,"//---END",'Subject-ConceptMap-4'!S57)</f>
        <v>* group[=].element[+].code = #Subject.comorbidity.connectiveTissueDisease</v>
      </c>
    </row>
    <row r="253" spans="2:2">
      <c r="B253" s="12" t="str">
        <f>IF('Subject-ConceptMap-4'!S58=0,"//---END",'Subject-ConceptMap-4'!S58)</f>
        <v>* group[=].element[=].display = ##34#Connective tissue disease##34#</v>
      </c>
    </row>
    <row r="254" spans="2:2">
      <c r="B254" s="12" t="str">
        <f>IF('Subject-ConceptMap-4'!S59=0,"//---END",'Subject-ConceptMap-4'!S59)</f>
        <v>* group[=].element[=].target.code = #Observation.extension:comorbidConditionPresent</v>
      </c>
    </row>
    <row r="255" spans="2:2">
      <c r="B255" s="12" t="str">
        <f>IF('Subject-ConceptMap-4'!S60=0,"//---END",'Subject-ConceptMap-4'!S60)</f>
        <v>* group[=].element[=].target.display = ##34###34#</v>
      </c>
    </row>
    <row r="256" spans="2:2">
      <c r="B256" s="12" t="str">
        <f>IF('Subject-ConceptMap-4'!S61=0,"//---END",'Subject-ConceptMap-4'!S61)</f>
        <v>* group[=].element[=].target.equivalence = #equivalent</v>
      </c>
    </row>
    <row r="257" spans="2:2">
      <c r="B257" s="12" t="str">
        <f>IF('Subject-ConceptMap-4'!S62=0,"//---END",'Subject-ConceptMap-4'!S62)</f>
        <v/>
      </c>
    </row>
    <row r="258" spans="2:2">
      <c r="B258" s="12" t="str">
        <f>IF('Subject-ConceptMap-4'!S63=0,"//---END",'Subject-ConceptMap-4'!S63)</f>
        <v>* group[=].element[+].code = #Subject.comorbidity.ulcer</v>
      </c>
    </row>
    <row r="259" spans="2:2">
      <c r="B259" s="12" t="str">
        <f>IF('Subject-ConceptMap-4'!S64=0,"//---END",'Subject-ConceptMap-4'!S64)</f>
        <v>* group[=].element[=].display = ##34#Ulcer##34#</v>
      </c>
    </row>
    <row r="260" spans="2:2">
      <c r="B260" s="12" t="str">
        <f>IF('Subject-ConceptMap-4'!S65=0,"//---END",'Subject-ConceptMap-4'!S65)</f>
        <v>* group[=].element[=].target.code = #Observation.extension:comorbidConditionPresent</v>
      </c>
    </row>
    <row r="261" spans="2:2">
      <c r="B261" s="12" t="str">
        <f>IF('Subject-ConceptMap-4'!S66=0,"//---END",'Subject-ConceptMap-4'!S66)</f>
        <v>* group[=].element[=].target.display = ##34###34#</v>
      </c>
    </row>
    <row r="262" spans="2:2">
      <c r="B262" s="12" t="str">
        <f>IF('Subject-ConceptMap-4'!S67=0,"//---END",'Subject-ConceptMap-4'!S67)</f>
        <v>* group[=].element[=].target.equivalence = #equivalent</v>
      </c>
    </row>
    <row r="263" spans="2:2">
      <c r="B263" s="12" t="str">
        <f>IF('Subject-ConceptMap-4'!S68=0,"//---END",'Subject-ConceptMap-4'!S68)</f>
        <v/>
      </c>
    </row>
    <row r="264" spans="2:2">
      <c r="B264" s="12" t="str">
        <f>IF('Subject-ConceptMap-4'!S69=0,"//---END",'Subject-ConceptMap-4'!S69)</f>
        <v>* group[=].element[+].code = #Subject.comorbidity.mildLiverDisease</v>
      </c>
    </row>
    <row r="265" spans="2:2">
      <c r="B265" s="12" t="str">
        <f>IF('Subject-ConceptMap-4'!S70=0,"//---END",'Subject-ConceptMap-4'!S70)</f>
        <v>* group[=].element[=].display = ##34#Mild liver disease##34#</v>
      </c>
    </row>
    <row r="266" spans="2:2">
      <c r="B266" s="12" t="str">
        <f>IF('Subject-ConceptMap-4'!S71=0,"//---END",'Subject-ConceptMap-4'!S71)</f>
        <v>* group[=].element[=].target.code = #Observation.extension:comorbidConditionPresent</v>
      </c>
    </row>
    <row r="267" spans="2:2">
      <c r="B267" s="12" t="str">
        <f>IF('Subject-ConceptMap-4'!S72=0,"//---END",'Subject-ConceptMap-4'!S72)</f>
        <v>* group[=].element[=].target.display = ##34###34#</v>
      </c>
    </row>
    <row r="268" spans="2:2">
      <c r="B268" s="12" t="str">
        <f>IF('Subject-ConceptMap-4'!S73=0,"//---END",'Subject-ConceptMap-4'!S73)</f>
        <v>* group[=].element[=].target.equivalence = #equivalent</v>
      </c>
    </row>
    <row r="269" spans="2:2">
      <c r="B269" s="12" t="str">
        <f>IF('Subject-ConceptMap-4'!S74=0,"//---END",'Subject-ConceptMap-4'!S74)</f>
        <v/>
      </c>
    </row>
    <row r="270" spans="2:2">
      <c r="B270" s="12" t="str">
        <f>IF('Subject-ConceptMap-4'!S75=0,"//---END",'Subject-ConceptMap-4'!S75)</f>
        <v>* group[=].element[+].code = #Subject.comorbidity.moderateToSevereLiverDisease</v>
      </c>
    </row>
    <row r="271" spans="2:2">
      <c r="B271" s="12" t="str">
        <f>IF('Subject-ConceptMap-4'!S76=0,"//---END",'Subject-ConceptMap-4'!S76)</f>
        <v>* group[=].element[=].display = ##34#Moderate to severe liver disease##34#</v>
      </c>
    </row>
    <row r="272" spans="2:2">
      <c r="B272" s="12" t="str">
        <f>IF('Subject-ConceptMap-4'!S77=0,"//---END",'Subject-ConceptMap-4'!S77)</f>
        <v>* group[=].element[=].target.code = #Observation.extension:comorbidConditionPresent</v>
      </c>
    </row>
    <row r="273" spans="2:2">
      <c r="B273" s="12" t="str">
        <f>IF('Subject-ConceptMap-4'!S78=0,"//---END",'Subject-ConceptMap-4'!S78)</f>
        <v>* group[=].element[=].target.display = ##34###34#</v>
      </c>
    </row>
    <row r="274" spans="2:2">
      <c r="B274" s="12" t="str">
        <f>IF('Subject-ConceptMap-4'!S79=0,"//---END",'Subject-ConceptMap-4'!S79)</f>
        <v>* group[=].element[=].target.equivalence = #equivalent</v>
      </c>
    </row>
    <row r="275" spans="2:2">
      <c r="B275" s="12" t="str">
        <f>IF('Subject-ConceptMap-4'!S80=0,"//---END",'Subject-ConceptMap-4'!S80)</f>
        <v/>
      </c>
    </row>
    <row r="276" spans="2:2">
      <c r="B276" s="12" t="str">
        <f>IF('Subject-ConceptMap-4'!S81=0,"//---END",'Subject-ConceptMap-4'!S81)</f>
        <v>* group[=].element[+].code = #Subject.comorbidity.diabetesWithoutComplications</v>
      </c>
    </row>
    <row r="277" spans="2:2">
      <c r="B277" s="12" t="str">
        <f>IF('Subject-ConceptMap-4'!S82=0,"//---END",'Subject-ConceptMap-4'!S82)</f>
        <v>* group[=].element[=].display = ##34#Diabetes (without complications)##34#</v>
      </c>
    </row>
    <row r="278" spans="2:2">
      <c r="B278" s="12" t="str">
        <f>IF('Subject-ConceptMap-4'!S83=0,"//---END",'Subject-ConceptMap-4'!S83)</f>
        <v>* group[=].element[=].target.code = #Observation.extension:comorbidConditionPresent</v>
      </c>
    </row>
    <row r="279" spans="2:2">
      <c r="B279" s="12" t="str">
        <f>IF('Subject-ConceptMap-4'!S84=0,"//---END",'Subject-ConceptMap-4'!S84)</f>
        <v>* group[=].element[=].target.display = ##34###34#</v>
      </c>
    </row>
    <row r="280" spans="2:2">
      <c r="B280" s="12" t="str">
        <f>IF('Subject-ConceptMap-4'!S85=0,"//---END",'Subject-ConceptMap-4'!S85)</f>
        <v>* group[=].element[=].target.equivalence = #equivalent</v>
      </c>
    </row>
    <row r="281" spans="2:2">
      <c r="B281" s="12" t="str">
        <f>IF('Subject-ConceptMap-4'!S86=0,"//---END",'Subject-ConceptMap-4'!S86)</f>
        <v/>
      </c>
    </row>
    <row r="282" spans="2:2">
      <c r="B282" s="12" t="str">
        <f>IF('Subject-ConceptMap-4'!S87=0,"//---END",'Subject-ConceptMap-4'!S87)</f>
        <v>* group[=].element[+].code = #Subject.comorbidity.diabetesWithEndOrganDamage</v>
      </c>
    </row>
    <row r="283" spans="2:2">
      <c r="B283" s="12" t="str">
        <f>IF('Subject-ConceptMap-4'!S88=0,"//---END",'Subject-ConceptMap-4'!S88)</f>
        <v>* group[=].element[=].display = ##34#Diabetes with end organ damage##34#</v>
      </c>
    </row>
    <row r="284" spans="2:2">
      <c r="B284" s="12" t="str">
        <f>IF('Subject-ConceptMap-4'!S89=0,"//---END",'Subject-ConceptMap-4'!S89)</f>
        <v>* group[=].element[=].target.code = #Observation.extension:comorbidConditionPresent</v>
      </c>
    </row>
    <row r="285" spans="2:2">
      <c r="B285" s="12" t="str">
        <f>IF('Subject-ConceptMap-4'!S90=0,"//---END",'Subject-ConceptMap-4'!S90)</f>
        <v>* group[=].element[=].target.display = ##34###34#</v>
      </c>
    </row>
    <row r="286" spans="2:2">
      <c r="B286" s="12" t="str">
        <f>IF('Subject-ConceptMap-4'!S91=0,"//---END",'Subject-ConceptMap-4'!S91)</f>
        <v>* group[=].element[=].target.equivalence = #equivalent</v>
      </c>
    </row>
    <row r="287" spans="2:2">
      <c r="B287" s="12" t="str">
        <f>IF('Subject-ConceptMap-4'!S92=0,"//---END",'Subject-ConceptMap-4'!S92)</f>
        <v/>
      </c>
    </row>
    <row r="288" spans="2:2">
      <c r="B288" s="12" t="str">
        <f>IF('Subject-ConceptMap-4'!S93=0,"//---END",'Subject-ConceptMap-4'!S93)</f>
        <v>* group[=].element[+].code = #Subject.comorbidity.hemiplegia</v>
      </c>
    </row>
    <row r="289" spans="2:2">
      <c r="B289" s="12" t="str">
        <f>IF('Subject-ConceptMap-4'!S94=0,"//---END",'Subject-ConceptMap-4'!S94)</f>
        <v>* group[=].element[=].display = ##34#Hemiplegia##34#</v>
      </c>
    </row>
    <row r="290" spans="2:2">
      <c r="B290" s="12" t="str">
        <f>IF('Subject-ConceptMap-4'!S95=0,"//---END",'Subject-ConceptMap-4'!S95)</f>
        <v>* group[=].element[=].target.code = #Observation.extension:comorbidConditionPresent</v>
      </c>
    </row>
    <row r="291" spans="2:2">
      <c r="B291" s="12" t="str">
        <f>IF('Subject-ConceptMap-4'!S96=0,"//---END",'Subject-ConceptMap-4'!S96)</f>
        <v>* group[=].element[=].target.display = ##34###34#</v>
      </c>
    </row>
    <row r="292" spans="2:2">
      <c r="B292" s="12" t="str">
        <f>IF('Subject-ConceptMap-4'!S97=0,"//---END",'Subject-ConceptMap-4'!S97)</f>
        <v>* group[=].element[=].target.equivalence = #equivalent</v>
      </c>
    </row>
    <row r="293" spans="2:2">
      <c r="B293" s="12" t="str">
        <f>IF('Subject-ConceptMap-4'!S98=0,"//---END",'Subject-ConceptMap-4'!S98)</f>
        <v/>
      </c>
    </row>
    <row r="294" spans="2:2">
      <c r="B294" s="12" t="str">
        <f>IF('Subject-ConceptMap-4'!S99=0,"//---END",'Subject-ConceptMap-4'!S99)</f>
        <v>* group[=].element[+].code = #Subject.comorbidity.moderateToSevereRenalDisease</v>
      </c>
    </row>
    <row r="295" spans="2:2">
      <c r="B295" s="12" t="str">
        <f>IF('Subject-ConceptMap-4'!S100=0,"//---END",'Subject-ConceptMap-4'!S100)</f>
        <v>* group[=].element[=].display = ##34#Moderate to severe renal disease##34#</v>
      </c>
    </row>
    <row r="296" spans="2:2">
      <c r="B296" s="12" t="str">
        <f>IF('Subject-ConceptMap-4'!S101=0,"//---END",'Subject-ConceptMap-4'!S101)</f>
        <v>* group[=].element[=].target.code = #Observation.extension:comorbidConditionPresent</v>
      </c>
    </row>
    <row r="297" spans="2:2">
      <c r="B297" s="12" t="str">
        <f>IF('Subject-ConceptMap-4'!S102=0,"//---END",'Subject-ConceptMap-4'!S102)</f>
        <v>* group[=].element[=].target.display = ##34###34#</v>
      </c>
    </row>
    <row r="298" spans="2:2">
      <c r="B298" s="12" t="str">
        <f>IF('Subject-ConceptMap-4'!S103=0,"//---END",'Subject-ConceptMap-4'!S103)</f>
        <v>* group[=].element[=].target.equivalence = #equivalent</v>
      </c>
    </row>
    <row r="299" spans="2:2">
      <c r="B299" s="12" t="str">
        <f>IF('Subject-ConceptMap-4'!S104=0,"//---END",'Subject-ConceptMap-4'!S104)</f>
        <v/>
      </c>
    </row>
    <row r="300" spans="2:2">
      <c r="B300" s="12" t="str">
        <f>IF('Subject-ConceptMap-4'!S105=0,"//---END",'Subject-ConceptMap-4'!S105)</f>
        <v>* group[=].element[+].code = #Subject.comorbidity.solidTumorNonMetastatic</v>
      </c>
    </row>
    <row r="301" spans="2:2">
      <c r="B301" s="12" t="str">
        <f>IF('Subject-ConceptMap-4'!S106=0,"//---END",'Subject-ConceptMap-4'!S106)</f>
        <v>* group[=].element[=].display = ##34#Solid tumor (non metastatic)##34#</v>
      </c>
    </row>
    <row r="302" spans="2:2">
      <c r="B302" s="12" t="str">
        <f>IF('Subject-ConceptMap-4'!S107=0,"//---END",'Subject-ConceptMap-4'!S107)</f>
        <v>* group[=].element[=].target.code = #Observation.extension:comorbidConditionPresent</v>
      </c>
    </row>
    <row r="303" spans="2:2">
      <c r="B303" s="12" t="str">
        <f>IF('Subject-ConceptMap-4'!S108=0,"//---END",'Subject-ConceptMap-4'!S108)</f>
        <v>* group[=].element[=].target.display = ##34###34#</v>
      </c>
    </row>
    <row r="304" spans="2:2">
      <c r="B304" s="12" t="str">
        <f>IF('Subject-ConceptMap-4'!S109=0,"//---END",'Subject-ConceptMap-4'!S109)</f>
        <v>* group[=].element[=].target.equivalence = #equivalent</v>
      </c>
    </row>
    <row r="305" spans="2:2">
      <c r="B305" s="12" t="str">
        <f>IF('Subject-ConceptMap-4'!S110=0,"//---END",'Subject-ConceptMap-4'!S110)</f>
        <v/>
      </c>
    </row>
    <row r="306" spans="2:2">
      <c r="B306" s="12" t="str">
        <f>IF('Subject-ConceptMap-4'!S111=0,"//---END",'Subject-ConceptMap-4'!S111)</f>
        <v>* group[=].element[+].code = #Subject.comorbidity.metastaticSolidTumor</v>
      </c>
    </row>
    <row r="307" spans="2:2">
      <c r="B307" s="12" t="str">
        <f>IF('Subject-ConceptMap-4'!S112=0,"//---END",'Subject-ConceptMap-4'!S112)</f>
        <v>* group[=].element[=].display = ##34#Metastatic solid tumor##34#</v>
      </c>
    </row>
    <row r="308" spans="2:2">
      <c r="B308" s="12" t="str">
        <f>IF('Subject-ConceptMap-4'!S113=0,"//---END",'Subject-ConceptMap-4'!S113)</f>
        <v>* group[=].element[=].target.code = #Observation.extension:comorbidConditionPresent</v>
      </c>
    </row>
    <row r="309" spans="2:2">
      <c r="B309" s="12" t="str">
        <f>IF('Subject-ConceptMap-4'!S114=0,"//---END",'Subject-ConceptMap-4'!S114)</f>
        <v>* group[=].element[=].target.display = ##34###34#</v>
      </c>
    </row>
    <row r="310" spans="2:2">
      <c r="B310" s="12" t="str">
        <f>IF('Subject-ConceptMap-4'!S115=0,"//---END",'Subject-ConceptMap-4'!S115)</f>
        <v>* group[=].element[=].target.equivalence = #equivalent</v>
      </c>
    </row>
    <row r="311" spans="2:2">
      <c r="B311" s="12" t="str">
        <f>IF('Subject-ConceptMap-4'!S116=0,"//---END",'Subject-ConceptMap-4'!S116)</f>
        <v/>
      </c>
    </row>
    <row r="312" spans="2:2">
      <c r="B312" s="12" t="str">
        <f>IF('Subject-ConceptMap-4'!S117=0,"//---END",'Subject-ConceptMap-4'!S117)</f>
        <v>* group[=].element[+].code = #Subject.comorbidity.leukemia</v>
      </c>
    </row>
    <row r="313" spans="2:2">
      <c r="B313" s="12" t="str">
        <f>IF('Subject-ConceptMap-4'!S118=0,"//---END",'Subject-ConceptMap-4'!S118)</f>
        <v>* group[=].element[=].display = ##34#Leukemia##34#</v>
      </c>
    </row>
    <row r="314" spans="2:2">
      <c r="B314" s="12" t="str">
        <f>IF('Subject-ConceptMap-4'!S119=0,"//---END",'Subject-ConceptMap-4'!S119)</f>
        <v>* group[=].element[=].target.code = #Observation.extension:comorbidConditionPresent</v>
      </c>
    </row>
    <row r="315" spans="2:2">
      <c r="B315" s="12" t="str">
        <f>IF('Subject-ConceptMap-4'!S120=0,"//---END",'Subject-ConceptMap-4'!S120)</f>
        <v>* group[=].element[=].target.display = ##34###34#</v>
      </c>
    </row>
    <row r="316" spans="2:2">
      <c r="B316" s="12" t="str">
        <f>IF('Subject-ConceptMap-4'!S121=0,"//---END",'Subject-ConceptMap-4'!S121)</f>
        <v>* group[=].element[=].target.equivalence = #equivalent</v>
      </c>
    </row>
    <row r="317" spans="2:2">
      <c r="B317" s="12" t="str">
        <f>IF('Subject-ConceptMap-4'!S122=0,"//---END",'Subject-ConceptMap-4'!S122)</f>
        <v/>
      </c>
    </row>
    <row r="318" spans="2:2">
      <c r="B318" s="12" t="str">
        <f>IF('Subject-ConceptMap-4'!S123=0,"//---END",'Subject-ConceptMap-4'!S123)</f>
        <v>* group[=].element[+].code = #Subject.comorbidity.lymphoma</v>
      </c>
    </row>
    <row r="319" spans="2:2">
      <c r="B319" s="12" t="str">
        <f>IF('Subject-ConceptMap-4'!S124=0,"//---END",'Subject-ConceptMap-4'!S124)</f>
        <v>* group[=].element[=].display = ##34#Lymphoma##34#</v>
      </c>
    </row>
    <row r="320" spans="2:2">
      <c r="B320" s="12" t="str">
        <f>IF('Subject-ConceptMap-4'!S125=0,"//---END",'Subject-ConceptMap-4'!S125)</f>
        <v>* group[=].element[=].target.code = #Observation.extension:comorbidConditionPresent</v>
      </c>
    </row>
    <row r="321" spans="2:2">
      <c r="B321" s="12" t="str">
        <f>IF('Subject-ConceptMap-4'!S126=0,"//---END",'Subject-ConceptMap-4'!S126)</f>
        <v>* group[=].element[=].target.display = ##34###34#</v>
      </c>
    </row>
    <row r="322" spans="2:2">
      <c r="B322" s="12" t="str">
        <f>IF('Subject-ConceptMap-4'!S127=0,"//---END",'Subject-ConceptMap-4'!S127)</f>
        <v>* group[=].element[=].target.equivalence = #equivalent</v>
      </c>
    </row>
    <row r="323" spans="2:2">
      <c r="B323" s="12" t="str">
        <f>IF('Subject-ConceptMap-4'!S128=0,"//---END",'Subject-ConceptMap-4'!S128)</f>
        <v/>
      </c>
    </row>
    <row r="324" spans="2:2">
      <c r="B324" s="12" t="str">
        <f>IF('Subject-ConceptMap-4'!S129=0,"//---END",'Subject-ConceptMap-4'!S129)</f>
        <v>* group[=].element[+].code = #Subject.comorbidity.multipleMyeloma</v>
      </c>
    </row>
    <row r="325" spans="2:2">
      <c r="B325" s="12" t="str">
        <f>IF('Subject-ConceptMap-4'!S130=0,"//---END",'Subject-ConceptMap-4'!S130)</f>
        <v>* group[=].element[=].display = ##34#Multiple myeloma##34#</v>
      </c>
    </row>
    <row r="326" spans="2:2">
      <c r="B326" s="12" t="str">
        <f>IF('Subject-ConceptMap-4'!S131=0,"//---END",'Subject-ConceptMap-4'!S131)</f>
        <v>* group[=].element[=].target.code = #Observation.extension:comorbidConditionPresent</v>
      </c>
    </row>
    <row r="327" spans="2:2">
      <c r="B327" s="12" t="str">
        <f>IF('Subject-ConceptMap-4'!S132=0,"//---END",'Subject-ConceptMap-4'!S132)</f>
        <v>* group[=].element[=].target.display = ##34###34#</v>
      </c>
    </row>
    <row r="328" spans="2:2">
      <c r="B328" s="12" t="str">
        <f>IF('Subject-ConceptMap-4'!S133=0,"//---END",'Subject-ConceptMap-4'!S133)</f>
        <v>* group[=].element[=].target.equivalence = #equivalent</v>
      </c>
    </row>
    <row r="329" spans="2:2">
      <c r="B329" s="12" t="str">
        <f>IF('Subject-ConceptMap-4'!S134=0,"//---END",'Subject-ConceptMap-4'!S134)</f>
        <v/>
      </c>
    </row>
    <row r="330" spans="2:2">
      <c r="B330" s="12" t="str">
        <f>IF('Subject-ConceptMap-4'!S135=0,"//---END",'Subject-ConceptMap-4'!S135)</f>
        <v>* group[=].element[+].code = #Subject.comorbidity.aids</v>
      </c>
    </row>
    <row r="331" spans="2:2">
      <c r="B331" s="12" t="str">
        <f>IF('Subject-ConceptMap-4'!S136=0,"//---END",'Subject-ConceptMap-4'!S136)</f>
        <v>* group[=].element[=].display = ##34#AIDS##34#</v>
      </c>
    </row>
    <row r="332" spans="2:2">
      <c r="B332" s="12" t="str">
        <f>IF('Subject-ConceptMap-4'!S137=0,"//---END",'Subject-ConceptMap-4'!S137)</f>
        <v>* group[=].element[=].target.code = #Observation.extension:comorbidConditionPresent</v>
      </c>
    </row>
    <row r="333" spans="2:2">
      <c r="B333" s="12" t="str">
        <f>IF('Subject-ConceptMap-4'!S138=0,"//---END",'Subject-ConceptMap-4'!S138)</f>
        <v>* group[=].element[=].target.display = ##34###34#</v>
      </c>
    </row>
    <row r="334" spans="2:2">
      <c r="B334" s="12" t="str">
        <f>IF('Subject-ConceptMap-4'!S139=0,"//---END",'Subject-ConceptMap-4'!S139)</f>
        <v>* group[=].element[=].target.equivalence = #equivalent</v>
      </c>
    </row>
    <row r="335" spans="2:2">
      <c r="B335" s="12" t="str">
        <f>IF('Subject-ConceptMap-4'!S140=0,"//---END",'Subject-ConceptMap-4'!S140)</f>
        <v/>
      </c>
    </row>
    <row r="336" spans="2:2">
      <c r="B336" s="12" t="str">
        <f>IF('Subject-ConceptMap-4'!S141=0,"//---END",'Subject-ConceptMap-4'!S141)</f>
        <v>//---END</v>
      </c>
    </row>
    <row r="337" spans="2:2">
      <c r="B337" s="12" t="str">
        <f>IF('Subject-ConceptMap-4'!S142=0,"//---END",'Subject-ConceptMap-4'!S142)</f>
        <v>//---END</v>
      </c>
    </row>
    <row r="338" spans="2:2">
      <c r="B338" s="12" t="str">
        <f>IF('Subject-ConceptMap-4'!S143=0,"//---END",'Subject-ConceptMap-4'!S143)</f>
        <v>//---END</v>
      </c>
    </row>
    <row r="339" spans="2:2">
      <c r="B339" s="12" t="str">
        <f>IF('Subject-ConceptMap-4'!S144=0,"//---END",'Subject-ConceptMap-4'!S144)</f>
        <v>//---END</v>
      </c>
    </row>
    <row r="340" spans="2:2" s="7" customFormat="1">
      <c r="B340" s="12" t="str">
        <f>IF('Subject-ConceptMap-4'!S145=0,"//---END",'Subject-ConceptMap-4'!S145)</f>
        <v>//---END</v>
      </c>
    </row>
    <row r="341" spans="2:2" s="7" customFormat="1">
      <c r="B341" s="103"/>
    </row>
    <row r="342" spans="2:2" s="7" customFormat="1">
      <c r="B342" s="166"/>
    </row>
    <row r="343" spans="2:2" s="7" customFormat="1">
      <c r="B343" s="168" t="str">
        <f>"* group[+].source = ##34#"&amp;'Subject-ConceptMap-5-8'!E6&amp;"##34#"</f>
        <v>* group[+].source = ##34#http://hl7.eu/fhir/ig/idea4rc/StructureDefinition/Subject##34#</v>
      </c>
    </row>
    <row r="344" spans="2:2" s="7" customFormat="1">
      <c r="B344" s="168" t="str">
        <f>"* group[=].target = ##34#"&amp;'Subject-ConceptMap-5-8'!E7&amp;"##34#"</f>
        <v>* group[=].target = ##34#http://hl7.eu/fhir/ig/idea4rc/StructureDefinition/observation-karnofsky-performance-statuseu-i4rc##34#</v>
      </c>
    </row>
    <row r="345" spans="2:2" s="7" customFormat="1">
      <c r="B345" s="166"/>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64"/>
    </row>
    <row r="357" spans="2:2">
      <c r="B357" s="165" t="str">
        <f>"* group[+].source = ##34#"&amp;'Subject-ConceptMap-5-8'!E19&amp;"##34#"</f>
        <v>* group[+].source = ##34#http://hl7.eu/fhir/ig/idea4rc/StructureDefinition/Subject##34#</v>
      </c>
    </row>
    <row r="358" spans="2:2">
      <c r="B358" s="165" t="str">
        <f>"* group[=].target = ##34#"&amp;'Subject-ConceptMap-5-8'!E20&amp;"##34#"</f>
        <v>* group[=].target = ##34#http://hl7.eu/fhir/ig/idea4rc/StructureDefinition/observation-ecog-performance-status-eu-i4rc##34#</v>
      </c>
    </row>
    <row r="359" spans="2:2">
      <c r="B359" s="166"/>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64"/>
    </row>
    <row r="371" spans="2:2">
      <c r="B371" s="165" t="str">
        <f>"* group[+].source = ##34#"&amp;'Subject-ConceptMap-5-8'!E40&amp;"##34#"</f>
        <v>* group[+].source = ##34#http://hl7.eu/fhir/ig/idea4rc/StructureDefinition/Subject##34#</v>
      </c>
    </row>
    <row r="372" spans="2:2">
      <c r="B372" s="165" t="str">
        <f>"* group[=].target = ##34#"&amp;'Subject-ConceptMap-5-8'!E41&amp;"##34#"</f>
        <v>* group[=].target = ##34#http://hl7.eu/fhir/ig/idea4rc/StructureDefinition/observation-cci-eu-i4rc##34#</v>
      </c>
    </row>
    <row r="373" spans="2:2">
      <c r="B373" s="166"/>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2350</v>
      </c>
      <c r="J4" s="16" t="str">
        <f>CONCATENATE("Logical: ",B4)</f>
        <v>Logical: EpisodeEventI4rc</v>
      </c>
    </row>
    <row r="5" spans="1:12" ht="19.899999999999999" customHeight="1">
      <c r="A5" s="14" t="s">
        <v>16</v>
      </c>
      <c r="B5" s="46" t="s">
        <v>1947</v>
      </c>
      <c r="J5" s="16" t="str">
        <f>CONCATENATE("Id: ",B5)</f>
        <v>Id: EpisodeEvent</v>
      </c>
    </row>
    <row r="6" spans="1:12" ht="19.899999999999999" customHeight="1">
      <c r="A6" s="14" t="s">
        <v>10</v>
      </c>
      <c r="B6" s="47" t="s">
        <v>1887</v>
      </c>
      <c r="J6" s="17" t="str">
        <f>CONCATENATE("Title: ##34#",B6,"##34#")</f>
        <v>Title: ##34#Episode Event##34#</v>
      </c>
    </row>
    <row r="7" spans="1:12" ht="19.899999999999999" customHeight="1">
      <c r="A7" s="26" t="s">
        <v>2</v>
      </c>
      <c r="B7" s="47" t="s">
        <v>1887</v>
      </c>
      <c r="C7" s="9" t="s">
        <v>3</v>
      </c>
      <c r="D7" s="1" t="s">
        <v>4</v>
      </c>
      <c r="E7" s="3" t="s">
        <v>5</v>
      </c>
      <c r="F7" s="3" t="s">
        <v>6</v>
      </c>
      <c r="G7" s="3" t="s">
        <v>7</v>
      </c>
      <c r="H7" s="105" t="s">
        <v>1610</v>
      </c>
      <c r="J7" s="17" t="str">
        <f>CONCATENATE("Description: "," ##334#",B7,"##334#",)</f>
        <v>Description:  ##334#Episode Event##334#</v>
      </c>
    </row>
    <row r="8" spans="1:12" ht="20.25" customHeight="1">
      <c r="A8" s="100">
        <v>0</v>
      </c>
      <c r="B8" s="57" t="s">
        <v>1948</v>
      </c>
      <c r="C8" s="11" t="s">
        <v>1920</v>
      </c>
      <c r="D8" s="11" t="s">
        <v>1921</v>
      </c>
      <c r="E8" s="11">
        <v>1</v>
      </c>
      <c r="F8" s="11">
        <v>1</v>
      </c>
      <c r="G8" t="s">
        <v>1965</v>
      </c>
      <c r="H8" s="12" t="s">
        <v>1767</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1962</v>
      </c>
      <c r="C9" s="11" t="s">
        <v>1922</v>
      </c>
      <c r="D9" s="11" t="s">
        <v>1923</v>
      </c>
      <c r="E9" s="11">
        <v>1</v>
      </c>
      <c r="F9" s="11">
        <v>1</v>
      </c>
      <c r="G9" s="57" t="s">
        <v>1764</v>
      </c>
      <c r="H9" s="12" t="s">
        <v>1944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1963</v>
      </c>
      <c r="C10" s="11" t="s">
        <v>1924</v>
      </c>
      <c r="D10" s="12" t="s">
        <v>1925</v>
      </c>
      <c r="E10" s="11">
        <v>0</v>
      </c>
      <c r="F10" s="11">
        <v>1</v>
      </c>
      <c r="G10" s="57" t="s">
        <v>1764</v>
      </c>
      <c r="H10" s="12" t="s">
        <v>1945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1964</v>
      </c>
      <c r="C11" s="11" t="s">
        <v>1926</v>
      </c>
      <c r="D11" s="11" t="s">
        <v>1927</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1959</v>
      </c>
      <c r="C12" s="11" t="s">
        <v>1928</v>
      </c>
      <c r="D12" s="11" t="s">
        <v>1929</v>
      </c>
      <c r="E12" s="11">
        <v>0</v>
      </c>
      <c r="F12" s="11">
        <v>1</v>
      </c>
      <c r="G12" s="57" t="s">
        <v>1764</v>
      </c>
      <c r="H12" s="12" t="s">
        <v>1946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1960</v>
      </c>
      <c r="C13" s="11" t="s">
        <v>1930</v>
      </c>
      <c r="D13" s="12" t="s">
        <v>1931</v>
      </c>
      <c r="E13" s="11">
        <v>0</v>
      </c>
      <c r="F13" s="11">
        <v>1</v>
      </c>
      <c r="G13" s="57" t="s">
        <v>1764</v>
      </c>
      <c r="H13" s="12" t="s">
        <v>1946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1961</v>
      </c>
      <c r="C14" s="11" t="s">
        <v>1932</v>
      </c>
      <c r="D14" s="12" t="s">
        <v>1933</v>
      </c>
      <c r="E14" s="11">
        <v>0</v>
      </c>
      <c r="F14" s="11">
        <v>1</v>
      </c>
      <c r="G14" s="57" t="s">
        <v>1764</v>
      </c>
      <c r="H14" s="12" t="s">
        <v>1946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1967</v>
      </c>
      <c r="C15" s="6" t="s">
        <v>1968</v>
      </c>
      <c r="D15" s="6" t="s">
        <v>1968</v>
      </c>
      <c r="E15" s="11">
        <v>0</v>
      </c>
      <c r="F15" s="11">
        <v>1</v>
      </c>
      <c r="G15" s="141" t="s">
        <v>1</v>
      </c>
      <c r="H15" s="4"/>
      <c r="I15" s="25"/>
      <c r="J15" s="12" t="str">
        <f t="shared" si="1"/>
        <v>* siteOfMetastasis 0..1 BackboneElement ##34#Site of metastasis##34# ##334#Site of metastasis##334#</v>
      </c>
      <c r="L15" s="12" t="str">
        <f t="shared" si="2"/>
        <v/>
      </c>
    </row>
    <row r="16" spans="1:12" ht="19.899999999999999" customHeight="1">
      <c r="A16" s="150">
        <v>7</v>
      </c>
      <c r="B16" s="57" t="s">
        <v>1949</v>
      </c>
      <c r="C16" s="11" t="s">
        <v>1934</v>
      </c>
      <c r="D16" s="12" t="s">
        <v>1625</v>
      </c>
      <c r="E16" s="11">
        <v>0</v>
      </c>
      <c r="F16" s="11">
        <v>1</v>
      </c>
      <c r="G16" s="57" t="s">
        <v>157</v>
      </c>
      <c r="H16" s="12" t="s">
        <v>1876</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0">
        <v>8</v>
      </c>
      <c r="B17" s="57" t="s">
        <v>1956</v>
      </c>
      <c r="C17" s="11" t="s">
        <v>1935</v>
      </c>
      <c r="D17" s="12" t="s">
        <v>1627</v>
      </c>
      <c r="E17" s="11">
        <v>0</v>
      </c>
      <c r="F17" s="11">
        <v>1</v>
      </c>
      <c r="G17" s="57" t="s">
        <v>157</v>
      </c>
      <c r="H17" s="12" t="s">
        <v>1876</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0">
        <v>9</v>
      </c>
      <c r="B18" s="57" t="s">
        <v>1952</v>
      </c>
      <c r="C18" s="11" t="s">
        <v>1936</v>
      </c>
      <c r="D18" s="12" t="s">
        <v>1629</v>
      </c>
      <c r="E18" s="11">
        <v>0</v>
      </c>
      <c r="F18" s="11">
        <v>1</v>
      </c>
      <c r="G18" s="57" t="s">
        <v>157</v>
      </c>
      <c r="H18" s="12" t="s">
        <v>1876</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0">
        <v>10</v>
      </c>
      <c r="B19" s="57" t="s">
        <v>1950</v>
      </c>
      <c r="C19" s="11" t="s">
        <v>1937</v>
      </c>
      <c r="D19" s="11" t="s">
        <v>1631</v>
      </c>
      <c r="E19" s="11">
        <v>0</v>
      </c>
      <c r="F19" s="11">
        <v>1</v>
      </c>
      <c r="G19" s="57" t="s">
        <v>157</v>
      </c>
      <c r="H19" s="12" t="s">
        <v>1876</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0">
        <v>11</v>
      </c>
      <c r="B20" s="57" t="s">
        <v>1953</v>
      </c>
      <c r="C20" s="11" t="s">
        <v>1938</v>
      </c>
      <c r="D20" s="11" t="s">
        <v>1633</v>
      </c>
      <c r="E20" s="11">
        <v>0</v>
      </c>
      <c r="F20" s="11">
        <v>1</v>
      </c>
      <c r="G20" s="57" t="s">
        <v>157</v>
      </c>
      <c r="H20" s="12" t="s">
        <v>1876</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0">
        <v>12</v>
      </c>
      <c r="B21" s="57" t="s">
        <v>1954</v>
      </c>
      <c r="C21" s="11" t="s">
        <v>1939</v>
      </c>
      <c r="D21" s="11" t="s">
        <v>1635</v>
      </c>
      <c r="E21" s="11">
        <v>0</v>
      </c>
      <c r="F21" s="11">
        <v>1</v>
      </c>
      <c r="G21" s="57" t="s">
        <v>157</v>
      </c>
      <c r="H21" s="12" t="s">
        <v>1876</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0">
        <v>13</v>
      </c>
      <c r="B22" s="57" t="s">
        <v>1955</v>
      </c>
      <c r="C22" s="11" t="s">
        <v>1940</v>
      </c>
      <c r="D22" s="11" t="s">
        <v>1637</v>
      </c>
      <c r="E22" s="11">
        <v>0</v>
      </c>
      <c r="F22" s="11">
        <v>1</v>
      </c>
      <c r="G22" s="57" t="s">
        <v>157</v>
      </c>
      <c r="H22" s="12" t="s">
        <v>1876</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0">
        <v>14</v>
      </c>
      <c r="B23" s="57" t="s">
        <v>1951</v>
      </c>
      <c r="C23" s="11" t="s">
        <v>1941</v>
      </c>
      <c r="D23" s="11" t="s">
        <v>1639</v>
      </c>
      <c r="E23" s="11">
        <v>0</v>
      </c>
      <c r="F23" s="11">
        <v>1</v>
      </c>
      <c r="G23" s="57" t="s">
        <v>157</v>
      </c>
      <c r="H23" s="12" t="s">
        <v>1876</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0">
        <v>15</v>
      </c>
      <c r="B24" s="57" t="s">
        <v>1957</v>
      </c>
      <c r="C24" s="11" t="s">
        <v>1942</v>
      </c>
      <c r="D24" s="12" t="s">
        <v>1641</v>
      </c>
      <c r="E24" s="11">
        <v>0</v>
      </c>
      <c r="F24" s="11">
        <v>1</v>
      </c>
      <c r="G24" s="57" t="s">
        <v>157</v>
      </c>
      <c r="H24" s="12" t="s">
        <v>1876</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0">
        <v>16</v>
      </c>
      <c r="B25" s="57" t="s">
        <v>1958</v>
      </c>
      <c r="C25" s="11" t="s">
        <v>1943</v>
      </c>
      <c r="D25" s="12" t="s">
        <v>1643</v>
      </c>
      <c r="E25" s="11">
        <v>0</v>
      </c>
      <c r="F25" s="11">
        <v>1</v>
      </c>
      <c r="G25" s="57" t="s">
        <v>157</v>
      </c>
      <c r="H25" s="12" t="s">
        <v>1876</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39">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1966</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1979</v>
      </c>
      <c r="D3" s="62" t="s">
        <v>1769</v>
      </c>
      <c r="E3" s="117" t="str">
        <f>$C$1&amp;EpisodeEvent!B4</f>
        <v>http://hl7.eu/fhir/ig/idea4rc/StructureDefinition/EpisodeEventI4rc</v>
      </c>
    </row>
    <row r="4" spans="1:19">
      <c r="B4" s="62" t="s">
        <v>16</v>
      </c>
      <c r="C4" s="28" t="s">
        <v>1984</v>
      </c>
      <c r="D4" s="62" t="s">
        <v>1770</v>
      </c>
      <c r="E4" s="184" t="s">
        <v>1782</v>
      </c>
      <c r="F4" s="185"/>
      <c r="G4" s="185"/>
    </row>
    <row r="5" spans="1:19">
      <c r="B5" s="62" t="s">
        <v>10</v>
      </c>
      <c r="C5" s="7" t="s">
        <v>1980</v>
      </c>
      <c r="D5" s="62"/>
      <c r="E5" s="7"/>
    </row>
    <row r="6" spans="1:19">
      <c r="B6" s="62" t="s">
        <v>18</v>
      </c>
      <c r="C6" s="56"/>
      <c r="D6" s="62" t="s">
        <v>1771</v>
      </c>
      <c r="E6" s="184" t="str">
        <f>E3</f>
        <v>http://hl7.eu/fhir/ig/idea4rc/StructureDefinition/EpisodeEventI4rc</v>
      </c>
      <c r="F6" s="185"/>
      <c r="G6" s="185"/>
    </row>
    <row r="7" spans="1:19">
      <c r="B7" s="62" t="s">
        <v>15</v>
      </c>
      <c r="C7" s="118"/>
      <c r="D7" s="62" t="s">
        <v>1772</v>
      </c>
      <c r="E7" s="184" t="s">
        <v>1782</v>
      </c>
      <c r="F7" s="185"/>
      <c r="G7" s="185"/>
    </row>
    <row r="8" spans="1:19" ht="45" thickBot="1">
      <c r="B8" s="62" t="s">
        <v>1773</v>
      </c>
      <c r="C8" s="119" t="s">
        <v>1980</v>
      </c>
      <c r="D8" s="62"/>
      <c r="E8" s="7"/>
      <c r="I8" s="12" t="s">
        <v>1402</v>
      </c>
      <c r="J8" s="12" t="s">
        <v>1403</v>
      </c>
      <c r="K8" s="12" t="s">
        <v>1404</v>
      </c>
      <c r="L8" s="12" t="s">
        <v>1405</v>
      </c>
      <c r="M8" s="11" t="s">
        <v>1406</v>
      </c>
      <c r="P8" s="49" t="s">
        <v>1441</v>
      </c>
      <c r="Q8" s="49">
        <v>6</v>
      </c>
    </row>
    <row r="9" spans="1:19" ht="30.25" thickBot="1">
      <c r="B9" s="62" t="s">
        <v>1774</v>
      </c>
      <c r="C9" s="12" t="s">
        <v>1981</v>
      </c>
      <c r="D9" s="143"/>
      <c r="E9" s="186" t="s">
        <v>1990</v>
      </c>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1797</v>
      </c>
      <c r="E14" s="6"/>
      <c r="F14" s="64"/>
      <c r="G14" s="64"/>
      <c r="I14" s="12"/>
      <c r="J14" s="11"/>
      <c r="K14" s="11"/>
      <c r="L14" s="11"/>
      <c r="M14" s="63"/>
      <c r="N14" s="66"/>
    </row>
    <row r="15" spans="1:19" ht="59">
      <c r="A15" s="59"/>
      <c r="B15" s="11" t="str">
        <f>EpisodeEvent!B8</f>
        <v>cancerEpisode</v>
      </c>
      <c r="C15" s="11" t="str">
        <f>EpisodeEvent!C8</f>
        <v>Cancer Episode Reference</v>
      </c>
      <c r="D15" s="12" t="s">
        <v>1970</v>
      </c>
      <c r="E15" s="12"/>
      <c r="F15" s="64" t="s">
        <v>1429</v>
      </c>
      <c r="G15" s="123" t="s">
        <v>1988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3" t="s">
        <v>1989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1971</v>
      </c>
      <c r="E17" s="12"/>
      <c r="F17" s="64" t="s">
        <v>1407</v>
      </c>
      <c r="G17" s="123" t="s">
        <v>1972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0" t="s">
        <v>1407</v>
      </c>
      <c r="G18" s="120" t="s">
        <v>1973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1974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1975</v>
      </c>
      <c r="E20" s="12"/>
      <c r="F20" s="64" t="s">
        <v>1407</v>
      </c>
      <c r="G20" s="142" t="s">
        <v>1976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1975</v>
      </c>
      <c r="E21" s="12"/>
      <c r="F21" s="64" t="s">
        <v>1407</v>
      </c>
      <c r="G21" s="142" t="s">
        <v>1976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1975</v>
      </c>
      <c r="E22" s="12"/>
      <c r="F22" s="64" t="s">
        <v>1407</v>
      </c>
      <c r="G22" s="142" t="s">
        <v>1976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1977</v>
      </c>
      <c r="E23" s="11"/>
      <c r="F23" s="64" t="s">
        <v>1407</v>
      </c>
      <c r="G23" s="123" t="s">
        <v>1978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1977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1977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1977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1977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1977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1977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1977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1977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1977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1977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1982</v>
      </c>
    </row>
    <row r="3" spans="2:7">
      <c r="B3" s="24" t="s">
        <v>20</v>
      </c>
    </row>
    <row r="4" spans="2:7">
      <c r="B4" s="65" t="str">
        <f>"Instance: "&amp;'EpisodeEvent-ConceptMap-1'!C4</f>
        <v>Instance: episodeEvent2FHIR</v>
      </c>
    </row>
    <row r="5" spans="2:7">
      <c r="B5" s="65" t="s">
        <v>1447</v>
      </c>
    </row>
    <row r="6" spans="2:7">
      <c r="B6" s="65" t="s">
        <v>1438</v>
      </c>
    </row>
    <row r="7" spans="2:7">
      <c r="B7" s="65" t="s">
        <v>1776</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1"/>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2351</v>
      </c>
      <c r="J4" s="16" t="str">
        <f>CONCATENATE("Logical: ",B4)</f>
        <v>Logical: ClinicalStageI4rc</v>
      </c>
    </row>
    <row r="5" spans="1:12" ht="19.899999999999999" customHeight="1">
      <c r="A5" s="14" t="s">
        <v>16</v>
      </c>
      <c r="B5" s="46" t="s">
        <v>1883</v>
      </c>
      <c r="J5" s="16" t="str">
        <f>CONCATENATE("Id: ",B5)</f>
        <v>Id: ClinicalStage</v>
      </c>
    </row>
    <row r="6" spans="1:12" ht="19.899999999999999" customHeight="1">
      <c r="A6" s="14" t="s">
        <v>10</v>
      </c>
      <c r="B6" s="47" t="s">
        <v>1884</v>
      </c>
      <c r="J6" s="17" t="str">
        <f>CONCATENATE("Title: ##34#",B6,"##34#")</f>
        <v>Title: ##34#Clinical Stage##34#</v>
      </c>
    </row>
    <row r="7" spans="1:12" ht="19.899999999999999" customHeight="1">
      <c r="A7" s="26" t="s">
        <v>2</v>
      </c>
      <c r="B7" s="104" t="s">
        <v>1884</v>
      </c>
      <c r="C7" s="9" t="s">
        <v>3</v>
      </c>
      <c r="D7" s="1" t="s">
        <v>4</v>
      </c>
      <c r="E7" s="3" t="s">
        <v>5</v>
      </c>
      <c r="F7" s="3" t="s">
        <v>6</v>
      </c>
      <c r="G7" s="3" t="s">
        <v>7</v>
      </c>
      <c r="H7" s="105" t="s">
        <v>1610</v>
      </c>
      <c r="J7" s="17" t="str">
        <f>CONCATENATE("Description: "," ##334#",B7,"##334#",)</f>
        <v>Description:  ##334#Clinical Stage##334#</v>
      </c>
    </row>
    <row r="8" spans="1:12" ht="20.25" customHeight="1">
      <c r="A8" s="100">
        <v>0</v>
      </c>
      <c r="B8" s="57" t="s">
        <v>1886</v>
      </c>
      <c r="C8" s="11" t="s">
        <v>1887</v>
      </c>
      <c r="D8" s="11" t="s">
        <v>1872</v>
      </c>
      <c r="E8" s="11">
        <v>1</v>
      </c>
      <c r="F8" s="11">
        <v>1</v>
      </c>
      <c r="G8" t="s">
        <v>1969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1764</v>
      </c>
      <c r="H9" s="12" t="s">
        <v>1877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1764</v>
      </c>
      <c r="H10" s="12" t="s">
        <v>1878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0" t="s">
        <v>1918</v>
      </c>
      <c r="C11" s="11" t="s">
        <v>1873</v>
      </c>
      <c r="D11" s="11" t="s">
        <v>1874</v>
      </c>
      <c r="E11" s="11">
        <v>1</v>
      </c>
      <c r="F11" s="11">
        <v>1</v>
      </c>
      <c r="G11" s="57" t="s">
        <v>1764</v>
      </c>
      <c r="H11" s="12" t="s">
        <v>1879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1764</v>
      </c>
      <c r="H12" s="12" t="s">
        <v>1880</v>
      </c>
      <c r="I12" s="25"/>
      <c r="J12" s="12" t="str">
        <f t="shared" si="0"/>
        <v>* cM 1..1 CodeableConcept ##34#cM##34# ##334#Specifies the clinical M##334#</v>
      </c>
      <c r="L12" s="12" t="str">
        <f t="shared" si="1"/>
        <v>* cM ^comment = ##334#M0; M1;M0 -  4149726
M1 - 4205430##334#</v>
      </c>
    </row>
    <row r="13" spans="1:12" ht="45.25" customHeight="1">
      <c r="A13" s="100">
        <v>5</v>
      </c>
      <c r="B13" s="57" t="s">
        <v>1885</v>
      </c>
      <c r="C13" s="11" t="s">
        <v>1620</v>
      </c>
      <c r="D13" s="12" t="s">
        <v>1621</v>
      </c>
      <c r="E13" s="11">
        <v>1</v>
      </c>
      <c r="F13" s="11">
        <v>1</v>
      </c>
      <c r="G13" s="57" t="s">
        <v>1764</v>
      </c>
      <c r="H13" s="12" t="s">
        <v>1881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1764</v>
      </c>
      <c r="H14" s="12" t="s">
        <v>1882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0">
        <v>7</v>
      </c>
      <c r="B15" s="57" t="s">
        <v>1648</v>
      </c>
      <c r="C15" s="11" t="s">
        <v>1624</v>
      </c>
      <c r="D15" s="12" t="s">
        <v>1625</v>
      </c>
      <c r="E15" s="11">
        <v>0</v>
      </c>
      <c r="F15" s="11">
        <v>1</v>
      </c>
      <c r="G15" s="57" t="s">
        <v>157</v>
      </c>
      <c r="H15" s="12" t="s">
        <v>1876</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0">
        <v>8</v>
      </c>
      <c r="B16" s="57" t="s">
        <v>1649</v>
      </c>
      <c r="C16" s="11" t="s">
        <v>1626</v>
      </c>
      <c r="D16" s="12" t="s">
        <v>1627</v>
      </c>
      <c r="E16" s="11">
        <v>0</v>
      </c>
      <c r="F16" s="11">
        <v>1</v>
      </c>
      <c r="G16" s="57" t="s">
        <v>157</v>
      </c>
      <c r="H16" s="12" t="s">
        <v>1876</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0">
        <v>9</v>
      </c>
      <c r="B17" s="57" t="s">
        <v>1628</v>
      </c>
      <c r="C17" s="11" t="s">
        <v>1628</v>
      </c>
      <c r="D17" s="12" t="s">
        <v>1629</v>
      </c>
      <c r="E17" s="11">
        <v>0</v>
      </c>
      <c r="F17" s="11">
        <v>1</v>
      </c>
      <c r="G17" s="57" t="s">
        <v>157</v>
      </c>
      <c r="H17" s="12" t="s">
        <v>1876</v>
      </c>
      <c r="I17" s="25"/>
      <c r="J17" s="12" t="str">
        <f t="shared" si="0"/>
        <v>* lung 0..1 boolean ##34#lung##34# ##334#Describes if site of metastasic disease  is lung##334#</v>
      </c>
      <c r="L17" s="12" t="str">
        <f t="shared" si="1"/>
        <v>* lung ^comment = ##334#True; False##334#</v>
      </c>
    </row>
    <row r="18" spans="1:13" ht="19.899999999999999" customHeight="1">
      <c r="A18" s="150">
        <v>10</v>
      </c>
      <c r="B18" s="57" t="s">
        <v>1630</v>
      </c>
      <c r="C18" s="11" t="s">
        <v>1630</v>
      </c>
      <c r="D18" s="11" t="s">
        <v>1631</v>
      </c>
      <c r="E18" s="11">
        <v>0</v>
      </c>
      <c r="F18" s="11">
        <v>1</v>
      </c>
      <c r="G18" s="57" t="s">
        <v>157</v>
      </c>
      <c r="H18" s="12" t="s">
        <v>1876</v>
      </c>
      <c r="J18" s="12" t="str">
        <f t="shared" si="0"/>
        <v>* bone 0..1 boolean ##34#bone##34# ##334#Describes if site of metastasic disease  is bone##334#</v>
      </c>
      <c r="L18" s="12" t="str">
        <f t="shared" si="1"/>
        <v>* bone ^comment = ##334#True; False##334#</v>
      </c>
    </row>
    <row r="19" spans="1:13" ht="19.899999999999999" customHeight="1">
      <c r="A19" s="150">
        <v>11</v>
      </c>
      <c r="B19" s="57" t="s">
        <v>1632</v>
      </c>
      <c r="C19" s="11" t="s">
        <v>1632</v>
      </c>
      <c r="D19" s="11" t="s">
        <v>1633</v>
      </c>
      <c r="E19" s="11">
        <v>0</v>
      </c>
      <c r="F19" s="11">
        <v>1</v>
      </c>
      <c r="G19" s="57" t="s">
        <v>157</v>
      </c>
      <c r="H19" s="12" t="s">
        <v>1876</v>
      </c>
      <c r="J19" s="12" t="str">
        <f t="shared" si="0"/>
        <v>* liver 0..1 boolean ##34#liver##34# ##334#Describes if site of metastasic disease  is liver##334#</v>
      </c>
      <c r="L19" s="12" t="str">
        <f t="shared" si="1"/>
        <v>* liver ^comment = ##334#True; False##334#</v>
      </c>
    </row>
    <row r="20" spans="1:13" ht="19.899999999999999" customHeight="1">
      <c r="A20" s="150">
        <v>12</v>
      </c>
      <c r="B20" s="57" t="s">
        <v>1634</v>
      </c>
      <c r="C20" s="11" t="s">
        <v>1634</v>
      </c>
      <c r="D20" s="11" t="s">
        <v>1635</v>
      </c>
      <c r="E20" s="11">
        <v>0</v>
      </c>
      <c r="F20" s="11">
        <v>1</v>
      </c>
      <c r="G20" s="57" t="s">
        <v>157</v>
      </c>
      <c r="H20" s="12" t="s">
        <v>1876</v>
      </c>
      <c r="J20" s="12" t="str">
        <f t="shared" si="0"/>
        <v>* pleura 0..1 boolean ##34#pleura##34# ##334#Describes if site of metastasic disease  is pleura##334#</v>
      </c>
      <c r="L20" s="12" t="str">
        <f t="shared" si="1"/>
        <v>* pleura ^comment = ##334#True; False##334#</v>
      </c>
    </row>
    <row r="21" spans="1:13" ht="19.899999999999999" customHeight="1">
      <c r="A21" s="150">
        <v>13</v>
      </c>
      <c r="B21" s="57" t="s">
        <v>1636</v>
      </c>
      <c r="C21" s="11" t="s">
        <v>1636</v>
      </c>
      <c r="D21" s="11" t="s">
        <v>1637</v>
      </c>
      <c r="E21" s="11">
        <v>0</v>
      </c>
      <c r="F21" s="11">
        <v>1</v>
      </c>
      <c r="G21" s="57" t="s">
        <v>157</v>
      </c>
      <c r="H21" s="12" t="s">
        <v>1876</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0">
        <v>14</v>
      </c>
      <c r="B22" s="57" t="s">
        <v>1638</v>
      </c>
      <c r="C22" s="11" t="s">
        <v>1638</v>
      </c>
      <c r="D22" s="11" t="s">
        <v>1639</v>
      </c>
      <c r="E22" s="11">
        <v>0</v>
      </c>
      <c r="F22" s="11">
        <v>1</v>
      </c>
      <c r="G22" s="57" t="s">
        <v>157</v>
      </c>
      <c r="H22" s="12" t="s">
        <v>1876</v>
      </c>
      <c r="J22" s="12" t="str">
        <f t="shared" si="0"/>
        <v>* brain 0..1 boolean ##34#brain##34# ##334#Describes if site of metastasic disease  is brain##334#</v>
      </c>
      <c r="L22" s="12" t="str">
        <f t="shared" si="1"/>
        <v>* brain ^comment = ##334#True; False##334#</v>
      </c>
      <c r="M22"/>
    </row>
    <row r="23" spans="1:13" ht="19.899999999999999" customHeight="1">
      <c r="A23" s="150">
        <v>15</v>
      </c>
      <c r="B23" s="57" t="s">
        <v>1650</v>
      </c>
      <c r="C23" s="11" t="s">
        <v>1640</v>
      </c>
      <c r="D23" s="12" t="s">
        <v>1641</v>
      </c>
      <c r="E23" s="11">
        <v>0</v>
      </c>
      <c r="F23" s="11">
        <v>1</v>
      </c>
      <c r="G23" s="57" t="s">
        <v>157</v>
      </c>
      <c r="H23" s="12" t="s">
        <v>1876</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0">
        <v>16</v>
      </c>
      <c r="B24" s="57" t="s">
        <v>1642</v>
      </c>
      <c r="C24" s="11" t="s">
        <v>1642</v>
      </c>
      <c r="D24" s="12" t="s">
        <v>1643</v>
      </c>
      <c r="E24" s="11">
        <v>0</v>
      </c>
      <c r="F24" s="11">
        <v>1</v>
      </c>
      <c r="G24" s="57" t="s">
        <v>157</v>
      </c>
      <c r="H24" s="12" t="s">
        <v>1876</v>
      </c>
      <c r="J24" s="12" t="str">
        <f t="shared" si="0"/>
        <v>* unknown 0..1 boolean ##34#unknown##34# ##334#Describes if site of metastasic disease  is unknown##334#</v>
      </c>
      <c r="L24" s="12" t="str">
        <f t="shared" si="1"/>
        <v>* unknown ^comment = ##334#True; False##334#</v>
      </c>
      <c r="M24"/>
    </row>
    <row r="25" spans="1:13" ht="19.899999999999999" customHeight="1">
      <c r="A25" s="139">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4" t="s">
        <v>2000</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1888</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1991</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1991</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3" t="s">
        <v>1992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1993</v>
      </c>
      <c r="E16" s="12"/>
      <c r="F16" s="64" t="s">
        <v>1407</v>
      </c>
      <c r="G16" s="123" t="s">
        <v>2007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1994</v>
      </c>
      <c r="E17" s="12"/>
      <c r="F17" s="145" t="s">
        <v>1407</v>
      </c>
      <c r="G17" s="123" t="s">
        <v>2007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0" t="s">
        <v>1407</v>
      </c>
      <c r="G18" s="122" t="s">
        <v>2002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1995</v>
      </c>
      <c r="E19" s="12"/>
      <c r="F19" s="64" t="s">
        <v>1430</v>
      </c>
      <c r="G19" s="123" t="s">
        <v>2007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1996</v>
      </c>
      <c r="E20" s="12"/>
      <c r="F20" s="64" t="s">
        <v>1429</v>
      </c>
      <c r="G20" s="123" t="s">
        <v>2007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1997</v>
      </c>
      <c r="E21" s="12"/>
      <c r="F21" s="64" t="s">
        <v>1407</v>
      </c>
      <c r="G21" s="123" t="s">
        <v>2008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6" t="s">
        <v>2001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2" t="s">
        <v>2001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2" t="s">
        <v>2001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2" t="s">
        <v>2001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2" t="s">
        <v>2001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2" t="s">
        <v>2001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2" t="s">
        <v>2001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2" t="s">
        <v>2001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2" t="s">
        <v>2001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2" t="s">
        <v>2001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3"/>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3"/>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3"/>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3"/>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3"/>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3"/>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3"/>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3"/>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3"/>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3"/>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3"/>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3"/>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3"/>
      <c r="P45" s="11">
        <v>31</v>
      </c>
      <c r="Q45" s="11">
        <f t="shared" si="5"/>
        <v>5</v>
      </c>
      <c r="R45" s="11">
        <f t="shared" si="6"/>
        <v>1</v>
      </c>
      <c r="S45" s="12" t="str" cm="1">
        <f t="array" ref="S45">INDEX('ClinicalStage-ConceptMap-1'!$I$15:$N$124,Q45+1,R45)</f>
        <v>* group[=].element[+].code = #ClinicalStage.clinicalStaging</v>
      </c>
    </row>
    <row r="46" spans="1:19">
      <c r="B46" s="11"/>
      <c r="C46" s="11"/>
      <c r="G46" s="123"/>
      <c r="P46" s="11">
        <v>32</v>
      </c>
      <c r="Q46" s="11">
        <f t="shared" si="5"/>
        <v>5</v>
      </c>
      <c r="R46" s="11">
        <f t="shared" si="6"/>
        <v>2</v>
      </c>
      <c r="S46" s="12" t="str" cm="1">
        <f t="array" ref="S46">INDEX('ClinicalStage-ConceptMap-1'!$I$15:$N$124,Q46+1,R46)</f>
        <v>* group[=].element[=].display = ##34#Clinical staging##34#</v>
      </c>
    </row>
    <row r="47" spans="1:19">
      <c r="G47" s="123"/>
      <c r="P47" s="11">
        <v>33</v>
      </c>
      <c r="Q47" s="11">
        <f t="shared" si="5"/>
        <v>5</v>
      </c>
      <c r="R47" s="11">
        <f t="shared" si="6"/>
        <v>3</v>
      </c>
      <c r="S47" s="12" t="str" cm="1">
        <f t="array" ref="S47">INDEX('ClinicalStage-ConceptMap-1'!$I$15:$N$124,Q47+1,R47)</f>
        <v>* group[=].element[=].target.code = #Observation.valueCodeableConcept</v>
      </c>
    </row>
    <row r="48" spans="1:19">
      <c r="G48" s="123"/>
      <c r="P48" s="11">
        <v>34</v>
      </c>
      <c r="Q48" s="11">
        <f t="shared" si="5"/>
        <v>5</v>
      </c>
      <c r="R48" s="11">
        <f t="shared" si="6"/>
        <v>4</v>
      </c>
      <c r="S48" s="12" t="str" cm="1">
        <f t="array" ref="S48">INDEX('ClinicalStage-ConceptMap-1'!$I$15:$N$124,Q48+1,R48)</f>
        <v>* group[=].element[=].target.display = ##34###34#</v>
      </c>
    </row>
    <row r="49" spans="7:19">
      <c r="G49" s="123"/>
      <c r="P49" s="11">
        <v>35</v>
      </c>
      <c r="Q49" s="11">
        <f t="shared" si="5"/>
        <v>5</v>
      </c>
      <c r="R49" s="11">
        <f t="shared" si="6"/>
        <v>5</v>
      </c>
      <c r="S49" s="12" t="str" cm="1">
        <f t="array" ref="S49">INDEX('ClinicalStage-ConceptMap-1'!$I$15:$N$124,Q49+1,R49)</f>
        <v>* group[=].element[=].target.equivalence = #equivalent</v>
      </c>
    </row>
    <row r="50" spans="7:19" ht="29.5">
      <c r="G50" s="123"/>
      <c r="P50" s="11">
        <v>36</v>
      </c>
      <c r="Q50" s="11">
        <f t="shared" si="5"/>
        <v>5</v>
      </c>
      <c r="R50" s="11">
        <f t="shared" si="6"/>
        <v>6</v>
      </c>
      <c r="S50" s="12" t="str" cm="1">
        <f t="array" ref="S50">INDEX('ClinicalStage-ConceptMap-1'!$I$15:$N$124,Q50+1,R50)</f>
        <v>* group[=].element[=].target.comment = ##34#where code = 21908-9 'Stage group.clinical'##34#</v>
      </c>
    </row>
    <row r="51" spans="7:19">
      <c r="G51" s="123"/>
      <c r="P51" s="11">
        <v>37</v>
      </c>
      <c r="Q51" s="11">
        <f t="shared" si="5"/>
        <v>6</v>
      </c>
      <c r="R51" s="11">
        <f t="shared" si="6"/>
        <v>1</v>
      </c>
      <c r="S51" s="12" t="str" cm="1">
        <f t="array" ref="S51">INDEX('ClinicalStage-ConceptMap-1'!$I$15:$N$124,Q51+1,R51)</f>
        <v>* group[=].element[+].code = #ClinicalStage.ajccEdition</v>
      </c>
    </row>
    <row r="52" spans="7:19">
      <c r="G52" s="123"/>
      <c r="P52" s="11">
        <v>38</v>
      </c>
      <c r="Q52" s="11">
        <f t="shared" si="5"/>
        <v>6</v>
      </c>
      <c r="R52" s="11">
        <f t="shared" si="6"/>
        <v>2</v>
      </c>
      <c r="S52" s="12" t="str" cm="1">
        <f t="array" ref="S52">INDEX('ClinicalStage-ConceptMap-1'!$I$15:$N$124,Q52+1,R52)</f>
        <v>* group[=].element[=].display = ##34#Ajcc edition##34#</v>
      </c>
    </row>
    <row r="53" spans="7:19" ht="29.5">
      <c r="G53" s="123"/>
      <c r="P53" s="11">
        <v>39</v>
      </c>
      <c r="Q53" s="11">
        <f t="shared" si="5"/>
        <v>6</v>
      </c>
      <c r="R53" s="11">
        <f t="shared" si="6"/>
        <v>3</v>
      </c>
      <c r="S53" s="12" t="str" cm="1">
        <f t="array" ref="S53">INDEX('ClinicalStage-ConceptMap-1'!$I$15:$N$124,Q53+1,R53)</f>
        <v>* group[=].element[=].target.code = #Observation.valueCodeableConcept.coding.system</v>
      </c>
    </row>
    <row r="54" spans="7:19">
      <c r="G54" s="123"/>
      <c r="P54" s="11">
        <v>40</v>
      </c>
      <c r="Q54" s="11">
        <f t="shared" si="5"/>
        <v>6</v>
      </c>
      <c r="R54" s="11">
        <f t="shared" si="6"/>
        <v>4</v>
      </c>
      <c r="S54" s="12" t="str" cm="1">
        <f t="array" ref="S54">INDEX('ClinicalStage-ConceptMap-1'!$I$15:$N$124,Q54+1,R54)</f>
        <v>* group[=].element[=].target.display = ##34###34#</v>
      </c>
    </row>
    <row r="55" spans="7:19">
      <c r="G55" s="123"/>
      <c r="P55" s="11">
        <v>41</v>
      </c>
      <c r="Q55" s="11">
        <f t="shared" si="5"/>
        <v>6</v>
      </c>
      <c r="R55" s="11">
        <f t="shared" si="6"/>
        <v>5</v>
      </c>
      <c r="S55" s="12" t="str" cm="1">
        <f t="array" ref="S55">INDEX('ClinicalStage-ConceptMap-1'!$I$15:$N$124,Q55+1,R55)</f>
        <v>* group[=].element[=].target.equivalence = #relatedto</v>
      </c>
    </row>
    <row r="56" spans="7:19" ht="44.25">
      <c r="G56" s="123"/>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3"/>
      <c r="P57" s="11">
        <v>43</v>
      </c>
      <c r="Q57" s="11">
        <f t="shared" si="5"/>
        <v>7</v>
      </c>
      <c r="R57" s="11">
        <f t="shared" si="6"/>
        <v>1</v>
      </c>
      <c r="S57" s="12" t="str" cm="1">
        <f t="array" ref="S57">INDEX('ClinicalStage-ConceptMap-1'!$I$15:$N$124,Q57+1,R57)</f>
        <v>* group[=].element[+].code = #ClinicalStage.softTissue</v>
      </c>
    </row>
    <row r="58" spans="7:19">
      <c r="G58" s="123"/>
      <c r="P58" s="11">
        <v>44</v>
      </c>
      <c r="Q58" s="11">
        <f t="shared" si="5"/>
        <v>7</v>
      </c>
      <c r="R58" s="11">
        <f t="shared" si="6"/>
        <v>2</v>
      </c>
      <c r="S58" s="12" t="str" cm="1">
        <f t="array" ref="S58">INDEX('ClinicalStage-ConceptMap-1'!$I$15:$N$124,Q58+1,R58)</f>
        <v>* group[=].element[=].display = ##34#Soft tissue##34#</v>
      </c>
    </row>
    <row r="59" spans="7:19">
      <c r="G59" s="123"/>
      <c r="P59" s="11">
        <v>45</v>
      </c>
      <c r="Q59" s="11">
        <f t="shared" si="5"/>
        <v>7</v>
      </c>
      <c r="R59" s="11">
        <f t="shared" si="6"/>
        <v>3</v>
      </c>
      <c r="S59" s="12" t="str" cm="1">
        <f t="array" ref="S59">INDEX('ClinicalStage-ConceptMap-1'!$I$15:$N$124,Q59+1,R59)</f>
        <v>* group[=].element[=].target.code = #Observation.</v>
      </c>
    </row>
    <row r="60" spans="7:19">
      <c r="G60" s="123"/>
      <c r="P60" s="11">
        <v>46</v>
      </c>
      <c r="Q60" s="11">
        <f t="shared" si="5"/>
        <v>7</v>
      </c>
      <c r="R60" s="11">
        <f t="shared" si="6"/>
        <v>4</v>
      </c>
      <c r="S60" s="12" t="str" cm="1">
        <f t="array" ref="S60">INDEX('ClinicalStage-ConceptMap-1'!$I$15:$N$124,Q60+1,R60)</f>
        <v>* group[=].element[=].target.display = ##34###34#</v>
      </c>
    </row>
    <row r="61" spans="7:19">
      <c r="G61" s="123"/>
      <c r="P61" s="11">
        <v>47</v>
      </c>
      <c r="Q61" s="11">
        <f t="shared" si="5"/>
        <v>7</v>
      </c>
      <c r="R61" s="11">
        <f t="shared" si="6"/>
        <v>5</v>
      </c>
      <c r="S61" s="12" t="str" cm="1">
        <f t="array" ref="S61">INDEX('ClinicalStage-ConceptMap-1'!$I$15:$N$124,Q61+1,R61)</f>
        <v>* group[=].element[=].target.equivalence = #relatedto</v>
      </c>
    </row>
    <row r="62" spans="7:19" ht="29.5">
      <c r="G62" s="123"/>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3"/>
      <c r="P63" s="11">
        <v>49</v>
      </c>
      <c r="Q63" s="11">
        <f t="shared" si="5"/>
        <v>8</v>
      </c>
      <c r="R63" s="11">
        <f t="shared" si="6"/>
        <v>1</v>
      </c>
      <c r="S63" s="12" t="str" cm="1">
        <f t="array" ref="S63">INDEX('ClinicalStage-ConceptMap-1'!$I$15:$N$124,Q63+1,R63)</f>
        <v>* group[=].element[+].code = #ClinicalStage.distantLymphNode</v>
      </c>
    </row>
    <row r="64" spans="7:19">
      <c r="G64" s="123"/>
      <c r="P64" s="11">
        <v>50</v>
      </c>
      <c r="Q64" s="11">
        <f t="shared" si="5"/>
        <v>8</v>
      </c>
      <c r="R64" s="11">
        <f t="shared" si="6"/>
        <v>2</v>
      </c>
      <c r="S64" s="12" t="str" cm="1">
        <f t="array" ref="S64">INDEX('ClinicalStage-ConceptMap-1'!$I$15:$N$124,Q64+1,R64)</f>
        <v>* group[=].element[=].display = ##34#distant lymph node##34#</v>
      </c>
    </row>
    <row r="65" spans="7:19">
      <c r="G65" s="123"/>
      <c r="P65" s="11">
        <v>51</v>
      </c>
      <c r="Q65" s="11">
        <f t="shared" si="5"/>
        <v>8</v>
      </c>
      <c r="R65" s="11">
        <f t="shared" si="6"/>
        <v>3</v>
      </c>
      <c r="S65" s="12" t="str" cm="1">
        <f t="array" ref="S65">INDEX('ClinicalStage-ConceptMap-1'!$I$15:$N$124,Q65+1,R65)</f>
        <v>* group[=].element[=].target.code = #Observation.</v>
      </c>
    </row>
    <row r="66" spans="7:19">
      <c r="G66" s="123"/>
      <c r="P66" s="11">
        <v>52</v>
      </c>
      <c r="Q66" s="11">
        <f t="shared" si="5"/>
        <v>8</v>
      </c>
      <c r="R66" s="11">
        <f t="shared" si="6"/>
        <v>4</v>
      </c>
      <c r="S66" s="12" t="str" cm="1">
        <f t="array" ref="S66">INDEX('ClinicalStage-ConceptMap-1'!$I$15:$N$124,Q66+1,R66)</f>
        <v>* group[=].element[=].target.display = ##34###34#</v>
      </c>
    </row>
    <row r="67" spans="7:19">
      <c r="G67" s="123"/>
      <c r="P67" s="11">
        <v>53</v>
      </c>
      <c r="Q67" s="11">
        <f t="shared" si="5"/>
        <v>8</v>
      </c>
      <c r="R67" s="11">
        <f t="shared" si="6"/>
        <v>5</v>
      </c>
      <c r="S67" s="12" t="str" cm="1">
        <f t="array" ref="S67">INDEX('ClinicalStage-ConceptMap-1'!$I$15:$N$124,Q67+1,R67)</f>
        <v>* group[=].element[=].target.equivalence = #relatedto</v>
      </c>
    </row>
    <row r="68" spans="7:19" ht="29.5">
      <c r="G68" s="123"/>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3"/>
      <c r="P69" s="11">
        <v>55</v>
      </c>
      <c r="Q69" s="11">
        <f t="shared" si="5"/>
        <v>9</v>
      </c>
      <c r="R69" s="11">
        <f t="shared" si="6"/>
        <v>1</v>
      </c>
      <c r="S69" s="12" t="str" cm="1">
        <f t="array" ref="S69">INDEX('ClinicalStage-ConceptMap-1'!$I$15:$N$124,Q69+1,R69)</f>
        <v>* group[=].element[+].code = #ClinicalStage.lung</v>
      </c>
    </row>
    <row r="70" spans="7:19">
      <c r="G70" s="123"/>
      <c r="P70" s="11">
        <v>56</v>
      </c>
      <c r="Q70" s="11">
        <f t="shared" si="5"/>
        <v>9</v>
      </c>
      <c r="R70" s="11">
        <f t="shared" si="6"/>
        <v>2</v>
      </c>
      <c r="S70" s="12" t="str" cm="1">
        <f t="array" ref="S70">INDEX('ClinicalStage-ConceptMap-1'!$I$15:$N$124,Q70+1,R70)</f>
        <v>* group[=].element[=].display = ##34#lung##34#</v>
      </c>
    </row>
    <row r="71" spans="7:19">
      <c r="G71" s="123"/>
      <c r="P71" s="11">
        <v>57</v>
      </c>
      <c r="Q71" s="11">
        <f t="shared" si="5"/>
        <v>9</v>
      </c>
      <c r="R71" s="11">
        <f t="shared" si="6"/>
        <v>3</v>
      </c>
      <c r="S71" s="12" t="str" cm="1">
        <f t="array" ref="S71">INDEX('ClinicalStage-ConceptMap-1'!$I$15:$N$124,Q71+1,R71)</f>
        <v>* group[=].element[=].target.code = #Observation.</v>
      </c>
    </row>
    <row r="72" spans="7:19">
      <c r="G72" s="123"/>
      <c r="P72" s="11">
        <v>58</v>
      </c>
      <c r="Q72" s="11">
        <f t="shared" si="5"/>
        <v>9</v>
      </c>
      <c r="R72" s="11">
        <f t="shared" si="6"/>
        <v>4</v>
      </c>
      <c r="S72" s="12" t="str" cm="1">
        <f t="array" ref="S72">INDEX('ClinicalStage-ConceptMap-1'!$I$15:$N$124,Q72+1,R72)</f>
        <v>* group[=].element[=].target.display = ##34###34#</v>
      </c>
    </row>
    <row r="73" spans="7:19">
      <c r="G73" s="123"/>
      <c r="P73" s="11">
        <v>59</v>
      </c>
      <c r="Q73" s="11">
        <f t="shared" si="5"/>
        <v>9</v>
      </c>
      <c r="R73" s="11">
        <f t="shared" si="6"/>
        <v>5</v>
      </c>
      <c r="S73" s="12" t="str" cm="1">
        <f t="array" ref="S73">INDEX('ClinicalStage-ConceptMap-1'!$I$15:$N$124,Q73+1,R73)</f>
        <v>* group[=].element[=].target.equivalence = #relatedto</v>
      </c>
    </row>
    <row r="74" spans="7:19" ht="29.5">
      <c r="G74" s="123"/>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3"/>
      <c r="P75" s="11">
        <v>61</v>
      </c>
      <c r="Q75" s="11">
        <f t="shared" si="5"/>
        <v>10</v>
      </c>
      <c r="R75" s="11">
        <f t="shared" si="6"/>
        <v>1</v>
      </c>
      <c r="S75" s="12" t="str" cm="1">
        <f t="array" ref="S75">INDEX('ClinicalStage-ConceptMap-1'!$I$15:$N$124,Q75+1,R75)</f>
        <v>* group[=].element[+].code = #ClinicalStage.bone</v>
      </c>
    </row>
    <row r="76" spans="7:19">
      <c r="G76" s="123"/>
      <c r="P76" s="11">
        <v>62</v>
      </c>
      <c r="Q76" s="11">
        <f t="shared" si="5"/>
        <v>10</v>
      </c>
      <c r="R76" s="11">
        <f t="shared" si="6"/>
        <v>2</v>
      </c>
      <c r="S76" s="12" t="str" cm="1">
        <f t="array" ref="S76">INDEX('ClinicalStage-ConceptMap-1'!$I$15:$N$124,Q76+1,R76)</f>
        <v>* group[=].element[=].display = ##34#bone##34#</v>
      </c>
    </row>
    <row r="77" spans="7:19">
      <c r="G77" s="123"/>
      <c r="P77" s="11">
        <v>63</v>
      </c>
      <c r="Q77" s="11">
        <f t="shared" si="5"/>
        <v>10</v>
      </c>
      <c r="R77" s="11">
        <f t="shared" si="6"/>
        <v>3</v>
      </c>
      <c r="S77" s="12" t="str" cm="1">
        <f t="array" ref="S77">INDEX('ClinicalStage-ConceptMap-1'!$I$15:$N$124,Q77+1,R77)</f>
        <v>* group[=].element[=].target.code = #Observation.</v>
      </c>
    </row>
    <row r="78" spans="7:19">
      <c r="G78" s="123"/>
      <c r="P78" s="11">
        <v>64</v>
      </c>
      <c r="Q78" s="11">
        <f t="shared" si="5"/>
        <v>10</v>
      </c>
      <c r="R78" s="11">
        <f t="shared" si="6"/>
        <v>4</v>
      </c>
      <c r="S78" s="12" t="str" cm="1">
        <f t="array" ref="S78">INDEX('ClinicalStage-ConceptMap-1'!$I$15:$N$124,Q78+1,R78)</f>
        <v>* group[=].element[=].target.display = ##34###34#</v>
      </c>
    </row>
    <row r="79" spans="7:19">
      <c r="G79" s="123"/>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3"/>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3"/>
      <c r="P81" s="11">
        <v>67</v>
      </c>
      <c r="Q81" s="11">
        <f t="shared" si="8"/>
        <v>11</v>
      </c>
      <c r="R81" s="11">
        <f t="shared" si="9"/>
        <v>1</v>
      </c>
      <c r="S81" s="12" t="str" cm="1">
        <f t="array" ref="S81">INDEX('ClinicalStage-ConceptMap-1'!$I$15:$N$124,Q81+1,R81)</f>
        <v>* group[=].element[+].code = #ClinicalStage.liver</v>
      </c>
    </row>
    <row r="82" spans="7:19">
      <c r="G82" s="123"/>
      <c r="P82" s="11">
        <v>68</v>
      </c>
      <c r="Q82" s="11">
        <f t="shared" si="8"/>
        <v>11</v>
      </c>
      <c r="R82" s="11">
        <f t="shared" si="9"/>
        <v>2</v>
      </c>
      <c r="S82" s="12" t="str" cm="1">
        <f t="array" ref="S82">INDEX('ClinicalStage-ConceptMap-1'!$I$15:$N$124,Q82+1,R82)</f>
        <v>* group[=].element[=].display = ##34#liver##34#</v>
      </c>
    </row>
    <row r="83" spans="7:19">
      <c r="G83" s="123"/>
      <c r="P83" s="11">
        <v>69</v>
      </c>
      <c r="Q83" s="11">
        <f t="shared" si="8"/>
        <v>11</v>
      </c>
      <c r="R83" s="11">
        <f t="shared" si="9"/>
        <v>3</v>
      </c>
      <c r="S83" s="12" t="str" cm="1">
        <f t="array" ref="S83">INDEX('ClinicalStage-ConceptMap-1'!$I$15:$N$124,Q83+1,R83)</f>
        <v>* group[=].element[=].target.code = #Observation.</v>
      </c>
    </row>
    <row r="84" spans="7:19">
      <c r="G84" s="123"/>
      <c r="P84" s="11">
        <v>70</v>
      </c>
      <c r="Q84" s="11">
        <f t="shared" si="8"/>
        <v>11</v>
      </c>
      <c r="R84" s="11">
        <f t="shared" si="9"/>
        <v>4</v>
      </c>
      <c r="S84" s="12" t="str" cm="1">
        <f t="array" ref="S84">INDEX('ClinicalStage-ConceptMap-1'!$I$15:$N$124,Q84+1,R84)</f>
        <v>* group[=].element[=].target.display = ##34###34#</v>
      </c>
    </row>
    <row r="85" spans="7:19">
      <c r="G85" s="123"/>
      <c r="P85" s="11">
        <v>71</v>
      </c>
      <c r="Q85" s="11">
        <f t="shared" si="8"/>
        <v>11</v>
      </c>
      <c r="R85" s="11">
        <f t="shared" si="9"/>
        <v>5</v>
      </c>
      <c r="S85" s="12" t="str" cm="1">
        <f t="array" ref="S85">INDEX('ClinicalStage-ConceptMap-1'!$I$15:$N$124,Q85+1,R85)</f>
        <v>* group[=].element[=].target.equivalence = #relatedto</v>
      </c>
    </row>
    <row r="86" spans="7:19" ht="29.5">
      <c r="G86" s="123"/>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3"/>
      <c r="P87" s="11">
        <v>73</v>
      </c>
      <c r="Q87" s="11">
        <f t="shared" si="8"/>
        <v>12</v>
      </c>
      <c r="R87" s="11">
        <f t="shared" si="9"/>
        <v>1</v>
      </c>
      <c r="S87" s="12" t="str" cm="1">
        <f t="array" ref="S87">INDEX('ClinicalStage-ConceptMap-1'!$I$15:$N$124,Q87+1,R87)</f>
        <v>* group[=].element[+].code = #ClinicalStage.pleura</v>
      </c>
    </row>
    <row r="88" spans="7:19">
      <c r="G88" s="123"/>
      <c r="P88" s="11">
        <v>74</v>
      </c>
      <c r="Q88" s="11">
        <f t="shared" si="8"/>
        <v>12</v>
      </c>
      <c r="R88" s="11">
        <f t="shared" si="9"/>
        <v>2</v>
      </c>
      <c r="S88" s="12" t="str" cm="1">
        <f t="array" ref="S88">INDEX('ClinicalStage-ConceptMap-1'!$I$15:$N$124,Q88+1,R88)</f>
        <v>* group[=].element[=].display = ##34#pleura##34#</v>
      </c>
    </row>
    <row r="89" spans="7:19">
      <c r="G89" s="123"/>
      <c r="P89" s="11">
        <v>75</v>
      </c>
      <c r="Q89" s="11">
        <f t="shared" si="8"/>
        <v>12</v>
      </c>
      <c r="R89" s="11">
        <f t="shared" si="9"/>
        <v>3</v>
      </c>
      <c r="S89" s="12" t="str" cm="1">
        <f t="array" ref="S89">INDEX('ClinicalStage-ConceptMap-1'!$I$15:$N$124,Q89+1,R89)</f>
        <v>* group[=].element[=].target.code = #Observation.</v>
      </c>
    </row>
    <row r="90" spans="7:19">
      <c r="G90" s="123"/>
      <c r="P90" s="11">
        <v>76</v>
      </c>
      <c r="Q90" s="11">
        <f t="shared" si="8"/>
        <v>12</v>
      </c>
      <c r="R90" s="11">
        <f t="shared" si="9"/>
        <v>4</v>
      </c>
      <c r="S90" s="12" t="str" cm="1">
        <f t="array" ref="S90">INDEX('ClinicalStage-ConceptMap-1'!$I$15:$N$124,Q90+1,R90)</f>
        <v>* group[=].element[=].target.display = ##34###34#</v>
      </c>
    </row>
    <row r="91" spans="7:19">
      <c r="G91" s="123"/>
      <c r="P91" s="11">
        <v>77</v>
      </c>
      <c r="Q91" s="11">
        <f t="shared" si="8"/>
        <v>12</v>
      </c>
      <c r="R91" s="11">
        <f t="shared" si="9"/>
        <v>5</v>
      </c>
      <c r="S91" s="12" t="str" cm="1">
        <f t="array" ref="S91">INDEX('ClinicalStage-ConceptMap-1'!$I$15:$N$124,Q91+1,R91)</f>
        <v>* group[=].element[=].target.equivalence = #relatedto</v>
      </c>
    </row>
    <row r="92" spans="7:19" ht="29.5">
      <c r="G92" s="123"/>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3"/>
      <c r="P93" s="11">
        <v>79</v>
      </c>
      <c r="Q93" s="11">
        <f t="shared" si="8"/>
        <v>13</v>
      </c>
      <c r="R93" s="11">
        <f t="shared" si="9"/>
        <v>1</v>
      </c>
      <c r="S93" s="12" t="str" cm="1">
        <f t="array" ref="S93">INDEX('ClinicalStage-ConceptMap-1'!$I$15:$N$124,Q93+1,R93)</f>
        <v>* group[=].element[+].code = #ClinicalStage.peritoneum</v>
      </c>
    </row>
    <row r="94" spans="7:19">
      <c r="G94" s="123"/>
      <c r="P94" s="11">
        <v>80</v>
      </c>
      <c r="Q94" s="11">
        <f t="shared" si="8"/>
        <v>13</v>
      </c>
      <c r="R94" s="11">
        <f t="shared" si="9"/>
        <v>2</v>
      </c>
      <c r="S94" s="12" t="str" cm="1">
        <f t="array" ref="S94">INDEX('ClinicalStage-ConceptMap-1'!$I$15:$N$124,Q94+1,R94)</f>
        <v>* group[=].element[=].display = ##34#peritoneum##34#</v>
      </c>
    </row>
    <row r="95" spans="7:19">
      <c r="G95" s="123"/>
      <c r="P95" s="11">
        <v>81</v>
      </c>
      <c r="Q95" s="11">
        <f t="shared" si="8"/>
        <v>13</v>
      </c>
      <c r="R95" s="11">
        <f t="shared" si="9"/>
        <v>3</v>
      </c>
      <c r="S95" s="12" t="str" cm="1">
        <f t="array" ref="S95">INDEX('ClinicalStage-ConceptMap-1'!$I$15:$N$124,Q95+1,R95)</f>
        <v>* group[=].element[=].target.code = #Observation.</v>
      </c>
    </row>
    <row r="96" spans="7:19">
      <c r="G96" s="123"/>
      <c r="P96" s="11">
        <v>82</v>
      </c>
      <c r="Q96" s="11">
        <f t="shared" si="8"/>
        <v>13</v>
      </c>
      <c r="R96" s="11">
        <f t="shared" si="9"/>
        <v>4</v>
      </c>
      <c r="S96" s="12" t="str" cm="1">
        <f t="array" ref="S96">INDEX('ClinicalStage-ConceptMap-1'!$I$15:$N$124,Q96+1,R96)</f>
        <v>* group[=].element[=].target.display = ##34###34#</v>
      </c>
    </row>
    <row r="97" spans="7:19">
      <c r="G97" s="123"/>
      <c r="P97" s="11">
        <v>83</v>
      </c>
      <c r="Q97" s="11">
        <f t="shared" si="8"/>
        <v>13</v>
      </c>
      <c r="R97" s="11">
        <f t="shared" si="9"/>
        <v>5</v>
      </c>
      <c r="S97" s="12" t="str" cm="1">
        <f t="array" ref="S97">INDEX('ClinicalStage-ConceptMap-1'!$I$15:$N$124,Q97+1,R97)</f>
        <v>* group[=].element[=].target.equivalence = #relatedto</v>
      </c>
    </row>
    <row r="98" spans="7:19" ht="29.5">
      <c r="G98" s="123"/>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3"/>
      <c r="P99" s="11">
        <v>85</v>
      </c>
      <c r="Q99" s="11">
        <f t="shared" si="8"/>
        <v>14</v>
      </c>
      <c r="R99" s="11">
        <f t="shared" si="9"/>
        <v>1</v>
      </c>
      <c r="S99" s="12" t="str" cm="1">
        <f t="array" ref="S99">INDEX('ClinicalStage-ConceptMap-1'!$I$15:$N$124,Q99+1,R99)</f>
        <v>* group[=].element[+].code = #ClinicalStage.brain</v>
      </c>
    </row>
    <row r="100" spans="7:19">
      <c r="G100" s="123"/>
      <c r="P100" s="11">
        <v>86</v>
      </c>
      <c r="Q100" s="11">
        <f t="shared" si="8"/>
        <v>14</v>
      </c>
      <c r="R100" s="11">
        <f t="shared" si="9"/>
        <v>2</v>
      </c>
      <c r="S100" s="12" t="str" cm="1">
        <f t="array" ref="S100">INDEX('ClinicalStage-ConceptMap-1'!$I$15:$N$124,Q100+1,R100)</f>
        <v>* group[=].element[=].display = ##34#brain##34#</v>
      </c>
    </row>
    <row r="101" spans="7:19">
      <c r="G101" s="123"/>
      <c r="P101" s="11">
        <v>87</v>
      </c>
      <c r="Q101" s="11">
        <f t="shared" si="8"/>
        <v>14</v>
      </c>
      <c r="R101" s="11">
        <f t="shared" si="9"/>
        <v>3</v>
      </c>
      <c r="S101" s="12" t="str" cm="1">
        <f t="array" ref="S101">INDEX('ClinicalStage-ConceptMap-1'!$I$15:$N$124,Q101+1,R101)</f>
        <v>* group[=].element[=].target.code = #Observation.</v>
      </c>
    </row>
    <row r="102" spans="7:19">
      <c r="G102" s="123"/>
      <c r="P102" s="11">
        <v>88</v>
      </c>
      <c r="Q102" s="11">
        <f t="shared" si="8"/>
        <v>14</v>
      </c>
      <c r="R102" s="11">
        <f t="shared" si="9"/>
        <v>4</v>
      </c>
      <c r="S102" s="12" t="str" cm="1">
        <f t="array" ref="S102">INDEX('ClinicalStage-ConceptMap-1'!$I$15:$N$124,Q102+1,R102)</f>
        <v>* group[=].element[=].target.display = ##34###34#</v>
      </c>
    </row>
    <row r="103" spans="7:19">
      <c r="G103" s="123"/>
      <c r="P103" s="11">
        <v>89</v>
      </c>
      <c r="Q103" s="11">
        <f t="shared" si="8"/>
        <v>14</v>
      </c>
      <c r="R103" s="11">
        <f t="shared" si="9"/>
        <v>5</v>
      </c>
      <c r="S103" s="12" t="str" cm="1">
        <f t="array" ref="S103">INDEX('ClinicalStage-ConceptMap-1'!$I$15:$N$124,Q103+1,R103)</f>
        <v>* group[=].element[=].target.equivalence = #relatedto</v>
      </c>
    </row>
    <row r="104" spans="7:19" ht="29.5">
      <c r="G104" s="123"/>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3"/>
      <c r="P105" s="11">
        <v>91</v>
      </c>
      <c r="Q105" s="11">
        <f t="shared" si="8"/>
        <v>15</v>
      </c>
      <c r="R105" s="11">
        <f t="shared" si="9"/>
        <v>1</v>
      </c>
      <c r="S105" s="12" t="str" cm="1">
        <f t="array" ref="S105">INDEX('ClinicalStage-ConceptMap-1'!$I$15:$N$124,Q105+1,R105)</f>
        <v>* group[=].element[+].code = #ClinicalStage.otherViscera</v>
      </c>
    </row>
    <row r="106" spans="7:19">
      <c r="G106" s="123"/>
      <c r="P106" s="11">
        <v>92</v>
      </c>
      <c r="Q106" s="11">
        <f t="shared" si="8"/>
        <v>15</v>
      </c>
      <c r="R106" s="11">
        <f t="shared" si="9"/>
        <v>2</v>
      </c>
      <c r="S106" s="12" t="str" cm="1">
        <f t="array" ref="S106">INDEX('ClinicalStage-ConceptMap-1'!$I$15:$N$124,Q106+1,R106)</f>
        <v>* group[=].element[=].display = ##34#other viscera##34#</v>
      </c>
    </row>
    <row r="107" spans="7:19">
      <c r="G107" s="123"/>
      <c r="P107" s="11">
        <v>93</v>
      </c>
      <c r="Q107" s="11">
        <f t="shared" si="8"/>
        <v>15</v>
      </c>
      <c r="R107" s="11">
        <f t="shared" si="9"/>
        <v>3</v>
      </c>
      <c r="S107" s="12" t="str" cm="1">
        <f t="array" ref="S107">INDEX('ClinicalStage-ConceptMap-1'!$I$15:$N$124,Q107+1,R107)</f>
        <v>* group[=].element[=].target.code = #Observation.</v>
      </c>
    </row>
    <row r="108" spans="7:19">
      <c r="G108" s="123"/>
      <c r="P108" s="11">
        <v>94</v>
      </c>
      <c r="Q108" s="11">
        <f t="shared" si="8"/>
        <v>15</v>
      </c>
      <c r="R108" s="11">
        <f t="shared" si="9"/>
        <v>4</v>
      </c>
      <c r="S108" s="12" t="str" cm="1">
        <f t="array" ref="S108">INDEX('ClinicalStage-ConceptMap-1'!$I$15:$N$124,Q108+1,R108)</f>
        <v>* group[=].element[=].target.display = ##34###34#</v>
      </c>
    </row>
    <row r="109" spans="7:19">
      <c r="G109" s="123"/>
      <c r="P109" s="11">
        <v>95</v>
      </c>
      <c r="Q109" s="11">
        <f t="shared" si="8"/>
        <v>15</v>
      </c>
      <c r="R109" s="11">
        <f t="shared" si="9"/>
        <v>5</v>
      </c>
      <c r="S109" s="12" t="str" cm="1">
        <f t="array" ref="S109">INDEX('ClinicalStage-ConceptMap-1'!$I$15:$N$124,Q109+1,R109)</f>
        <v>* group[=].element[=].target.equivalence = #relatedto</v>
      </c>
    </row>
    <row r="110" spans="7:19" ht="29.5">
      <c r="G110" s="123"/>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3"/>
      <c r="P111" s="11">
        <v>97</v>
      </c>
      <c r="Q111" s="11">
        <f t="shared" si="8"/>
        <v>16</v>
      </c>
      <c r="R111" s="11">
        <f t="shared" si="9"/>
        <v>1</v>
      </c>
      <c r="S111" s="12" t="str" cm="1">
        <f t="array" ref="S111">INDEX('ClinicalStage-ConceptMap-1'!$I$15:$N$124,Q111+1,R111)</f>
        <v>* group[=].element[+].code = #ClinicalStage.unknown</v>
      </c>
    </row>
    <row r="112" spans="7:19">
      <c r="G112" s="123"/>
      <c r="P112" s="11">
        <v>98</v>
      </c>
      <c r="Q112" s="11">
        <f t="shared" si="8"/>
        <v>16</v>
      </c>
      <c r="R112" s="11">
        <f t="shared" si="9"/>
        <v>2</v>
      </c>
      <c r="S112" s="12" t="str" cm="1">
        <f t="array" ref="S112">INDEX('ClinicalStage-ConceptMap-1'!$I$15:$N$124,Q112+1,R112)</f>
        <v>* group[=].element[=].display = ##34#unknown##34#</v>
      </c>
    </row>
    <row r="113" spans="7:19">
      <c r="G113" s="123"/>
      <c r="P113" s="11">
        <v>99</v>
      </c>
      <c r="Q113" s="11">
        <f t="shared" si="8"/>
        <v>16</v>
      </c>
      <c r="R113" s="11">
        <f t="shared" si="9"/>
        <v>3</v>
      </c>
      <c r="S113" s="12" t="str" cm="1">
        <f t="array" ref="S113">INDEX('ClinicalStage-ConceptMap-1'!$I$15:$N$124,Q113+1,R113)</f>
        <v>* group[=].element[=].target.code = #Observation.</v>
      </c>
    </row>
    <row r="114" spans="7:19">
      <c r="G114" s="123"/>
      <c r="P114" s="11">
        <v>100</v>
      </c>
      <c r="Q114" s="11">
        <f t="shared" si="8"/>
        <v>16</v>
      </c>
      <c r="R114" s="11">
        <f t="shared" si="9"/>
        <v>4</v>
      </c>
      <c r="S114" s="12" t="str" cm="1">
        <f t="array" ref="S114">INDEX('ClinicalStage-ConceptMap-1'!$I$15:$N$124,Q114+1,R114)</f>
        <v>* group[=].element[=].target.display = ##34###34#</v>
      </c>
    </row>
    <row r="115" spans="7:19">
      <c r="G115" s="123"/>
      <c r="P115" s="11">
        <v>101</v>
      </c>
      <c r="Q115" s="11">
        <f t="shared" si="8"/>
        <v>16</v>
      </c>
      <c r="R115" s="11">
        <f t="shared" si="9"/>
        <v>5</v>
      </c>
      <c r="S115" s="12" t="str" cm="1">
        <f t="array" ref="S115">INDEX('ClinicalStage-ConceptMap-1'!$I$15:$N$124,Q115+1,R115)</f>
        <v>* group[=].element[=].target.equivalence = #relatedto</v>
      </c>
    </row>
    <row r="116" spans="7:19" ht="29.5">
      <c r="G116" s="123"/>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3"/>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2003</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2003</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5"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5"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5" t="s">
        <v>1424</v>
      </c>
      <c r="G18" s="123"/>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2004</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2004</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5"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5"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5"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3"/>
      <c r="P44" s="11">
        <v>30</v>
      </c>
      <c r="Q44" s="11">
        <f t="shared" si="6"/>
        <v>4</v>
      </c>
      <c r="R44" s="11">
        <f t="shared" si="7"/>
        <v>6</v>
      </c>
      <c r="S44" s="12" cm="1">
        <f t="array" ref="S44">INDEX('ClinicalStage-ConceptMap-3'!$I$15:$N$123,Q44+1,R44)</f>
        <v>0</v>
      </c>
    </row>
    <row r="45" spans="1:19">
      <c r="B45" s="11"/>
      <c r="C45" s="11"/>
      <c r="G45" s="123"/>
      <c r="P45" s="11">
        <v>31</v>
      </c>
      <c r="Q45" s="11">
        <f t="shared" si="6"/>
        <v>5</v>
      </c>
      <c r="R45" s="11">
        <f t="shared" si="7"/>
        <v>1</v>
      </c>
      <c r="S45" s="12" cm="1">
        <f t="array" ref="S45">INDEX('ClinicalStage-ConceptMap-3'!$I$15:$N$123,Q45+1,R45)</f>
        <v>0</v>
      </c>
    </row>
    <row r="46" spans="1:19">
      <c r="G46" s="123"/>
      <c r="P46" s="11">
        <v>32</v>
      </c>
      <c r="Q46" s="11">
        <f t="shared" si="6"/>
        <v>5</v>
      </c>
      <c r="R46" s="11">
        <f t="shared" si="7"/>
        <v>2</v>
      </c>
      <c r="S46" s="12" cm="1">
        <f t="array" ref="S46">INDEX('ClinicalStage-ConceptMap-3'!$I$15:$N$123,Q46+1,R46)</f>
        <v>0</v>
      </c>
    </row>
    <row r="47" spans="1:19">
      <c r="G47" s="123"/>
      <c r="P47" s="11">
        <v>33</v>
      </c>
      <c r="Q47" s="11">
        <f t="shared" si="6"/>
        <v>5</v>
      </c>
      <c r="R47" s="11">
        <f t="shared" si="7"/>
        <v>3</v>
      </c>
      <c r="S47" s="12" cm="1">
        <f t="array" ref="S47">INDEX('ClinicalStage-ConceptMap-3'!$I$15:$N$123,Q47+1,R47)</f>
        <v>0</v>
      </c>
    </row>
    <row r="48" spans="1:19">
      <c r="G48" s="123"/>
      <c r="P48" s="11">
        <v>34</v>
      </c>
      <c r="Q48" s="11">
        <f t="shared" si="6"/>
        <v>5</v>
      </c>
      <c r="R48" s="11">
        <f t="shared" si="7"/>
        <v>4</v>
      </c>
      <c r="S48" s="12" cm="1">
        <f t="array" ref="S48">INDEX('ClinicalStage-ConceptMap-3'!$I$15:$N$123,Q48+1,R48)</f>
        <v>0</v>
      </c>
    </row>
    <row r="49" spans="7:19">
      <c r="G49" s="123"/>
      <c r="P49" s="11">
        <v>35</v>
      </c>
      <c r="Q49" s="11">
        <f t="shared" si="6"/>
        <v>5</v>
      </c>
      <c r="R49" s="11">
        <f t="shared" si="7"/>
        <v>5</v>
      </c>
      <c r="S49" s="12" cm="1">
        <f t="array" ref="S49">INDEX('ClinicalStage-ConceptMap-3'!$I$15:$N$123,Q49+1,R49)</f>
        <v>0</v>
      </c>
    </row>
    <row r="50" spans="7:19">
      <c r="G50" s="123"/>
      <c r="P50" s="11">
        <v>36</v>
      </c>
      <c r="Q50" s="11">
        <f t="shared" si="6"/>
        <v>5</v>
      </c>
      <c r="R50" s="11">
        <f t="shared" si="7"/>
        <v>6</v>
      </c>
      <c r="S50" s="12" cm="1">
        <f t="array" ref="S50">INDEX('ClinicalStage-ConceptMap-3'!$I$15:$N$123,Q50+1,R50)</f>
        <v>0</v>
      </c>
    </row>
    <row r="51" spans="7:19">
      <c r="G51" s="123"/>
      <c r="P51" s="11">
        <v>37</v>
      </c>
      <c r="Q51" s="11">
        <f t="shared" si="6"/>
        <v>6</v>
      </c>
      <c r="R51" s="11">
        <f t="shared" si="7"/>
        <v>1</v>
      </c>
      <c r="S51" s="12" cm="1">
        <f t="array" ref="S51">INDEX('ClinicalStage-ConceptMap-3'!$I$15:$N$123,Q51+1,R51)</f>
        <v>0</v>
      </c>
    </row>
    <row r="52" spans="7:19">
      <c r="G52" s="123"/>
      <c r="P52" s="11">
        <v>38</v>
      </c>
      <c r="Q52" s="11">
        <f t="shared" si="6"/>
        <v>6</v>
      </c>
      <c r="R52" s="11">
        <f t="shared" si="7"/>
        <v>2</v>
      </c>
      <c r="S52" s="12" cm="1">
        <f t="array" ref="S52">INDEX('ClinicalStage-ConceptMap-3'!$I$15:$N$123,Q52+1,R52)</f>
        <v>0</v>
      </c>
    </row>
    <row r="53" spans="7:19">
      <c r="G53" s="123"/>
      <c r="P53" s="11">
        <v>39</v>
      </c>
      <c r="Q53" s="11">
        <f t="shared" si="6"/>
        <v>6</v>
      </c>
      <c r="R53" s="11">
        <f t="shared" si="7"/>
        <v>3</v>
      </c>
      <c r="S53" s="12" cm="1">
        <f t="array" ref="S53">INDEX('ClinicalStage-ConceptMap-3'!$I$15:$N$123,Q53+1,R53)</f>
        <v>0</v>
      </c>
    </row>
    <row r="54" spans="7:19">
      <c r="G54" s="123"/>
      <c r="P54" s="11">
        <v>40</v>
      </c>
      <c r="Q54" s="11">
        <f t="shared" si="6"/>
        <v>6</v>
      </c>
      <c r="R54" s="11">
        <f t="shared" si="7"/>
        <v>4</v>
      </c>
      <c r="S54" s="12" cm="1">
        <f t="array" ref="S54">INDEX('ClinicalStage-ConceptMap-3'!$I$15:$N$123,Q54+1,R54)</f>
        <v>0</v>
      </c>
    </row>
    <row r="55" spans="7:19">
      <c r="G55" s="123"/>
      <c r="P55" s="11">
        <v>41</v>
      </c>
      <c r="Q55" s="11">
        <f t="shared" si="6"/>
        <v>6</v>
      </c>
      <c r="R55" s="11">
        <f t="shared" si="7"/>
        <v>5</v>
      </c>
      <c r="S55" s="12" cm="1">
        <f t="array" ref="S55">INDEX('ClinicalStage-ConceptMap-3'!$I$15:$N$123,Q55+1,R55)</f>
        <v>0</v>
      </c>
    </row>
    <row r="56" spans="7:19">
      <c r="G56" s="123"/>
      <c r="P56" s="11">
        <v>42</v>
      </c>
      <c r="Q56" s="11">
        <f t="shared" si="6"/>
        <v>6</v>
      </c>
      <c r="R56" s="11">
        <f t="shared" si="7"/>
        <v>6</v>
      </c>
      <c r="S56" s="12" cm="1">
        <f t="array" ref="S56">INDEX('ClinicalStage-ConceptMap-3'!$I$15:$N$123,Q56+1,R56)</f>
        <v>0</v>
      </c>
    </row>
    <row r="57" spans="7:19">
      <c r="G57" s="123"/>
      <c r="P57" s="11">
        <v>43</v>
      </c>
      <c r="Q57" s="11">
        <f t="shared" si="6"/>
        <v>7</v>
      </c>
      <c r="R57" s="11">
        <f t="shared" si="7"/>
        <v>1</v>
      </c>
      <c r="S57" s="12" cm="1">
        <f t="array" ref="S57">INDEX('ClinicalStage-ConceptMap-3'!$I$15:$N$123,Q57+1,R57)</f>
        <v>0</v>
      </c>
    </row>
    <row r="58" spans="7:19">
      <c r="G58" s="123"/>
      <c r="P58" s="11">
        <v>44</v>
      </c>
      <c r="Q58" s="11">
        <f t="shared" si="6"/>
        <v>7</v>
      </c>
      <c r="R58" s="11">
        <f t="shared" si="7"/>
        <v>2</v>
      </c>
      <c r="S58" s="12" cm="1">
        <f t="array" ref="S58">INDEX('ClinicalStage-ConceptMap-3'!$I$15:$N$123,Q58+1,R58)</f>
        <v>0</v>
      </c>
    </row>
    <row r="59" spans="7:19">
      <c r="G59" s="123"/>
      <c r="P59" s="11">
        <v>45</v>
      </c>
      <c r="Q59" s="11">
        <f t="shared" si="6"/>
        <v>7</v>
      </c>
      <c r="R59" s="11">
        <f t="shared" si="7"/>
        <v>3</v>
      </c>
      <c r="S59" s="12" cm="1">
        <f t="array" ref="S59">INDEX('ClinicalStage-ConceptMap-3'!$I$15:$N$123,Q59+1,R59)</f>
        <v>0</v>
      </c>
    </row>
    <row r="60" spans="7:19">
      <c r="G60" s="123"/>
      <c r="P60" s="11">
        <v>46</v>
      </c>
      <c r="Q60" s="11">
        <f t="shared" si="6"/>
        <v>7</v>
      </c>
      <c r="R60" s="11">
        <f t="shared" si="7"/>
        <v>4</v>
      </c>
      <c r="S60" s="12" cm="1">
        <f t="array" ref="S60">INDEX('ClinicalStage-ConceptMap-3'!$I$15:$N$123,Q60+1,R60)</f>
        <v>0</v>
      </c>
    </row>
    <row r="61" spans="7:19">
      <c r="G61" s="123"/>
      <c r="P61" s="11">
        <v>47</v>
      </c>
      <c r="Q61" s="11">
        <f t="shared" si="6"/>
        <v>7</v>
      </c>
      <c r="R61" s="11">
        <f t="shared" si="7"/>
        <v>5</v>
      </c>
      <c r="S61" s="12" cm="1">
        <f t="array" ref="S61">INDEX('ClinicalStage-ConceptMap-3'!$I$15:$N$123,Q61+1,R61)</f>
        <v>0</v>
      </c>
    </row>
    <row r="62" spans="7:19">
      <c r="G62" s="123"/>
      <c r="P62" s="11">
        <v>48</v>
      </c>
      <c r="Q62" s="11">
        <f t="shared" si="6"/>
        <v>7</v>
      </c>
      <c r="R62" s="11">
        <f t="shared" si="7"/>
        <v>6</v>
      </c>
      <c r="S62" s="12" cm="1">
        <f t="array" ref="S62">INDEX('ClinicalStage-ConceptMap-3'!$I$15:$N$123,Q62+1,R62)</f>
        <v>0</v>
      </c>
    </row>
    <row r="63" spans="7:19">
      <c r="G63" s="123"/>
      <c r="P63" s="11">
        <v>49</v>
      </c>
      <c r="Q63" s="11">
        <f t="shared" si="6"/>
        <v>8</v>
      </c>
      <c r="R63" s="11">
        <f t="shared" si="7"/>
        <v>1</v>
      </c>
      <c r="S63" s="12" cm="1">
        <f t="array" ref="S63">INDEX('ClinicalStage-ConceptMap-3'!$I$15:$N$123,Q63+1,R63)</f>
        <v>0</v>
      </c>
    </row>
    <row r="64" spans="7:19">
      <c r="G64" s="123"/>
      <c r="P64" s="11">
        <v>50</v>
      </c>
      <c r="Q64" s="11">
        <f t="shared" si="6"/>
        <v>8</v>
      </c>
      <c r="R64" s="11">
        <f t="shared" si="7"/>
        <v>2</v>
      </c>
      <c r="S64" s="12" cm="1">
        <f t="array" ref="S64">INDEX('ClinicalStage-ConceptMap-3'!$I$15:$N$123,Q64+1,R64)</f>
        <v>0</v>
      </c>
    </row>
    <row r="65" spans="7:19">
      <c r="G65" s="123"/>
      <c r="P65" s="11">
        <v>51</v>
      </c>
      <c r="Q65" s="11">
        <f t="shared" si="6"/>
        <v>8</v>
      </c>
      <c r="R65" s="11">
        <f t="shared" si="7"/>
        <v>3</v>
      </c>
      <c r="S65" s="12" cm="1">
        <f t="array" ref="S65">INDEX('ClinicalStage-ConceptMap-3'!$I$15:$N$123,Q65+1,R65)</f>
        <v>0</v>
      </c>
    </row>
    <row r="66" spans="7:19">
      <c r="G66" s="123"/>
      <c r="P66" s="11">
        <v>52</v>
      </c>
      <c r="Q66" s="11">
        <f t="shared" si="6"/>
        <v>8</v>
      </c>
      <c r="R66" s="11">
        <f t="shared" si="7"/>
        <v>4</v>
      </c>
      <c r="S66" s="12" cm="1">
        <f t="array" ref="S66">INDEX('ClinicalStage-ConceptMap-3'!$I$15:$N$123,Q66+1,R66)</f>
        <v>0</v>
      </c>
    </row>
    <row r="67" spans="7:19">
      <c r="G67" s="123"/>
      <c r="P67" s="11">
        <v>53</v>
      </c>
      <c r="Q67" s="11">
        <f t="shared" si="6"/>
        <v>8</v>
      </c>
      <c r="R67" s="11">
        <f t="shared" si="7"/>
        <v>5</v>
      </c>
      <c r="S67" s="12" cm="1">
        <f t="array" ref="S67">INDEX('ClinicalStage-ConceptMap-3'!$I$15:$N$123,Q67+1,R67)</f>
        <v>0</v>
      </c>
    </row>
    <row r="68" spans="7:19">
      <c r="G68" s="123"/>
      <c r="P68" s="11">
        <v>54</v>
      </c>
      <c r="Q68" s="11">
        <f t="shared" si="6"/>
        <v>8</v>
      </c>
      <c r="R68" s="11">
        <f t="shared" si="7"/>
        <v>6</v>
      </c>
      <c r="S68" s="12" cm="1">
        <f t="array" ref="S68">INDEX('ClinicalStage-ConceptMap-3'!$I$15:$N$123,Q68+1,R68)</f>
        <v>0</v>
      </c>
    </row>
    <row r="69" spans="7:19">
      <c r="G69" s="123"/>
      <c r="P69" s="11">
        <v>55</v>
      </c>
      <c r="Q69" s="11">
        <f t="shared" si="6"/>
        <v>9</v>
      </c>
      <c r="R69" s="11">
        <f t="shared" si="7"/>
        <v>1</v>
      </c>
      <c r="S69" s="12" cm="1">
        <f t="array" ref="S69">INDEX('ClinicalStage-ConceptMap-3'!$I$15:$N$123,Q69+1,R69)</f>
        <v>0</v>
      </c>
    </row>
    <row r="70" spans="7:19">
      <c r="G70" s="123"/>
      <c r="P70" s="11">
        <v>56</v>
      </c>
      <c r="Q70" s="11">
        <f t="shared" si="6"/>
        <v>9</v>
      </c>
      <c r="R70" s="11">
        <f t="shared" si="7"/>
        <v>2</v>
      </c>
      <c r="S70" s="12" cm="1">
        <f t="array" ref="S70">INDEX('ClinicalStage-ConceptMap-3'!$I$15:$N$123,Q70+1,R70)</f>
        <v>0</v>
      </c>
    </row>
    <row r="71" spans="7:19">
      <c r="G71" s="123"/>
      <c r="P71" s="11">
        <v>57</v>
      </c>
      <c r="Q71" s="11">
        <f t="shared" si="6"/>
        <v>9</v>
      </c>
      <c r="R71" s="11">
        <f t="shared" si="7"/>
        <v>3</v>
      </c>
      <c r="S71" s="12" cm="1">
        <f t="array" ref="S71">INDEX('ClinicalStage-ConceptMap-3'!$I$15:$N$123,Q71+1,R71)</f>
        <v>0</v>
      </c>
    </row>
    <row r="72" spans="7:19">
      <c r="G72" s="123"/>
      <c r="P72" s="11">
        <v>58</v>
      </c>
      <c r="Q72" s="11">
        <f t="shared" si="6"/>
        <v>9</v>
      </c>
      <c r="R72" s="11">
        <f t="shared" si="7"/>
        <v>4</v>
      </c>
      <c r="S72" s="12" cm="1">
        <f t="array" ref="S72">INDEX('ClinicalStage-ConceptMap-3'!$I$15:$N$123,Q72+1,R72)</f>
        <v>0</v>
      </c>
    </row>
    <row r="73" spans="7:19">
      <c r="G73" s="123"/>
      <c r="P73" s="11">
        <v>59</v>
      </c>
      <c r="Q73" s="11">
        <f t="shared" si="6"/>
        <v>9</v>
      </c>
      <c r="R73" s="11">
        <f t="shared" si="7"/>
        <v>5</v>
      </c>
      <c r="S73" s="12" cm="1">
        <f t="array" ref="S73">INDEX('ClinicalStage-ConceptMap-3'!$I$15:$N$123,Q73+1,R73)</f>
        <v>0</v>
      </c>
    </row>
    <row r="74" spans="7:19">
      <c r="G74" s="123"/>
      <c r="P74" s="11">
        <v>60</v>
      </c>
      <c r="Q74" s="11">
        <f t="shared" si="6"/>
        <v>9</v>
      </c>
      <c r="R74" s="11">
        <f t="shared" si="7"/>
        <v>6</v>
      </c>
      <c r="S74" s="12" cm="1">
        <f t="array" ref="S74">INDEX('ClinicalStage-ConceptMap-3'!$I$15:$N$123,Q74+1,R74)</f>
        <v>0</v>
      </c>
    </row>
    <row r="75" spans="7:19">
      <c r="G75" s="123"/>
      <c r="P75" s="11">
        <v>61</v>
      </c>
      <c r="Q75" s="11">
        <f t="shared" si="6"/>
        <v>10</v>
      </c>
      <c r="R75" s="11">
        <f t="shared" si="7"/>
        <v>1</v>
      </c>
      <c r="S75" s="12" cm="1">
        <f t="array" ref="S75">INDEX('ClinicalStage-ConceptMap-3'!$I$15:$N$123,Q75+1,R75)</f>
        <v>0</v>
      </c>
    </row>
    <row r="76" spans="7:19">
      <c r="G76" s="123"/>
      <c r="P76" s="11">
        <v>62</v>
      </c>
      <c r="Q76" s="11">
        <f t="shared" si="6"/>
        <v>10</v>
      </c>
      <c r="R76" s="11">
        <f t="shared" si="7"/>
        <v>2</v>
      </c>
      <c r="S76" s="12" cm="1">
        <f t="array" ref="S76">INDEX('ClinicalStage-ConceptMap-3'!$I$15:$N$123,Q76+1,R76)</f>
        <v>0</v>
      </c>
    </row>
    <row r="77" spans="7:19">
      <c r="G77" s="123"/>
      <c r="P77" s="11">
        <v>63</v>
      </c>
      <c r="Q77" s="11">
        <f t="shared" si="6"/>
        <v>10</v>
      </c>
      <c r="R77" s="11">
        <f t="shared" si="7"/>
        <v>3</v>
      </c>
      <c r="S77" s="12" cm="1">
        <f t="array" ref="S77">INDEX('ClinicalStage-ConceptMap-3'!$I$15:$N$123,Q77+1,R77)</f>
        <v>0</v>
      </c>
    </row>
    <row r="78" spans="7:19">
      <c r="G78" s="123"/>
      <c r="P78" s="11">
        <v>64</v>
      </c>
      <c r="Q78" s="11">
        <f t="shared" si="6"/>
        <v>10</v>
      </c>
      <c r="R78" s="11">
        <f t="shared" si="7"/>
        <v>4</v>
      </c>
      <c r="S78" s="12" cm="1">
        <f t="array" ref="S78">INDEX('ClinicalStage-ConceptMap-3'!$I$15:$N$123,Q78+1,R78)</f>
        <v>0</v>
      </c>
    </row>
    <row r="79" spans="7:19">
      <c r="G79" s="123"/>
      <c r="P79" s="11">
        <v>65</v>
      </c>
      <c r="Q79" s="11">
        <f t="shared" ref="Q79:Q142" si="8">IF(MOD(P79,$Q$8)=0,P79/$Q$8-1,INT(P79/$Q$8))</f>
        <v>10</v>
      </c>
      <c r="R79" s="11">
        <f t="shared" ref="R79:R142" si="9">IF(MOD(P79,$Q$8)=0,$Q$8,MOD(P79,$Q$8))</f>
        <v>5</v>
      </c>
      <c r="S79" s="12" cm="1">
        <f t="array" ref="S79">INDEX('ClinicalStage-ConceptMap-3'!$I$15:$N$123,Q79+1,R79)</f>
        <v>0</v>
      </c>
    </row>
    <row r="80" spans="7:19">
      <c r="G80" s="123"/>
      <c r="P80" s="11">
        <v>66</v>
      </c>
      <c r="Q80" s="11">
        <f t="shared" si="8"/>
        <v>10</v>
      </c>
      <c r="R80" s="11">
        <f t="shared" si="9"/>
        <v>6</v>
      </c>
      <c r="S80" s="12" cm="1">
        <f t="array" ref="S80">INDEX('ClinicalStage-ConceptMap-3'!$I$15:$N$123,Q80+1,R80)</f>
        <v>0</v>
      </c>
    </row>
    <row r="81" spans="7:19">
      <c r="G81" s="123"/>
      <c r="P81" s="11">
        <v>67</v>
      </c>
      <c r="Q81" s="11">
        <f t="shared" si="8"/>
        <v>11</v>
      </c>
      <c r="R81" s="11">
        <f t="shared" si="9"/>
        <v>1</v>
      </c>
      <c r="S81" s="12" cm="1">
        <f t="array" ref="S81">INDEX('ClinicalStage-ConceptMap-3'!$I$15:$N$123,Q81+1,R81)</f>
        <v>0</v>
      </c>
    </row>
    <row r="82" spans="7:19">
      <c r="G82" s="123"/>
      <c r="P82" s="11">
        <v>68</v>
      </c>
      <c r="Q82" s="11">
        <f t="shared" si="8"/>
        <v>11</v>
      </c>
      <c r="R82" s="11">
        <f t="shared" si="9"/>
        <v>2</v>
      </c>
      <c r="S82" s="12" cm="1">
        <f t="array" ref="S82">INDEX('ClinicalStage-ConceptMap-3'!$I$15:$N$123,Q82+1,R82)</f>
        <v>0</v>
      </c>
    </row>
    <row r="83" spans="7:19">
      <c r="G83" s="123"/>
      <c r="P83" s="11">
        <v>69</v>
      </c>
      <c r="Q83" s="11">
        <f t="shared" si="8"/>
        <v>11</v>
      </c>
      <c r="R83" s="11">
        <f t="shared" si="9"/>
        <v>3</v>
      </c>
      <c r="S83" s="12" cm="1">
        <f t="array" ref="S83">INDEX('ClinicalStage-ConceptMap-3'!$I$15:$N$123,Q83+1,R83)</f>
        <v>0</v>
      </c>
    </row>
    <row r="84" spans="7:19">
      <c r="G84" s="123"/>
      <c r="P84" s="11">
        <v>70</v>
      </c>
      <c r="Q84" s="11">
        <f t="shared" si="8"/>
        <v>11</v>
      </c>
      <c r="R84" s="11">
        <f t="shared" si="9"/>
        <v>4</v>
      </c>
      <c r="S84" s="12" cm="1">
        <f t="array" ref="S84">INDEX('ClinicalStage-ConceptMap-3'!$I$15:$N$123,Q84+1,R84)</f>
        <v>0</v>
      </c>
    </row>
    <row r="85" spans="7:19">
      <c r="G85" s="123"/>
      <c r="P85" s="11">
        <v>71</v>
      </c>
      <c r="Q85" s="11">
        <f t="shared" si="8"/>
        <v>11</v>
      </c>
      <c r="R85" s="11">
        <f t="shared" si="9"/>
        <v>5</v>
      </c>
      <c r="S85" s="12" cm="1">
        <f t="array" ref="S85">INDEX('ClinicalStage-ConceptMap-3'!$I$15:$N$123,Q85+1,R85)</f>
        <v>0</v>
      </c>
    </row>
    <row r="86" spans="7:19">
      <c r="G86" s="123"/>
      <c r="P86" s="11">
        <v>72</v>
      </c>
      <c r="Q86" s="11">
        <f t="shared" si="8"/>
        <v>11</v>
      </c>
      <c r="R86" s="11">
        <f t="shared" si="9"/>
        <v>6</v>
      </c>
      <c r="S86" s="12" cm="1">
        <f t="array" ref="S86">INDEX('ClinicalStage-ConceptMap-3'!$I$15:$N$123,Q86+1,R86)</f>
        <v>0</v>
      </c>
    </row>
    <row r="87" spans="7:19">
      <c r="G87" s="123"/>
      <c r="P87" s="11">
        <v>73</v>
      </c>
      <c r="Q87" s="11">
        <f t="shared" si="8"/>
        <v>12</v>
      </c>
      <c r="R87" s="11">
        <f t="shared" si="9"/>
        <v>1</v>
      </c>
      <c r="S87" s="12" cm="1">
        <f t="array" ref="S87">INDEX('ClinicalStage-ConceptMap-3'!$I$15:$N$123,Q87+1,R87)</f>
        <v>0</v>
      </c>
    </row>
    <row r="88" spans="7:19">
      <c r="G88" s="123"/>
      <c r="P88" s="11">
        <v>74</v>
      </c>
      <c r="Q88" s="11">
        <f t="shared" si="8"/>
        <v>12</v>
      </c>
      <c r="R88" s="11">
        <f t="shared" si="9"/>
        <v>2</v>
      </c>
      <c r="S88" s="12" cm="1">
        <f t="array" ref="S88">INDEX('ClinicalStage-ConceptMap-3'!$I$15:$N$123,Q88+1,R88)</f>
        <v>0</v>
      </c>
    </row>
    <row r="89" spans="7:19">
      <c r="G89" s="123"/>
      <c r="P89" s="11">
        <v>75</v>
      </c>
      <c r="Q89" s="11">
        <f t="shared" si="8"/>
        <v>12</v>
      </c>
      <c r="R89" s="11">
        <f t="shared" si="9"/>
        <v>3</v>
      </c>
      <c r="S89" s="12" cm="1">
        <f t="array" ref="S89">INDEX('ClinicalStage-ConceptMap-3'!$I$15:$N$123,Q89+1,R89)</f>
        <v>0</v>
      </c>
    </row>
    <row r="90" spans="7:19">
      <c r="G90" s="123"/>
      <c r="P90" s="11">
        <v>76</v>
      </c>
      <c r="Q90" s="11">
        <f t="shared" si="8"/>
        <v>12</v>
      </c>
      <c r="R90" s="11">
        <f t="shared" si="9"/>
        <v>4</v>
      </c>
      <c r="S90" s="12" cm="1">
        <f t="array" ref="S90">INDEX('ClinicalStage-ConceptMap-3'!$I$15:$N$123,Q90+1,R90)</f>
        <v>0</v>
      </c>
    </row>
    <row r="91" spans="7:19">
      <c r="G91" s="123"/>
      <c r="P91" s="11">
        <v>77</v>
      </c>
      <c r="Q91" s="11">
        <f t="shared" si="8"/>
        <v>12</v>
      </c>
      <c r="R91" s="11">
        <f t="shared" si="9"/>
        <v>5</v>
      </c>
      <c r="S91" s="12" cm="1">
        <f t="array" ref="S91">INDEX('ClinicalStage-ConceptMap-3'!$I$15:$N$123,Q91+1,R91)</f>
        <v>0</v>
      </c>
    </row>
    <row r="92" spans="7:19">
      <c r="G92" s="123"/>
      <c r="P92" s="11">
        <v>78</v>
      </c>
      <c r="Q92" s="11">
        <f t="shared" si="8"/>
        <v>12</v>
      </c>
      <c r="R92" s="11">
        <f t="shared" si="9"/>
        <v>6</v>
      </c>
      <c r="S92" s="12" cm="1">
        <f t="array" ref="S92">INDEX('ClinicalStage-ConceptMap-3'!$I$15:$N$123,Q92+1,R92)</f>
        <v>0</v>
      </c>
    </row>
    <row r="93" spans="7:19">
      <c r="G93" s="123"/>
      <c r="P93" s="11">
        <v>79</v>
      </c>
      <c r="Q93" s="11">
        <f t="shared" si="8"/>
        <v>13</v>
      </c>
      <c r="R93" s="11">
        <f t="shared" si="9"/>
        <v>1</v>
      </c>
      <c r="S93" s="12" cm="1">
        <f t="array" ref="S93">INDEX('ClinicalStage-ConceptMap-3'!$I$15:$N$123,Q93+1,R93)</f>
        <v>0</v>
      </c>
    </row>
    <row r="94" spans="7:19">
      <c r="G94" s="123"/>
      <c r="P94" s="11">
        <v>80</v>
      </c>
      <c r="Q94" s="11">
        <f t="shared" si="8"/>
        <v>13</v>
      </c>
      <c r="R94" s="11">
        <f t="shared" si="9"/>
        <v>2</v>
      </c>
      <c r="S94" s="12" cm="1">
        <f t="array" ref="S94">INDEX('ClinicalStage-ConceptMap-3'!$I$15:$N$123,Q94+1,R94)</f>
        <v>0</v>
      </c>
    </row>
    <row r="95" spans="7:19">
      <c r="G95" s="123"/>
      <c r="P95" s="11">
        <v>81</v>
      </c>
      <c r="Q95" s="11">
        <f t="shared" si="8"/>
        <v>13</v>
      </c>
      <c r="R95" s="11">
        <f t="shared" si="9"/>
        <v>3</v>
      </c>
      <c r="S95" s="12" cm="1">
        <f t="array" ref="S95">INDEX('ClinicalStage-ConceptMap-3'!$I$15:$N$123,Q95+1,R95)</f>
        <v>0</v>
      </c>
    </row>
    <row r="96" spans="7:19">
      <c r="G96" s="123"/>
      <c r="P96" s="11">
        <v>82</v>
      </c>
      <c r="Q96" s="11">
        <f t="shared" si="8"/>
        <v>13</v>
      </c>
      <c r="R96" s="11">
        <f t="shared" si="9"/>
        <v>4</v>
      </c>
      <c r="S96" s="12" cm="1">
        <f t="array" ref="S96">INDEX('ClinicalStage-ConceptMap-3'!$I$15:$N$123,Q96+1,R96)</f>
        <v>0</v>
      </c>
    </row>
    <row r="97" spans="7:19">
      <c r="G97" s="123"/>
      <c r="P97" s="11">
        <v>83</v>
      </c>
      <c r="Q97" s="11">
        <f t="shared" si="8"/>
        <v>13</v>
      </c>
      <c r="R97" s="11">
        <f t="shared" si="9"/>
        <v>5</v>
      </c>
      <c r="S97" s="12" cm="1">
        <f t="array" ref="S97">INDEX('ClinicalStage-ConceptMap-3'!$I$15:$N$123,Q97+1,R97)</f>
        <v>0</v>
      </c>
    </row>
    <row r="98" spans="7:19">
      <c r="G98" s="123"/>
      <c r="P98" s="11">
        <v>84</v>
      </c>
      <c r="Q98" s="11">
        <f t="shared" si="8"/>
        <v>13</v>
      </c>
      <c r="R98" s="11">
        <f t="shared" si="9"/>
        <v>6</v>
      </c>
      <c r="S98" s="12" cm="1">
        <f t="array" ref="S98">INDEX('ClinicalStage-ConceptMap-3'!$I$15:$N$123,Q98+1,R98)</f>
        <v>0</v>
      </c>
    </row>
    <row r="99" spans="7:19">
      <c r="G99" s="123"/>
      <c r="P99" s="11">
        <v>85</v>
      </c>
      <c r="Q99" s="11">
        <f t="shared" si="8"/>
        <v>14</v>
      </c>
      <c r="R99" s="11">
        <f t="shared" si="9"/>
        <v>1</v>
      </c>
      <c r="S99" s="12" cm="1">
        <f t="array" ref="S99">INDEX('ClinicalStage-ConceptMap-3'!$I$15:$N$123,Q99+1,R99)</f>
        <v>0</v>
      </c>
    </row>
    <row r="100" spans="7:19">
      <c r="G100" s="123"/>
      <c r="P100" s="11">
        <v>86</v>
      </c>
      <c r="Q100" s="11">
        <f t="shared" si="8"/>
        <v>14</v>
      </c>
      <c r="R100" s="11">
        <f t="shared" si="9"/>
        <v>2</v>
      </c>
      <c r="S100" s="12" cm="1">
        <f t="array" ref="S100">INDEX('ClinicalStage-ConceptMap-3'!$I$15:$N$123,Q100+1,R100)</f>
        <v>0</v>
      </c>
    </row>
    <row r="101" spans="7:19">
      <c r="G101" s="123"/>
      <c r="P101" s="11">
        <v>87</v>
      </c>
      <c r="Q101" s="11">
        <f t="shared" si="8"/>
        <v>14</v>
      </c>
      <c r="R101" s="11">
        <f t="shared" si="9"/>
        <v>3</v>
      </c>
      <c r="S101" s="12" cm="1">
        <f t="array" ref="S101">INDEX('ClinicalStage-ConceptMap-3'!$I$15:$N$123,Q101+1,R101)</f>
        <v>0</v>
      </c>
    </row>
    <row r="102" spans="7:19">
      <c r="G102" s="123"/>
      <c r="P102" s="11">
        <v>88</v>
      </c>
      <c r="Q102" s="11">
        <f t="shared" si="8"/>
        <v>14</v>
      </c>
      <c r="R102" s="11">
        <f t="shared" si="9"/>
        <v>4</v>
      </c>
      <c r="S102" s="12" cm="1">
        <f t="array" ref="S102">INDEX('ClinicalStage-ConceptMap-3'!$I$15:$N$123,Q102+1,R102)</f>
        <v>0</v>
      </c>
    </row>
    <row r="103" spans="7:19">
      <c r="G103" s="123"/>
      <c r="P103" s="11">
        <v>89</v>
      </c>
      <c r="Q103" s="11">
        <f t="shared" si="8"/>
        <v>14</v>
      </c>
      <c r="R103" s="11">
        <f t="shared" si="9"/>
        <v>5</v>
      </c>
      <c r="S103" s="12" cm="1">
        <f t="array" ref="S103">INDEX('ClinicalStage-ConceptMap-3'!$I$15:$N$123,Q103+1,R103)</f>
        <v>0</v>
      </c>
    </row>
    <row r="104" spans="7:19">
      <c r="G104" s="123"/>
      <c r="P104" s="11">
        <v>90</v>
      </c>
      <c r="Q104" s="11">
        <f t="shared" si="8"/>
        <v>14</v>
      </c>
      <c r="R104" s="11">
        <f t="shared" si="9"/>
        <v>6</v>
      </c>
      <c r="S104" s="12" cm="1">
        <f t="array" ref="S104">INDEX('ClinicalStage-ConceptMap-3'!$I$15:$N$123,Q104+1,R104)</f>
        <v>0</v>
      </c>
    </row>
    <row r="105" spans="7:19">
      <c r="G105" s="123"/>
      <c r="P105" s="11">
        <v>91</v>
      </c>
      <c r="Q105" s="11">
        <f t="shared" si="8"/>
        <v>15</v>
      </c>
      <c r="R105" s="11">
        <f t="shared" si="9"/>
        <v>1</v>
      </c>
      <c r="S105" s="12" cm="1">
        <f t="array" ref="S105">INDEX('ClinicalStage-ConceptMap-3'!$I$15:$N$123,Q105+1,R105)</f>
        <v>0</v>
      </c>
    </row>
    <row r="106" spans="7:19">
      <c r="G106" s="123"/>
      <c r="P106" s="11">
        <v>92</v>
      </c>
      <c r="Q106" s="11">
        <f t="shared" si="8"/>
        <v>15</v>
      </c>
      <c r="R106" s="11">
        <f t="shared" si="9"/>
        <v>2</v>
      </c>
      <c r="S106" s="12" cm="1">
        <f t="array" ref="S106">INDEX('ClinicalStage-ConceptMap-3'!$I$15:$N$123,Q106+1,R106)</f>
        <v>0</v>
      </c>
    </row>
    <row r="107" spans="7:19">
      <c r="G107" s="123"/>
      <c r="P107" s="11">
        <v>93</v>
      </c>
      <c r="Q107" s="11">
        <f t="shared" si="8"/>
        <v>15</v>
      </c>
      <c r="R107" s="11">
        <f t="shared" si="9"/>
        <v>3</v>
      </c>
      <c r="S107" s="12" cm="1">
        <f t="array" ref="S107">INDEX('ClinicalStage-ConceptMap-3'!$I$15:$N$123,Q107+1,R107)</f>
        <v>0</v>
      </c>
    </row>
    <row r="108" spans="7:19">
      <c r="G108" s="123"/>
      <c r="P108" s="11">
        <v>94</v>
      </c>
      <c r="Q108" s="11">
        <f t="shared" si="8"/>
        <v>15</v>
      </c>
      <c r="R108" s="11">
        <f t="shared" si="9"/>
        <v>4</v>
      </c>
      <c r="S108" s="12" cm="1">
        <f t="array" ref="S108">INDEX('ClinicalStage-ConceptMap-3'!$I$15:$N$123,Q108+1,R108)</f>
        <v>0</v>
      </c>
    </row>
    <row r="109" spans="7:19">
      <c r="G109" s="123"/>
      <c r="P109" s="11">
        <v>95</v>
      </c>
      <c r="Q109" s="11">
        <f t="shared" si="8"/>
        <v>15</v>
      </c>
      <c r="R109" s="11">
        <f t="shared" si="9"/>
        <v>5</v>
      </c>
      <c r="S109" s="12" cm="1">
        <f t="array" ref="S109">INDEX('ClinicalStage-ConceptMap-3'!$I$15:$N$123,Q109+1,R109)</f>
        <v>0</v>
      </c>
    </row>
    <row r="110" spans="7:19">
      <c r="G110" s="123"/>
      <c r="P110" s="11">
        <v>96</v>
      </c>
      <c r="Q110" s="11">
        <f t="shared" si="8"/>
        <v>15</v>
      </c>
      <c r="R110" s="11">
        <f t="shared" si="9"/>
        <v>6</v>
      </c>
      <c r="S110" s="12" cm="1">
        <f t="array" ref="S110">INDEX('ClinicalStage-ConceptMap-3'!$I$15:$N$123,Q110+1,R110)</f>
        <v>0</v>
      </c>
    </row>
    <row r="111" spans="7:19">
      <c r="G111" s="123"/>
      <c r="P111" s="11">
        <v>97</v>
      </c>
      <c r="Q111" s="11">
        <f t="shared" si="8"/>
        <v>16</v>
      </c>
      <c r="R111" s="11">
        <f t="shared" si="9"/>
        <v>1</v>
      </c>
      <c r="S111" s="12" cm="1">
        <f t="array" ref="S111">INDEX('ClinicalStage-ConceptMap-3'!$I$15:$N$123,Q111+1,R111)</f>
        <v>0</v>
      </c>
    </row>
    <row r="112" spans="7:19">
      <c r="G112" s="123"/>
      <c r="P112" s="11">
        <v>98</v>
      </c>
      <c r="Q112" s="11">
        <f t="shared" si="8"/>
        <v>16</v>
      </c>
      <c r="R112" s="11">
        <f t="shared" si="9"/>
        <v>2</v>
      </c>
      <c r="S112" s="12" cm="1">
        <f t="array" ref="S112">INDEX('ClinicalStage-ConceptMap-3'!$I$15:$N$123,Q112+1,R112)</f>
        <v>0</v>
      </c>
    </row>
    <row r="113" spans="7:19">
      <c r="G113" s="123"/>
      <c r="P113" s="11">
        <v>99</v>
      </c>
      <c r="Q113" s="11">
        <f t="shared" si="8"/>
        <v>16</v>
      </c>
      <c r="R113" s="11">
        <f t="shared" si="9"/>
        <v>3</v>
      </c>
      <c r="S113" s="12" cm="1">
        <f t="array" ref="S113">INDEX('ClinicalStage-ConceptMap-3'!$I$15:$N$123,Q113+1,R113)</f>
        <v>0</v>
      </c>
    </row>
    <row r="114" spans="7:19">
      <c r="G114" s="123"/>
      <c r="P114" s="11">
        <v>100</v>
      </c>
      <c r="Q114" s="11">
        <f t="shared" si="8"/>
        <v>16</v>
      </c>
      <c r="R114" s="11">
        <f t="shared" si="9"/>
        <v>4</v>
      </c>
      <c r="S114" s="12" cm="1">
        <f t="array" ref="S114">INDEX('ClinicalStage-ConceptMap-3'!$I$15:$N$123,Q114+1,R114)</f>
        <v>0</v>
      </c>
    </row>
    <row r="115" spans="7:19">
      <c r="G115" s="123"/>
      <c r="P115" s="11">
        <v>101</v>
      </c>
      <c r="Q115" s="11">
        <f t="shared" si="8"/>
        <v>16</v>
      </c>
      <c r="R115" s="11">
        <f t="shared" si="9"/>
        <v>5</v>
      </c>
      <c r="S115" s="12" cm="1">
        <f t="array" ref="S115">INDEX('ClinicalStage-ConceptMap-3'!$I$15:$N$123,Q115+1,R115)</f>
        <v>0</v>
      </c>
    </row>
    <row r="116" spans="7:19">
      <c r="G116" s="123"/>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2005</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2005</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5"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5"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5"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2006</v>
      </c>
    </row>
    <row r="3" spans="2:7">
      <c r="B3" s="24" t="s">
        <v>20</v>
      </c>
    </row>
    <row r="4" spans="2:7">
      <c r="B4" s="65" t="str">
        <f>"Instance: "&amp;'ClinicalStage-ConceptMap-1'!C4</f>
        <v>Instance: clinicalStage2FHIR</v>
      </c>
    </row>
    <row r="5" spans="2:7">
      <c r="B5" s="65" t="s">
        <v>1447</v>
      </c>
    </row>
    <row r="6" spans="2:7">
      <c r="B6" s="65" t="s">
        <v>1438</v>
      </c>
    </row>
    <row r="7" spans="2:7">
      <c r="B7" s="65" t="s">
        <v>1776</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1"/>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0"/>
    </row>
    <row r="165" spans="2:2">
      <c r="B165" s="68" t="str">
        <f>"* group[+].source = ##34#"&amp;'ClinicalStage-ConceptMap-2'!E6&amp;"##34#"</f>
        <v>* group[+].source = ##34#http://hl7.eu/fhir/ig/idea4rc/StructureDefinition/ClinicalStageI4rc##34#</v>
      </c>
    </row>
    <row r="166" spans="2:2">
      <c r="B166" s="131" t="str">
        <f>"* group[=].target = ##34#"&amp;'ClinicalStage-ConceptMap-2'!E7&amp;"##34#"</f>
        <v>* group[=].target = ##34#http://hl7.eu/fhir/ig/idea4rc/StructureDefinition/mcode-tnm-primary-tumor-category##34#</v>
      </c>
    </row>
    <row r="167" spans="2:2">
      <c r="B167" s="132"/>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19"/>
      <c r="C190" s="7"/>
      <c r="D190" s="7"/>
      <c r="E190" s="7"/>
      <c r="F190" s="7"/>
      <c r="G190" s="7"/>
    </row>
    <row r="191" spans="2:7">
      <c r="B191" s="130"/>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1" t="str">
        <f>"* group[=].target = ##34#"&amp;'ClinicalStage-ConceptMap-3'!E7&amp;"##34#"</f>
        <v>* group[=].target = ##34#http://hl7.eu/fhir/ig/idea4rc/StructureDefinition/mcode-tnm-regional-nodes-category##34#</v>
      </c>
      <c r="C193" s="7"/>
      <c r="D193" s="7"/>
      <c r="E193" s="7"/>
      <c r="F193" s="7"/>
      <c r="G193" s="7"/>
    </row>
    <row r="194" spans="2:7">
      <c r="B194" s="132"/>
      <c r="C194" s="7"/>
      <c r="D194" s="7"/>
      <c r="E194" s="7"/>
      <c r="F194" s="7"/>
      <c r="G194" s="7"/>
    </row>
    <row r="195" spans="2:7">
      <c r="B195" s="119" t="str">
        <f>IF('ClinicalStage-ConceptMap-3'!S15=0,"//---END",'ClinicalStage-ConceptMap-3'!S15)</f>
        <v>* group[=].element[+].code = #ClinicalStage.cT</v>
      </c>
      <c r="C195" s="7"/>
      <c r="D195" s="7"/>
      <c r="E195" s="7"/>
      <c r="F195" s="7"/>
      <c r="G195" s="7"/>
    </row>
    <row r="196" spans="2:7">
      <c r="B196" s="119" t="str">
        <f>IF('ClinicalStage-ConceptMap-3'!S16=0,"//---END",'ClinicalStage-ConceptMap-3'!S16)</f>
        <v>* group[=].element[=].display = ##34#cT##34#</v>
      </c>
      <c r="C196" s="7"/>
      <c r="D196" s="7"/>
      <c r="E196" s="7"/>
      <c r="F196" s="7"/>
      <c r="G196" s="7"/>
    </row>
    <row r="197" spans="2:7">
      <c r="B197" s="119" t="str">
        <f>IF('ClinicalStage-ConceptMap-3'!S17=0,"//---END",'ClinicalStage-ConceptMap-3'!S17)</f>
        <v>* group[=].element[=].target.code = #Observation.valueCodeableConcept</v>
      </c>
      <c r="C197" s="7"/>
      <c r="D197" s="7"/>
      <c r="E197" s="7"/>
      <c r="F197" s="7"/>
      <c r="G197" s="7"/>
    </row>
    <row r="198" spans="2:7">
      <c r="B198" s="119" t="str">
        <f>IF('ClinicalStage-ConceptMap-3'!S18=0,"//---END",'ClinicalStage-ConceptMap-3'!S18)</f>
        <v>* group[=].element[=].target.display = ##34###34#</v>
      </c>
      <c r="C198" s="7"/>
      <c r="D198" s="7"/>
      <c r="E198" s="7"/>
      <c r="F198" s="7"/>
      <c r="G198" s="7"/>
    </row>
    <row r="199" spans="2:7">
      <c r="B199" s="119" t="str">
        <f>IF('ClinicalStage-ConceptMap-3'!S19=0,"//---END",'ClinicalStage-ConceptMap-3'!S19)</f>
        <v>* group[=].element[=].target.equivalence = #relatedto</v>
      </c>
      <c r="C199" s="7"/>
      <c r="D199" s="7"/>
      <c r="E199" s="7"/>
      <c r="F199" s="7"/>
      <c r="G199" s="7"/>
    </row>
    <row r="200" spans="2:7">
      <c r="B200" s="119" t="str">
        <f>IF('ClinicalStage-ConceptMap-3'!S20=0,"//---END",'ClinicalStage-ConceptMap-3'!S20)</f>
        <v/>
      </c>
      <c r="C200" s="7"/>
      <c r="D200" s="7"/>
      <c r="E200" s="7"/>
      <c r="F200" s="7"/>
      <c r="G200" s="7"/>
    </row>
    <row r="201" spans="2:7">
      <c r="B201" s="119" t="str">
        <f>IF('ClinicalStage-ConceptMap-3'!S21=0,"//---END",'ClinicalStage-ConceptMap-3'!S21)</f>
        <v>* group[=].element[+].code = #ClinicalStage.cN</v>
      </c>
      <c r="C201" s="7"/>
      <c r="D201" s="7"/>
      <c r="E201" s="7"/>
      <c r="F201" s="7"/>
      <c r="G201" s="7"/>
    </row>
    <row r="202" spans="2:7">
      <c r="B202" s="119" t="str">
        <f>IF('ClinicalStage-ConceptMap-3'!S22=0,"//---END",'ClinicalStage-ConceptMap-3'!S22)</f>
        <v>* group[=].element[=].display = ##34#cN##34#</v>
      </c>
      <c r="C202" s="7"/>
      <c r="D202" s="7"/>
      <c r="E202" s="7"/>
      <c r="F202" s="7"/>
      <c r="G202" s="7"/>
    </row>
    <row r="203" spans="2:7">
      <c r="B203" s="119" t="str">
        <f>IF('ClinicalStage-ConceptMap-3'!S23=0,"//---END",'ClinicalStage-ConceptMap-3'!S23)</f>
        <v>//-- unmatched</v>
      </c>
      <c r="C203" s="7"/>
      <c r="D203" s="7"/>
      <c r="E203" s="7"/>
      <c r="F203" s="7"/>
      <c r="G203" s="7"/>
    </row>
    <row r="204" spans="2:7">
      <c r="B204" s="119" t="str">
        <f>IF('ClinicalStage-ConceptMap-3'!S24=0,"//---END",'ClinicalStage-ConceptMap-3'!S24)</f>
        <v>//-- unmatched</v>
      </c>
      <c r="C204" s="7"/>
      <c r="D204" s="7"/>
      <c r="E204" s="7"/>
      <c r="F204" s="7"/>
      <c r="G204" s="7"/>
    </row>
    <row r="205" spans="2:7">
      <c r="B205" s="119" t="str">
        <f>IF('ClinicalStage-ConceptMap-3'!S25=0,"//---END",'ClinicalStage-ConceptMap-3'!S25)</f>
        <v>* group[=].element[=].target.equivalence = #unmatched</v>
      </c>
      <c r="C205" s="7"/>
      <c r="D205" s="7"/>
      <c r="E205" s="7"/>
      <c r="F205" s="7"/>
      <c r="G205" s="7"/>
    </row>
    <row r="206" spans="2:7">
      <c r="B206" s="119" t="str">
        <f>IF('ClinicalStage-ConceptMap-3'!S26=0,"//---END",'ClinicalStage-ConceptMap-3'!S26)</f>
        <v/>
      </c>
      <c r="C206" s="7"/>
      <c r="D206" s="7"/>
      <c r="E206" s="7"/>
      <c r="F206" s="7"/>
      <c r="G206" s="7"/>
    </row>
    <row r="207" spans="2:7">
      <c r="B207" s="119" t="str">
        <f>IF('ClinicalStage-ConceptMap-3'!S27=0,"//---END",'ClinicalStage-ConceptMap-3'!S27)</f>
        <v>* group[=].element[+].code = #ClinicalStage.radiologicalExtraNodalExtension</v>
      </c>
      <c r="C207" s="7"/>
      <c r="D207" s="7"/>
      <c r="E207" s="7"/>
      <c r="F207" s="7"/>
      <c r="G207" s="7"/>
    </row>
    <row r="208" spans="2:7">
      <c r="B208" s="119" t="str">
        <f>IF('ClinicalStage-ConceptMap-3'!S28=0,"//---END",'ClinicalStage-ConceptMap-3'!S28)</f>
        <v>* group[=].element[=].display = ##34#Radiological Extra-nodal extension (rENE)##34#</v>
      </c>
      <c r="C208" s="7"/>
      <c r="D208" s="7"/>
      <c r="E208" s="7"/>
      <c r="F208" s="7"/>
      <c r="G208" s="7"/>
    </row>
    <row r="209" spans="2:7">
      <c r="B209" s="119" t="str">
        <f>IF('ClinicalStage-ConceptMap-3'!S29=0,"//---END",'ClinicalStage-ConceptMap-3'!S29)</f>
        <v>//-- unmatched</v>
      </c>
      <c r="C209" s="7"/>
      <c r="D209" s="7"/>
      <c r="E209" s="7"/>
      <c r="F209" s="7"/>
      <c r="G209" s="7"/>
    </row>
    <row r="210" spans="2:7">
      <c r="B210" s="119" t="str">
        <f>IF('ClinicalStage-ConceptMap-3'!S30=0,"//---END",'ClinicalStage-ConceptMap-3'!S30)</f>
        <v>//-- unmatched</v>
      </c>
      <c r="C210" s="7"/>
      <c r="D210" s="7"/>
      <c r="E210" s="7"/>
      <c r="F210" s="7"/>
      <c r="G210" s="7"/>
    </row>
    <row r="211" spans="2:7">
      <c r="B211" s="119" t="str">
        <f>IF('ClinicalStage-ConceptMap-3'!S31=0,"//---END",'ClinicalStage-ConceptMap-3'!S31)</f>
        <v>* group[=].element[=].target.equivalence = #unmatched</v>
      </c>
      <c r="C211" s="7"/>
      <c r="D211" s="7"/>
      <c r="E211" s="7"/>
      <c r="F211" s="7"/>
      <c r="G211" s="7"/>
    </row>
    <row r="212" spans="2:7">
      <c r="B212" s="119" t="str">
        <f>IF('ClinicalStage-ConceptMap-3'!S32=0,"//---END",'ClinicalStage-ConceptMap-3'!S32)</f>
        <v/>
      </c>
      <c r="C212" s="7"/>
      <c r="D212" s="7"/>
      <c r="E212" s="7"/>
      <c r="F212" s="7"/>
      <c r="G212" s="7"/>
    </row>
    <row r="213" spans="2:7">
      <c r="B213" s="119" t="str">
        <f>IF('ClinicalStage-ConceptMap-3'!S33=0,"//---END",'ClinicalStage-ConceptMap-3'!S33)</f>
        <v>* group[=].element[+].code = #ClinicalStage.cM</v>
      </c>
      <c r="C213" s="7"/>
      <c r="D213" s="7"/>
      <c r="E213" s="7"/>
      <c r="F213" s="7"/>
      <c r="G213" s="7"/>
    </row>
    <row r="214" spans="2:7">
      <c r="B214" s="119" t="str">
        <f>IF('ClinicalStage-ConceptMap-3'!S34=0,"//---END",'ClinicalStage-ConceptMap-3'!S34)</f>
        <v>* group[=].element[=].display = ##34#cM##34#</v>
      </c>
      <c r="C214" s="7"/>
      <c r="D214" s="7"/>
      <c r="E214" s="7"/>
      <c r="F214" s="7"/>
      <c r="G214" s="7"/>
    </row>
    <row r="215" spans="2:7">
      <c r="B215" s="119" t="str">
        <f>IF('ClinicalStage-ConceptMap-3'!S35=0,"//---END",'ClinicalStage-ConceptMap-3'!S35)</f>
        <v>//-- unmatched</v>
      </c>
      <c r="C215" s="7"/>
      <c r="D215" s="7"/>
      <c r="E215" s="7"/>
      <c r="F215" s="7"/>
      <c r="G215" s="7"/>
    </row>
    <row r="216" spans="2:7">
      <c r="B216" s="119" t="str">
        <f>IF('ClinicalStage-ConceptMap-3'!S36=0,"//---END",'ClinicalStage-ConceptMap-3'!S36)</f>
        <v>//-- unmatched</v>
      </c>
      <c r="C216" s="7"/>
      <c r="D216" s="7"/>
      <c r="E216" s="7"/>
      <c r="F216" s="7"/>
      <c r="G216" s="7"/>
    </row>
    <row r="217" spans="2:7">
      <c r="B217" s="119" t="str">
        <f>IF('ClinicalStage-ConceptMap-3'!S37=0,"//---END",'ClinicalStage-ConceptMap-3'!S37)</f>
        <v>* group[=].element[=].target.equivalence = #unmatched</v>
      </c>
      <c r="C217" s="7"/>
      <c r="D217" s="7"/>
      <c r="E217" s="7"/>
      <c r="F217" s="7"/>
      <c r="G217" s="7"/>
    </row>
    <row r="218" spans="2:7">
      <c r="B218" s="119" t="str">
        <f>IF('ClinicalStage-ConceptMap-3'!S38=0,"//---END",'ClinicalStage-ConceptMap-3'!S38)</f>
        <v/>
      </c>
      <c r="C218" s="7"/>
      <c r="D218" s="7"/>
      <c r="E218" s="7"/>
      <c r="F218" s="7"/>
      <c r="G218" s="7"/>
    </row>
    <row r="219" spans="2:7">
      <c r="B219" s="119" t="str">
        <f>IF('ClinicalStage-ConceptMap-3'!S39=0,"//---END",'ClinicalStage-ConceptMap-3'!S39)</f>
        <v>//---END</v>
      </c>
      <c r="C219" s="7"/>
      <c r="D219" s="7"/>
      <c r="E219" s="7"/>
      <c r="F219" s="7"/>
      <c r="G219" s="7"/>
    </row>
    <row r="220" spans="2:7">
      <c r="B220" s="119" t="str">
        <f>IF('ClinicalStage-ConceptMap-3'!S40=0,"//---END",'ClinicalStage-ConceptMap-3'!S40)</f>
        <v>//---END</v>
      </c>
      <c r="C220" s="7"/>
      <c r="D220" s="7"/>
      <c r="E220" s="7"/>
      <c r="F220" s="7"/>
      <c r="G220" s="7"/>
    </row>
    <row r="221" spans="2:7">
      <c r="B221" s="119" t="str">
        <f>IF('ClinicalStage-ConceptMap-3'!S41=0,"//---END",'ClinicalStage-ConceptMap-3'!S41)</f>
        <v>//---END</v>
      </c>
      <c r="C221" s="7"/>
      <c r="D221" s="7"/>
      <c r="E221" s="7"/>
      <c r="F221" s="7"/>
      <c r="G221" s="7"/>
    </row>
    <row r="222" spans="2:7">
      <c r="B222" s="119" t="str">
        <f>IF('ClinicalStage-ConceptMap-3'!S42=0,"//---END",'ClinicalStage-ConceptMap-3'!S42)</f>
        <v>//---END</v>
      </c>
      <c r="C222" s="7"/>
      <c r="D222" s="7"/>
      <c r="E222" s="7"/>
      <c r="F222" s="7"/>
      <c r="G222" s="7"/>
    </row>
    <row r="223" spans="2:7">
      <c r="B223" s="7"/>
      <c r="C223" s="7"/>
      <c r="D223" s="7"/>
      <c r="E223" s="7"/>
      <c r="F223" s="7"/>
      <c r="G223" s="7"/>
    </row>
    <row r="224" spans="2:7">
      <c r="B224" s="130"/>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1" t="str">
        <f>"* group[=].target = ##34#"&amp;'ClinicalStage-ConceptMap-4'!E7&amp;"##34#"</f>
        <v>* group[=].target = ##34#http://hl7.eu/fhir/ig/idea4rc/StructureDefinition/mcode-tnm-distant-metastases-category##34#</v>
      </c>
      <c r="C226" s="7"/>
      <c r="D226" s="7"/>
      <c r="E226" s="7"/>
      <c r="F226" s="7"/>
      <c r="G226" s="7"/>
    </row>
    <row r="227" spans="2:7">
      <c r="B227" s="132"/>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2352</v>
      </c>
      <c r="J4" s="16" t="str">
        <f>CONCATENATE("Logical: ",B4)</f>
        <v>Logical: PathologicalStageI4rc</v>
      </c>
    </row>
    <row r="5" spans="1:12" ht="19.899999999999999" customHeight="1">
      <c r="A5" s="14" t="s">
        <v>16</v>
      </c>
      <c r="B5" s="46" t="s">
        <v>1911</v>
      </c>
      <c r="J5" s="16" t="str">
        <f>CONCATENATE("Id: ",B5)</f>
        <v>Id: PathologicalStage</v>
      </c>
    </row>
    <row r="6" spans="1:12" ht="19.899999999999999" customHeight="1">
      <c r="A6" s="14" t="s">
        <v>10</v>
      </c>
      <c r="B6" s="47" t="s">
        <v>1912</v>
      </c>
      <c r="J6" s="17" t="str">
        <f>CONCATENATE("Title: ##34#",B6,"##34#")</f>
        <v>Title: ##34#Pathological Stage##34#</v>
      </c>
    </row>
    <row r="7" spans="1:12" ht="19.899999999999999" customHeight="1">
      <c r="A7" s="26" t="s">
        <v>2</v>
      </c>
      <c r="B7" s="104" t="s">
        <v>1911</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1913</v>
      </c>
      <c r="C8" s="11" t="s">
        <v>1871</v>
      </c>
      <c r="D8" s="11" t="s">
        <v>1872</v>
      </c>
      <c r="E8" s="11">
        <v>1</v>
      </c>
      <c r="F8" s="11">
        <v>1</v>
      </c>
      <c r="G8" s="57" t="s">
        <v>1969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1889</v>
      </c>
      <c r="C9" s="11" t="s">
        <v>1889</v>
      </c>
      <c r="D9" s="11" t="s">
        <v>1890</v>
      </c>
      <c r="E9" s="11">
        <v>0</v>
      </c>
      <c r="F9" s="11">
        <v>1</v>
      </c>
      <c r="G9" s="57" t="s">
        <v>1764</v>
      </c>
      <c r="H9" s="12" t="s">
        <v>1904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1891</v>
      </c>
      <c r="C10" s="11" t="s">
        <v>1891</v>
      </c>
      <c r="D10" s="11" t="s">
        <v>1892</v>
      </c>
      <c r="E10" s="11">
        <v>0</v>
      </c>
      <c r="F10" s="11">
        <v>1</v>
      </c>
      <c r="G10" s="57" t="s">
        <v>1764</v>
      </c>
      <c r="H10" s="12" t="s">
        <v>1905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1893</v>
      </c>
      <c r="C11" s="11" t="s">
        <v>1893</v>
      </c>
      <c r="D11" s="11" t="s">
        <v>1894</v>
      </c>
      <c r="E11" s="11">
        <v>0</v>
      </c>
      <c r="F11" s="11">
        <v>1</v>
      </c>
      <c r="G11" s="57" t="s">
        <v>1764</v>
      </c>
      <c r="H11" s="12" t="s">
        <v>1906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1917</v>
      </c>
      <c r="C12" s="11" t="s">
        <v>1895</v>
      </c>
      <c r="D12" s="11" t="s">
        <v>1896</v>
      </c>
      <c r="E12" s="11">
        <v>0</v>
      </c>
      <c r="F12" s="11">
        <v>1</v>
      </c>
      <c r="G12" s="57" t="s">
        <v>1764</v>
      </c>
      <c r="H12" s="12" t="s">
        <v>1907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1914</v>
      </c>
      <c r="C13" s="11" t="s">
        <v>1897</v>
      </c>
      <c r="D13" s="12" t="s">
        <v>1898</v>
      </c>
      <c r="E13" s="11">
        <v>0</v>
      </c>
      <c r="F13" s="11">
        <v>1</v>
      </c>
      <c r="G13" s="57" t="s">
        <v>1764</v>
      </c>
      <c r="H13" s="12" t="s">
        <v>1908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1915</v>
      </c>
      <c r="C14" s="11" t="s">
        <v>1899</v>
      </c>
      <c r="D14" s="12" t="s">
        <v>1646</v>
      </c>
      <c r="E14" s="11">
        <v>1</v>
      </c>
      <c r="F14" s="11">
        <v>1</v>
      </c>
      <c r="G14" s="57" t="s">
        <v>1764</v>
      </c>
      <c r="H14" s="12" t="s">
        <v>1909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1900</v>
      </c>
      <c r="E15" s="11">
        <v>0</v>
      </c>
      <c r="F15" s="11">
        <v>1</v>
      </c>
      <c r="G15" s="57" t="s">
        <v>1764</v>
      </c>
      <c r="H15" s="12" t="s">
        <v>1909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1916</v>
      </c>
      <c r="C16" s="11" t="s">
        <v>1901</v>
      </c>
      <c r="D16" s="12" t="s">
        <v>1902</v>
      </c>
      <c r="E16" s="11">
        <v>1</v>
      </c>
      <c r="F16" s="11">
        <v>1</v>
      </c>
      <c r="G16" s="57" t="s">
        <v>1764</v>
      </c>
      <c r="H16" s="12" t="s">
        <v>1910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1764</v>
      </c>
      <c r="H17" s="12" t="s">
        <v>1875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1903</v>
      </c>
      <c r="D18" s="11" t="s">
        <v>1625</v>
      </c>
      <c r="E18" s="11">
        <v>0</v>
      </c>
      <c r="F18" s="11">
        <v>1</v>
      </c>
      <c r="G18" s="57" t="s">
        <v>157</v>
      </c>
      <c r="H18" s="12" t="s">
        <v>1876</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1876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3">
        <v>0</v>
      </c>
      <c r="F20" s="11">
        <v>1</v>
      </c>
      <c r="G20" s="57" t="s">
        <v>157</v>
      </c>
      <c r="H20" s="12" t="s">
        <v>1876</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3">
        <v>0</v>
      </c>
      <c r="F21" s="11">
        <v>1</v>
      </c>
      <c r="G21" s="57" t="s">
        <v>157</v>
      </c>
      <c r="H21" s="12" t="s">
        <v>1876</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3">
        <v>0</v>
      </c>
      <c r="F22" s="11">
        <v>1</v>
      </c>
      <c r="G22" s="57" t="s">
        <v>157</v>
      </c>
      <c r="H22" s="12" t="s">
        <v>1876</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3">
        <v>0</v>
      </c>
      <c r="F23" s="11">
        <v>1</v>
      </c>
      <c r="G23" s="57" t="s">
        <v>157</v>
      </c>
      <c r="H23" s="12" t="s">
        <v>1876</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3">
        <v>0</v>
      </c>
      <c r="F24" s="11">
        <v>1</v>
      </c>
      <c r="G24" s="57" t="s">
        <v>157</v>
      </c>
      <c r="H24" s="12" t="s">
        <v>1876</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1876</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1876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1876</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4" t="s">
        <v>2000</v>
      </c>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1919</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2009</v>
      </c>
      <c r="D3" s="62" t="s">
        <v>1769</v>
      </c>
      <c r="E3" s="117" t="str">
        <f>$C$1&amp;ClinicalStage!B4</f>
        <v>http://hl7.eu/fhir/ig/idea4rc/StructureDefinition/ClinicalStageI4rc</v>
      </c>
    </row>
    <row r="4" spans="1:19">
      <c r="B4" s="62" t="s">
        <v>16</v>
      </c>
      <c r="C4" s="28" t="s">
        <v>2012</v>
      </c>
      <c r="D4" s="62" t="s">
        <v>1770</v>
      </c>
      <c r="E4" s="184" t="s">
        <v>1991</v>
      </c>
      <c r="F4" s="185"/>
      <c r="G4" s="185"/>
    </row>
    <row r="5" spans="1:19">
      <c r="B5" s="62" t="s">
        <v>10</v>
      </c>
      <c r="C5" s="7" t="s">
        <v>2010</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1991</v>
      </c>
      <c r="F7" s="185"/>
      <c r="G7" s="185"/>
    </row>
    <row r="8" spans="1:19" ht="44.25">
      <c r="B8" s="62" t="s">
        <v>1773</v>
      </c>
      <c r="C8" s="119" t="s">
        <v>2010</v>
      </c>
      <c r="D8" s="62"/>
      <c r="E8" s="7"/>
      <c r="I8" s="12" t="s">
        <v>1402</v>
      </c>
      <c r="J8" s="12" t="s">
        <v>1403</v>
      </c>
      <c r="K8" s="12" t="s">
        <v>1404</v>
      </c>
      <c r="L8" s="12" t="s">
        <v>1405</v>
      </c>
      <c r="M8" s="11" t="s">
        <v>1406</v>
      </c>
      <c r="P8" s="49" t="s">
        <v>1441</v>
      </c>
      <c r="Q8" s="49">
        <v>6</v>
      </c>
    </row>
    <row r="9" spans="1:19" ht="29.5">
      <c r="B9" s="62" t="s">
        <v>1774</v>
      </c>
      <c r="C9" s="12" t="s">
        <v>2011</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3" t="s">
        <v>1992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1993</v>
      </c>
      <c r="E16" s="12"/>
      <c r="F16" s="64" t="s">
        <v>1407</v>
      </c>
      <c r="G16" s="123" t="s">
        <v>1998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1994</v>
      </c>
      <c r="E17" s="12"/>
      <c r="F17" s="145" t="s">
        <v>1407</v>
      </c>
      <c r="G17" s="123" t="s">
        <v>1998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1995</v>
      </c>
      <c r="E18" s="12"/>
      <c r="F18" s="64" t="s">
        <v>1430</v>
      </c>
      <c r="G18" s="123" t="s">
        <v>1998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2" t="s">
        <v>2202</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2" t="s">
        <v>2202</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2" t="s">
        <v>2202</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2" t="s">
        <v>2202</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1996</v>
      </c>
      <c r="E23" s="12"/>
      <c r="F23" s="64" t="s">
        <v>1407</v>
      </c>
      <c r="G23" s="123" t="s">
        <v>1998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1997</v>
      </c>
      <c r="E24" s="12"/>
      <c r="F24" s="64" t="s">
        <v>1407</v>
      </c>
      <c r="G24" s="123" t="s">
        <v>1999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2" t="s">
        <v>2001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2" t="s">
        <v>2001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2" t="s">
        <v>2001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2" t="s">
        <v>2001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2" t="s">
        <v>2001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2" t="s">
        <v>2001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2" t="s">
        <v>2001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2" t="s">
        <v>2001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2" t="s">
        <v>2001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2" t="s">
        <v>2001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3"/>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3"/>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3"/>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3"/>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3"/>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3"/>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3"/>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3"/>
      <c r="P45" s="11">
        <v>31</v>
      </c>
      <c r="Q45" s="11">
        <f t="shared" si="13"/>
        <v>5</v>
      </c>
      <c r="R45" s="11">
        <f t="shared" si="14"/>
        <v>1</v>
      </c>
      <c r="S45" s="12" t="str" cm="1">
        <f t="array" ref="S45">INDEX('PathStage-ConceptMap-1'!$I$15:$N$124,Q45+1,R45)</f>
        <v>* group[=].element[+].code = #PathologicalStage.extranodalExtent</v>
      </c>
    </row>
    <row r="46" spans="1:19">
      <c r="B46" s="11"/>
      <c r="C46" s="11"/>
      <c r="G46" s="123"/>
      <c r="P46" s="11">
        <v>32</v>
      </c>
      <c r="Q46" s="11">
        <f t="shared" si="13"/>
        <v>5</v>
      </c>
      <c r="R46" s="11">
        <f t="shared" si="14"/>
        <v>2</v>
      </c>
      <c r="S46" s="12" t="str" cm="1">
        <f t="array" ref="S46">INDEX('PathStage-ConceptMap-1'!$I$15:$N$124,Q46+1,R46)</f>
        <v>* group[=].element[=].display = ##34#Extranodal Extent##34#</v>
      </c>
    </row>
    <row r="47" spans="1:19">
      <c r="G47" s="123"/>
      <c r="P47" s="11">
        <v>33</v>
      </c>
      <c r="Q47" s="11">
        <f t="shared" si="13"/>
        <v>5</v>
      </c>
      <c r="R47" s="11">
        <f t="shared" si="14"/>
        <v>3</v>
      </c>
      <c r="S47" s="12" t="str" cm="1">
        <f t="array" ref="S47">INDEX('PathStage-ConceptMap-1'!$I$15:$N$124,Q47+1,R47)</f>
        <v>* group[=].element[=].target.code = #Observation.</v>
      </c>
    </row>
    <row r="48" spans="1:19">
      <c r="G48" s="123"/>
      <c r="P48" s="11">
        <v>34</v>
      </c>
      <c r="Q48" s="11">
        <f t="shared" si="13"/>
        <v>5</v>
      </c>
      <c r="R48" s="11">
        <f t="shared" si="14"/>
        <v>4</v>
      </c>
      <c r="S48" s="12" t="str" cm="1">
        <f t="array" ref="S48">INDEX('PathStage-ConceptMap-1'!$I$15:$N$124,Q48+1,R48)</f>
        <v>* group[=].element[=].target.display = ##34###34#</v>
      </c>
    </row>
    <row r="49" spans="7:19">
      <c r="G49" s="123"/>
      <c r="P49" s="11">
        <v>35</v>
      </c>
      <c r="Q49" s="11">
        <f t="shared" si="13"/>
        <v>5</v>
      </c>
      <c r="R49" s="11">
        <f t="shared" si="14"/>
        <v>5</v>
      </c>
      <c r="S49" s="12" t="str" cm="1">
        <f t="array" ref="S49">INDEX('PathStage-ConceptMap-1'!$I$15:$N$124,Q49+1,R49)</f>
        <v>* group[=].element[=].target.equivalence = #relatedto</v>
      </c>
    </row>
    <row r="50" spans="7:19">
      <c r="G50" s="123"/>
      <c r="P50" s="11">
        <v>36</v>
      </c>
      <c r="Q50" s="11">
        <f t="shared" si="13"/>
        <v>5</v>
      </c>
      <c r="R50" s="11">
        <f t="shared" si="14"/>
        <v>6</v>
      </c>
      <c r="S50" s="12" t="str" cm="1">
        <f t="array" ref="S50">INDEX('PathStage-ConceptMap-1'!$I$15:$N$124,Q50+1,R50)</f>
        <v>* group[=].element[=].target.comment = ##34#CLARIFY MAPPING##34#</v>
      </c>
    </row>
    <row r="51" spans="7:19">
      <c r="G51" s="123"/>
      <c r="P51" s="11">
        <v>37</v>
      </c>
      <c r="Q51" s="11">
        <f t="shared" si="13"/>
        <v>6</v>
      </c>
      <c r="R51" s="11">
        <f t="shared" si="14"/>
        <v>1</v>
      </c>
      <c r="S51" s="12" t="str" cm="1">
        <f t="array" ref="S51">INDEX('PathStage-ConceptMap-1'!$I$15:$N$124,Q51+1,R51)</f>
        <v>* group[=].element[+].code = #PathologicalStage.sentinelNode</v>
      </c>
    </row>
    <row r="52" spans="7:19">
      <c r="G52" s="123"/>
      <c r="P52" s="11">
        <v>38</v>
      </c>
      <c r="Q52" s="11">
        <f t="shared" si="13"/>
        <v>6</v>
      </c>
      <c r="R52" s="11">
        <f t="shared" si="14"/>
        <v>2</v>
      </c>
      <c r="S52" s="12" t="str" cm="1">
        <f t="array" ref="S52">INDEX('PathStage-ConceptMap-1'!$I$15:$N$124,Q52+1,R52)</f>
        <v>* group[=].element[=].display = ##34#Sentinel node##34#</v>
      </c>
    </row>
    <row r="53" spans="7:19">
      <c r="G53" s="123"/>
      <c r="P53" s="11">
        <v>39</v>
      </c>
      <c r="Q53" s="11">
        <f t="shared" si="13"/>
        <v>6</v>
      </c>
      <c r="R53" s="11">
        <f t="shared" si="14"/>
        <v>3</v>
      </c>
      <c r="S53" s="12" t="str" cm="1">
        <f t="array" ref="S53">INDEX('PathStage-ConceptMap-1'!$I$15:$N$124,Q53+1,R53)</f>
        <v>* group[=].element[=].target.code = #Observation.</v>
      </c>
    </row>
    <row r="54" spans="7:19">
      <c r="G54" s="123"/>
      <c r="P54" s="11">
        <v>40</v>
      </c>
      <c r="Q54" s="11">
        <f t="shared" si="13"/>
        <v>6</v>
      </c>
      <c r="R54" s="11">
        <f t="shared" si="14"/>
        <v>4</v>
      </c>
      <c r="S54" s="12" t="str" cm="1">
        <f t="array" ref="S54">INDEX('PathStage-ConceptMap-1'!$I$15:$N$124,Q54+1,R54)</f>
        <v>* group[=].element[=].target.display = ##34###34#</v>
      </c>
    </row>
    <row r="55" spans="7:19">
      <c r="G55" s="123"/>
      <c r="P55" s="11">
        <v>41</v>
      </c>
      <c r="Q55" s="11">
        <f t="shared" si="13"/>
        <v>6</v>
      </c>
      <c r="R55" s="11">
        <f t="shared" si="14"/>
        <v>5</v>
      </c>
      <c r="S55" s="12" t="str" cm="1">
        <f t="array" ref="S55">INDEX('PathStage-ConceptMap-1'!$I$15:$N$124,Q55+1,R55)</f>
        <v>* group[=].element[=].target.equivalence = #relatedto</v>
      </c>
    </row>
    <row r="56" spans="7:19">
      <c r="G56" s="123"/>
      <c r="P56" s="11">
        <v>42</v>
      </c>
      <c r="Q56" s="11">
        <f t="shared" si="13"/>
        <v>6</v>
      </c>
      <c r="R56" s="11">
        <f t="shared" si="14"/>
        <v>6</v>
      </c>
      <c r="S56" s="12" t="str" cm="1">
        <f t="array" ref="S56">INDEX('PathStage-ConceptMap-1'!$I$15:$N$124,Q56+1,R56)</f>
        <v>* group[=].element[=].target.comment = ##34#CLARIFY MAPPING##34#</v>
      </c>
    </row>
    <row r="57" spans="7:19">
      <c r="G57" s="123"/>
      <c r="P57" s="11">
        <v>43</v>
      </c>
      <c r="Q57" s="11">
        <f t="shared" si="13"/>
        <v>7</v>
      </c>
      <c r="R57" s="11">
        <f t="shared" si="14"/>
        <v>1</v>
      </c>
      <c r="S57" s="12" t="str" cm="1">
        <f t="array" ref="S57">INDEX('PathStage-ConceptMap-1'!$I$15:$N$124,Q57+1,R57)</f>
        <v>* group[=].element[+].code = #PathologicalStage.neckDissection</v>
      </c>
    </row>
    <row r="58" spans="7:19">
      <c r="G58" s="123"/>
      <c r="P58" s="11">
        <v>44</v>
      </c>
      <c r="Q58" s="11">
        <f t="shared" si="13"/>
        <v>7</v>
      </c>
      <c r="R58" s="11">
        <f t="shared" si="14"/>
        <v>2</v>
      </c>
      <c r="S58" s="12" t="str" cm="1">
        <f t="array" ref="S58">INDEX('PathStage-ConceptMap-1'!$I$15:$N$124,Q58+1,R58)</f>
        <v>* group[=].element[=].display = ##34#Neck dissection##34#</v>
      </c>
    </row>
    <row r="59" spans="7:19">
      <c r="G59" s="123"/>
      <c r="P59" s="11">
        <v>45</v>
      </c>
      <c r="Q59" s="11">
        <f t="shared" si="13"/>
        <v>7</v>
      </c>
      <c r="R59" s="11">
        <f t="shared" si="14"/>
        <v>3</v>
      </c>
      <c r="S59" s="12" t="str" cm="1">
        <f t="array" ref="S59">INDEX('PathStage-ConceptMap-1'!$I$15:$N$124,Q59+1,R59)</f>
        <v>* group[=].element[=].target.code = #Observation.</v>
      </c>
    </row>
    <row r="60" spans="7:19">
      <c r="G60" s="123"/>
      <c r="P60" s="11">
        <v>46</v>
      </c>
      <c r="Q60" s="11">
        <f t="shared" si="13"/>
        <v>7</v>
      </c>
      <c r="R60" s="11">
        <f t="shared" si="14"/>
        <v>4</v>
      </c>
      <c r="S60" s="12" t="str" cm="1">
        <f t="array" ref="S60">INDEX('PathStage-ConceptMap-1'!$I$15:$N$124,Q60+1,R60)</f>
        <v>* group[=].element[=].target.display = ##34###34#</v>
      </c>
    </row>
    <row r="61" spans="7:19">
      <c r="G61" s="123"/>
      <c r="P61" s="11">
        <v>47</v>
      </c>
      <c r="Q61" s="11">
        <f t="shared" si="13"/>
        <v>7</v>
      </c>
      <c r="R61" s="11">
        <f t="shared" si="14"/>
        <v>5</v>
      </c>
      <c r="S61" s="12" t="str" cm="1">
        <f t="array" ref="S61">INDEX('PathStage-ConceptMap-1'!$I$15:$N$124,Q61+1,R61)</f>
        <v>* group[=].element[=].target.equivalence = #relatedto</v>
      </c>
    </row>
    <row r="62" spans="7:19">
      <c r="G62" s="123"/>
      <c r="P62" s="11">
        <v>48</v>
      </c>
      <c r="Q62" s="11">
        <f t="shared" si="13"/>
        <v>7</v>
      </c>
      <c r="R62" s="11">
        <f t="shared" si="14"/>
        <v>6</v>
      </c>
      <c r="S62" s="12" t="str" cm="1">
        <f t="array" ref="S62">INDEX('PathStage-ConceptMap-1'!$I$15:$N$124,Q62+1,R62)</f>
        <v>* group[=].element[=].target.comment = ##34#CLARIFY MAPPING##34#</v>
      </c>
    </row>
    <row r="63" spans="7:19">
      <c r="G63" s="123"/>
      <c r="P63" s="11">
        <v>49</v>
      </c>
      <c r="Q63" s="11">
        <f t="shared" si="13"/>
        <v>8</v>
      </c>
      <c r="R63" s="11">
        <f t="shared" si="14"/>
        <v>1</v>
      </c>
      <c r="S63" s="12" t="str" cm="1">
        <f t="array" ref="S63">INDEX('PathStage-ConceptMap-1'!$I$15:$N$124,Q63+1,R63)</f>
        <v>* group[=].element[+].code = #PathologicalStage.pathologicalStaging</v>
      </c>
    </row>
    <row r="64" spans="7:19">
      <c r="G64" s="123"/>
      <c r="P64" s="11">
        <v>50</v>
      </c>
      <c r="Q64" s="11">
        <f t="shared" si="13"/>
        <v>8</v>
      </c>
      <c r="R64" s="11">
        <f t="shared" si="14"/>
        <v>2</v>
      </c>
      <c r="S64" s="12" t="str" cm="1">
        <f t="array" ref="S64">INDEX('PathStage-ConceptMap-1'!$I$15:$N$124,Q64+1,R64)</f>
        <v>* group[=].element[=].display = ##34#Pathological staging##34#</v>
      </c>
    </row>
    <row r="65" spans="7:19">
      <c r="G65" s="123"/>
      <c r="P65" s="11">
        <v>51</v>
      </c>
      <c r="Q65" s="11">
        <f t="shared" si="13"/>
        <v>8</v>
      </c>
      <c r="R65" s="11">
        <f t="shared" si="14"/>
        <v>3</v>
      </c>
      <c r="S65" s="12" t="str" cm="1">
        <f t="array" ref="S65">INDEX('PathStage-ConceptMap-1'!$I$15:$N$124,Q65+1,R65)</f>
        <v>* group[=].element[=].target.code = #Observation.valueCodeableConcept</v>
      </c>
    </row>
    <row r="66" spans="7:19">
      <c r="G66" s="123"/>
      <c r="P66" s="11">
        <v>52</v>
      </c>
      <c r="Q66" s="11">
        <f t="shared" si="13"/>
        <v>8</v>
      </c>
      <c r="R66" s="11">
        <f t="shared" si="14"/>
        <v>4</v>
      </c>
      <c r="S66" s="12" t="str" cm="1">
        <f t="array" ref="S66">INDEX('PathStage-ConceptMap-1'!$I$15:$N$124,Q66+1,R66)</f>
        <v>* group[=].element[=].target.display = ##34###34#</v>
      </c>
    </row>
    <row r="67" spans="7:19">
      <c r="G67" s="123"/>
      <c r="P67" s="11">
        <v>53</v>
      </c>
      <c r="Q67" s="11">
        <f t="shared" si="13"/>
        <v>8</v>
      </c>
      <c r="R67" s="11">
        <f t="shared" si="14"/>
        <v>5</v>
      </c>
      <c r="S67" s="12" t="str" cm="1">
        <f t="array" ref="S67">INDEX('PathStage-ConceptMap-1'!$I$15:$N$124,Q67+1,R67)</f>
        <v>* group[=].element[=].target.equivalence = #relatedto</v>
      </c>
    </row>
    <row r="68" spans="7:19" ht="29.5">
      <c r="G68" s="123"/>
      <c r="P68" s="11">
        <v>54</v>
      </c>
      <c r="Q68" s="11">
        <f t="shared" si="13"/>
        <v>8</v>
      </c>
      <c r="R68" s="11">
        <f t="shared" si="14"/>
        <v>6</v>
      </c>
      <c r="S68" s="12" t="str" cm="1">
        <f t="array" ref="S68">INDEX('PathStage-ConceptMap-1'!$I$15:$N$124,Q68+1,R68)</f>
        <v>* group[=].element[=].target.comment = ##34#where code = 21902-2	 'Stage group.pathology'##34#</v>
      </c>
    </row>
    <row r="69" spans="7:19">
      <c r="G69" s="123"/>
      <c r="P69" s="11">
        <v>55</v>
      </c>
      <c r="Q69" s="11">
        <f t="shared" si="13"/>
        <v>9</v>
      </c>
      <c r="R69" s="11">
        <f t="shared" si="14"/>
        <v>1</v>
      </c>
      <c r="S69" s="12" t="str" cm="1">
        <f t="array" ref="S69">INDEX('PathStage-ConceptMap-1'!$I$15:$N$124,Q69+1,R69)</f>
        <v>* group[=].element[+].code = #PathologicalStage.ajccEdition</v>
      </c>
    </row>
    <row r="70" spans="7:19">
      <c r="G70" s="123"/>
      <c r="P70" s="11">
        <v>56</v>
      </c>
      <c r="Q70" s="11">
        <f t="shared" si="13"/>
        <v>9</v>
      </c>
      <c r="R70" s="11">
        <f t="shared" si="14"/>
        <v>2</v>
      </c>
      <c r="S70" s="12" t="str" cm="1">
        <f t="array" ref="S70">INDEX('PathStage-ConceptMap-1'!$I$15:$N$124,Q70+1,R70)</f>
        <v>* group[=].element[=].display = ##34#Ajcc edition##34#</v>
      </c>
    </row>
    <row r="71" spans="7:19" ht="29.5">
      <c r="G71" s="123"/>
      <c r="P71" s="11">
        <v>57</v>
      </c>
      <c r="Q71" s="11">
        <f t="shared" si="13"/>
        <v>9</v>
      </c>
      <c r="R71" s="11">
        <f t="shared" si="14"/>
        <v>3</v>
      </c>
      <c r="S71" s="12" t="str" cm="1">
        <f t="array" ref="S71">INDEX('PathStage-ConceptMap-1'!$I$15:$N$124,Q71+1,R71)</f>
        <v>* group[=].element[=].target.code = #Observation.valueCodeableConcept.coding.system</v>
      </c>
    </row>
    <row r="72" spans="7:19">
      <c r="G72" s="123"/>
      <c r="P72" s="11">
        <v>58</v>
      </c>
      <c r="Q72" s="11">
        <f t="shared" si="13"/>
        <v>9</v>
      </c>
      <c r="R72" s="11">
        <f t="shared" si="14"/>
        <v>4</v>
      </c>
      <c r="S72" s="12" t="str" cm="1">
        <f t="array" ref="S72">INDEX('PathStage-ConceptMap-1'!$I$15:$N$124,Q72+1,R72)</f>
        <v>* group[=].element[=].target.display = ##34###34#</v>
      </c>
    </row>
    <row r="73" spans="7:19">
      <c r="G73" s="123"/>
      <c r="P73" s="11">
        <v>59</v>
      </c>
      <c r="Q73" s="11">
        <f t="shared" si="13"/>
        <v>9</v>
      </c>
      <c r="R73" s="11">
        <f t="shared" si="14"/>
        <v>5</v>
      </c>
      <c r="S73" s="12" t="str" cm="1">
        <f t="array" ref="S73">INDEX('PathStage-ConceptMap-1'!$I$15:$N$124,Q73+1,R73)</f>
        <v>* group[=].element[=].target.equivalence = #relatedto</v>
      </c>
    </row>
    <row r="74" spans="7:19" ht="44.25">
      <c r="G74" s="123"/>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3"/>
      <c r="P75" s="11">
        <v>61</v>
      </c>
      <c r="Q75" s="11">
        <f t="shared" si="13"/>
        <v>10</v>
      </c>
      <c r="R75" s="11">
        <f t="shared" si="14"/>
        <v>1</v>
      </c>
      <c r="S75" s="12" t="str" cm="1">
        <f t="array" ref="S75">INDEX('PathStage-ConceptMap-1'!$I$15:$N$124,Q75+1,R75)</f>
        <v>* group[=].element[+].code = #PathologicalStage.softTissue</v>
      </c>
    </row>
    <row r="76" spans="7:19">
      <c r="G76" s="123"/>
      <c r="P76" s="11">
        <v>62</v>
      </c>
      <c r="Q76" s="11">
        <f t="shared" si="13"/>
        <v>10</v>
      </c>
      <c r="R76" s="11">
        <f t="shared" si="14"/>
        <v>2</v>
      </c>
      <c r="S76" s="12" t="str" cm="1">
        <f t="array" ref="S76">INDEX('PathStage-ConceptMap-1'!$I$15:$N$124,Q76+1,R76)</f>
        <v>* group[=].element[=].display = ##34#Soft Tissue##34#</v>
      </c>
    </row>
    <row r="77" spans="7:19">
      <c r="G77" s="123"/>
      <c r="P77" s="11">
        <v>63</v>
      </c>
      <c r="Q77" s="11">
        <f t="shared" si="13"/>
        <v>10</v>
      </c>
      <c r="R77" s="11">
        <f t="shared" si="14"/>
        <v>3</v>
      </c>
      <c r="S77" s="12" t="str" cm="1">
        <f t="array" ref="S77">INDEX('PathStage-ConceptMap-1'!$I$15:$N$124,Q77+1,R77)</f>
        <v>* group[=].element[=].target.code = #Observation.</v>
      </c>
    </row>
    <row r="78" spans="7:19">
      <c r="G78" s="123"/>
      <c r="P78" s="11">
        <v>64</v>
      </c>
      <c r="Q78" s="11">
        <f t="shared" si="13"/>
        <v>10</v>
      </c>
      <c r="R78" s="11">
        <f t="shared" si="14"/>
        <v>4</v>
      </c>
      <c r="S78" s="12" t="str" cm="1">
        <f t="array" ref="S78">INDEX('PathStage-ConceptMap-1'!$I$15:$N$124,Q78+1,R78)</f>
        <v>* group[=].element[=].target.display = ##34###34#</v>
      </c>
    </row>
    <row r="79" spans="7:19">
      <c r="G79" s="123"/>
      <c r="P79" s="11">
        <v>65</v>
      </c>
      <c r="Q79" s="11">
        <f t="shared" si="13"/>
        <v>10</v>
      </c>
      <c r="R79" s="11">
        <f t="shared" si="14"/>
        <v>5</v>
      </c>
      <c r="S79" s="12" t="str" cm="1">
        <f t="array" ref="S79">INDEX('PathStage-ConceptMap-1'!$I$15:$N$124,Q79+1,R79)</f>
        <v>* group[=].element[=].target.equivalence = #relatedto</v>
      </c>
    </row>
    <row r="80" spans="7:19" ht="29.5">
      <c r="G80" s="123"/>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3"/>
      <c r="P81" s="11">
        <v>67</v>
      </c>
      <c r="Q81" s="11">
        <f t="shared" si="21"/>
        <v>11</v>
      </c>
      <c r="R81" s="11">
        <f t="shared" si="22"/>
        <v>1</v>
      </c>
      <c r="S81" s="12" t="str" cm="1">
        <f t="array" ref="S81">INDEX('PathStage-ConceptMap-1'!$I$15:$N$124,Q81+1,R81)</f>
        <v>* group[=].element[+].code = #PathologicalStage.distantLymphNode</v>
      </c>
    </row>
    <row r="82" spans="7:19">
      <c r="G82" s="123"/>
      <c r="P82" s="11">
        <v>68</v>
      </c>
      <c r="Q82" s="11">
        <f t="shared" si="21"/>
        <v>11</v>
      </c>
      <c r="R82" s="11">
        <f t="shared" si="22"/>
        <v>2</v>
      </c>
      <c r="S82" s="12" t="str" cm="1">
        <f t="array" ref="S82">INDEX('PathStage-ConceptMap-1'!$I$15:$N$124,Q82+1,R82)</f>
        <v>* group[=].element[=].display = ##34#distant lymph node##34#</v>
      </c>
    </row>
    <row r="83" spans="7:19">
      <c r="G83" s="123"/>
      <c r="P83" s="11">
        <v>69</v>
      </c>
      <c r="Q83" s="11">
        <f t="shared" si="21"/>
        <v>11</v>
      </c>
      <c r="R83" s="11">
        <f t="shared" si="22"/>
        <v>3</v>
      </c>
      <c r="S83" s="12" t="str" cm="1">
        <f t="array" ref="S83">INDEX('PathStage-ConceptMap-1'!$I$15:$N$124,Q83+1,R83)</f>
        <v>* group[=].element[=].target.code = #Observation.</v>
      </c>
    </row>
    <row r="84" spans="7:19">
      <c r="G84" s="123"/>
      <c r="P84" s="11">
        <v>70</v>
      </c>
      <c r="Q84" s="11">
        <f t="shared" si="21"/>
        <v>11</v>
      </c>
      <c r="R84" s="11">
        <f t="shared" si="22"/>
        <v>4</v>
      </c>
      <c r="S84" s="12" t="str" cm="1">
        <f t="array" ref="S84">INDEX('PathStage-ConceptMap-1'!$I$15:$N$124,Q84+1,R84)</f>
        <v>* group[=].element[=].target.display = ##34###34#</v>
      </c>
    </row>
    <row r="85" spans="7:19">
      <c r="G85" s="123"/>
      <c r="P85" s="11">
        <v>71</v>
      </c>
      <c r="Q85" s="11">
        <f t="shared" si="21"/>
        <v>11</v>
      </c>
      <c r="R85" s="11">
        <f t="shared" si="22"/>
        <v>5</v>
      </c>
      <c r="S85" s="12" t="str" cm="1">
        <f t="array" ref="S85">INDEX('PathStage-ConceptMap-1'!$I$15:$N$124,Q85+1,R85)</f>
        <v>* group[=].element[=].target.equivalence = #relatedto</v>
      </c>
    </row>
    <row r="86" spans="7:19" ht="29.5">
      <c r="G86" s="123"/>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3"/>
      <c r="P87" s="11">
        <v>73</v>
      </c>
      <c r="Q87" s="11">
        <f t="shared" si="21"/>
        <v>12</v>
      </c>
      <c r="R87" s="11">
        <f t="shared" si="22"/>
        <v>1</v>
      </c>
      <c r="S87" s="12" t="str" cm="1">
        <f t="array" ref="S87">INDEX('PathStage-ConceptMap-1'!$I$15:$N$124,Q87+1,R87)</f>
        <v>* group[=].element[+].code = #PathologicalStage.lung</v>
      </c>
    </row>
    <row r="88" spans="7:19">
      <c r="G88" s="123"/>
      <c r="P88" s="11">
        <v>74</v>
      </c>
      <c r="Q88" s="11">
        <f t="shared" si="21"/>
        <v>12</v>
      </c>
      <c r="R88" s="11">
        <f t="shared" si="22"/>
        <v>2</v>
      </c>
      <c r="S88" s="12" t="str" cm="1">
        <f t="array" ref="S88">INDEX('PathStage-ConceptMap-1'!$I$15:$N$124,Q88+1,R88)</f>
        <v>* group[=].element[=].display = ##34#lung##34#</v>
      </c>
    </row>
    <row r="89" spans="7:19">
      <c r="G89" s="123"/>
      <c r="P89" s="11">
        <v>75</v>
      </c>
      <c r="Q89" s="11">
        <f t="shared" si="21"/>
        <v>12</v>
      </c>
      <c r="R89" s="11">
        <f t="shared" si="22"/>
        <v>3</v>
      </c>
      <c r="S89" s="12" t="str" cm="1">
        <f t="array" ref="S89">INDEX('PathStage-ConceptMap-1'!$I$15:$N$124,Q89+1,R89)</f>
        <v>* group[=].element[=].target.code = #Observation.</v>
      </c>
    </row>
    <row r="90" spans="7:19">
      <c r="G90" s="123"/>
      <c r="P90" s="11">
        <v>76</v>
      </c>
      <c r="Q90" s="11">
        <f t="shared" si="21"/>
        <v>12</v>
      </c>
      <c r="R90" s="11">
        <f t="shared" si="22"/>
        <v>4</v>
      </c>
      <c r="S90" s="12" t="str" cm="1">
        <f t="array" ref="S90">INDEX('PathStage-ConceptMap-1'!$I$15:$N$124,Q90+1,R90)</f>
        <v>* group[=].element[=].target.display = ##34###34#</v>
      </c>
    </row>
    <row r="91" spans="7:19">
      <c r="G91" s="123"/>
      <c r="P91" s="11">
        <v>77</v>
      </c>
      <c r="Q91" s="11">
        <f t="shared" si="21"/>
        <v>12</v>
      </c>
      <c r="R91" s="11">
        <f t="shared" si="22"/>
        <v>5</v>
      </c>
      <c r="S91" s="12" t="str" cm="1">
        <f t="array" ref="S91">INDEX('PathStage-ConceptMap-1'!$I$15:$N$124,Q91+1,R91)</f>
        <v>* group[=].element[=].target.equivalence = #relatedto</v>
      </c>
    </row>
    <row r="92" spans="7:19" ht="29.5">
      <c r="G92" s="123"/>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3"/>
      <c r="P93" s="11">
        <v>79</v>
      </c>
      <c r="Q93" s="11">
        <f t="shared" si="21"/>
        <v>13</v>
      </c>
      <c r="R93" s="11">
        <f t="shared" si="22"/>
        <v>1</v>
      </c>
      <c r="S93" s="12" t="str" cm="1">
        <f t="array" ref="S93">INDEX('PathStage-ConceptMap-1'!$I$15:$N$124,Q93+1,R93)</f>
        <v>* group[=].element[+].code = #PathologicalStage.bone</v>
      </c>
    </row>
    <row r="94" spans="7:19">
      <c r="G94" s="123"/>
      <c r="P94" s="11">
        <v>80</v>
      </c>
      <c r="Q94" s="11">
        <f t="shared" si="21"/>
        <v>13</v>
      </c>
      <c r="R94" s="11">
        <f t="shared" si="22"/>
        <v>2</v>
      </c>
      <c r="S94" s="12" t="str" cm="1">
        <f t="array" ref="S94">INDEX('PathStage-ConceptMap-1'!$I$15:$N$124,Q94+1,R94)</f>
        <v>* group[=].element[=].display = ##34#bone##34#</v>
      </c>
    </row>
    <row r="95" spans="7:19">
      <c r="G95" s="123"/>
      <c r="P95" s="11">
        <v>81</v>
      </c>
      <c r="Q95" s="11">
        <f t="shared" si="21"/>
        <v>13</v>
      </c>
      <c r="R95" s="11">
        <f t="shared" si="22"/>
        <v>3</v>
      </c>
      <c r="S95" s="12" t="str" cm="1">
        <f t="array" ref="S95">INDEX('PathStage-ConceptMap-1'!$I$15:$N$124,Q95+1,R95)</f>
        <v>* group[=].element[=].target.code = #Observation.</v>
      </c>
    </row>
    <row r="96" spans="7:19">
      <c r="G96" s="123"/>
      <c r="P96" s="11">
        <v>82</v>
      </c>
      <c r="Q96" s="11">
        <f t="shared" si="21"/>
        <v>13</v>
      </c>
      <c r="R96" s="11">
        <f t="shared" si="22"/>
        <v>4</v>
      </c>
      <c r="S96" s="12" t="str" cm="1">
        <f t="array" ref="S96">INDEX('PathStage-ConceptMap-1'!$I$15:$N$124,Q96+1,R96)</f>
        <v>* group[=].element[=].target.display = ##34###34#</v>
      </c>
    </row>
    <row r="97" spans="7:19">
      <c r="G97" s="123"/>
      <c r="P97" s="11">
        <v>83</v>
      </c>
      <c r="Q97" s="11">
        <f t="shared" si="21"/>
        <v>13</v>
      </c>
      <c r="R97" s="11">
        <f t="shared" si="22"/>
        <v>5</v>
      </c>
      <c r="S97" s="12" t="str" cm="1">
        <f t="array" ref="S97">INDEX('PathStage-ConceptMap-1'!$I$15:$N$124,Q97+1,R97)</f>
        <v>* group[=].element[=].target.equivalence = #relatedto</v>
      </c>
    </row>
    <row r="98" spans="7:19" ht="29.5">
      <c r="G98" s="123"/>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3"/>
      <c r="P99" s="11">
        <v>85</v>
      </c>
      <c r="Q99" s="11">
        <f t="shared" si="21"/>
        <v>14</v>
      </c>
      <c r="R99" s="11">
        <f t="shared" si="22"/>
        <v>1</v>
      </c>
      <c r="S99" s="12" t="str" cm="1">
        <f t="array" ref="S99">INDEX('PathStage-ConceptMap-1'!$I$15:$N$124,Q99+1,R99)</f>
        <v>* group[=].element[+].code = #PathologicalStage.liver</v>
      </c>
    </row>
    <row r="100" spans="7:19">
      <c r="G100" s="123"/>
      <c r="P100" s="11">
        <v>86</v>
      </c>
      <c r="Q100" s="11">
        <f t="shared" si="21"/>
        <v>14</v>
      </c>
      <c r="R100" s="11">
        <f t="shared" si="22"/>
        <v>2</v>
      </c>
      <c r="S100" s="12" t="str" cm="1">
        <f t="array" ref="S100">INDEX('PathStage-ConceptMap-1'!$I$15:$N$124,Q100+1,R100)</f>
        <v>* group[=].element[=].display = ##34#liver##34#</v>
      </c>
    </row>
    <row r="101" spans="7:19">
      <c r="G101" s="123"/>
      <c r="P101" s="11">
        <v>87</v>
      </c>
      <c r="Q101" s="11">
        <f t="shared" si="21"/>
        <v>14</v>
      </c>
      <c r="R101" s="11">
        <f t="shared" si="22"/>
        <v>3</v>
      </c>
      <c r="S101" s="12" t="str" cm="1">
        <f t="array" ref="S101">INDEX('PathStage-ConceptMap-1'!$I$15:$N$124,Q101+1,R101)</f>
        <v>* group[=].element[=].target.code = #Observation.</v>
      </c>
    </row>
    <row r="102" spans="7:19">
      <c r="G102" s="123"/>
      <c r="P102" s="11">
        <v>88</v>
      </c>
      <c r="Q102" s="11">
        <f t="shared" si="21"/>
        <v>14</v>
      </c>
      <c r="R102" s="11">
        <f t="shared" si="22"/>
        <v>4</v>
      </c>
      <c r="S102" s="12" t="str" cm="1">
        <f t="array" ref="S102">INDEX('PathStage-ConceptMap-1'!$I$15:$N$124,Q102+1,R102)</f>
        <v>* group[=].element[=].target.display = ##34###34#</v>
      </c>
    </row>
    <row r="103" spans="7:19">
      <c r="G103" s="123"/>
      <c r="P103" s="11">
        <v>89</v>
      </c>
      <c r="Q103" s="11">
        <f t="shared" si="21"/>
        <v>14</v>
      </c>
      <c r="R103" s="11">
        <f t="shared" si="22"/>
        <v>5</v>
      </c>
      <c r="S103" s="12" t="str" cm="1">
        <f t="array" ref="S103">INDEX('PathStage-ConceptMap-1'!$I$15:$N$124,Q103+1,R103)</f>
        <v>* group[=].element[=].target.equivalence = #relatedto</v>
      </c>
    </row>
    <row r="104" spans="7:19" ht="29.5">
      <c r="G104" s="123"/>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3"/>
      <c r="P105" s="11">
        <v>91</v>
      </c>
      <c r="Q105" s="11">
        <f t="shared" si="21"/>
        <v>15</v>
      </c>
      <c r="R105" s="11">
        <f t="shared" si="22"/>
        <v>1</v>
      </c>
      <c r="S105" s="12" t="str" cm="1">
        <f t="array" ref="S105">INDEX('PathStage-ConceptMap-1'!$I$15:$N$124,Q105+1,R105)</f>
        <v>* group[=].element[+].code = #PathologicalStage.pleura</v>
      </c>
    </row>
    <row r="106" spans="7:19">
      <c r="G106" s="123"/>
      <c r="P106" s="11">
        <v>92</v>
      </c>
      <c r="Q106" s="11">
        <f t="shared" si="21"/>
        <v>15</v>
      </c>
      <c r="R106" s="11">
        <f t="shared" si="22"/>
        <v>2</v>
      </c>
      <c r="S106" s="12" t="str" cm="1">
        <f t="array" ref="S106">INDEX('PathStage-ConceptMap-1'!$I$15:$N$124,Q106+1,R106)</f>
        <v>* group[=].element[=].display = ##34#pleura##34#</v>
      </c>
    </row>
    <row r="107" spans="7:19">
      <c r="G107" s="123"/>
      <c r="P107" s="11">
        <v>93</v>
      </c>
      <c r="Q107" s="11">
        <f t="shared" si="21"/>
        <v>15</v>
      </c>
      <c r="R107" s="11">
        <f t="shared" si="22"/>
        <v>3</v>
      </c>
      <c r="S107" s="12" t="str" cm="1">
        <f t="array" ref="S107">INDEX('PathStage-ConceptMap-1'!$I$15:$N$124,Q107+1,R107)</f>
        <v>* group[=].element[=].target.code = #Observation.</v>
      </c>
    </row>
    <row r="108" spans="7:19">
      <c r="G108" s="123"/>
      <c r="P108" s="11">
        <v>94</v>
      </c>
      <c r="Q108" s="11">
        <f t="shared" si="21"/>
        <v>15</v>
      </c>
      <c r="R108" s="11">
        <f t="shared" si="22"/>
        <v>4</v>
      </c>
      <c r="S108" s="12" t="str" cm="1">
        <f t="array" ref="S108">INDEX('PathStage-ConceptMap-1'!$I$15:$N$124,Q108+1,R108)</f>
        <v>* group[=].element[=].target.display = ##34###34#</v>
      </c>
    </row>
    <row r="109" spans="7:19">
      <c r="G109" s="123"/>
      <c r="P109" s="11">
        <v>95</v>
      </c>
      <c r="Q109" s="11">
        <f t="shared" si="21"/>
        <v>15</v>
      </c>
      <c r="R109" s="11">
        <f t="shared" si="22"/>
        <v>5</v>
      </c>
      <c r="S109" s="12" t="str" cm="1">
        <f t="array" ref="S109">INDEX('PathStage-ConceptMap-1'!$I$15:$N$124,Q109+1,R109)</f>
        <v>* group[=].element[=].target.equivalence = #relatedto</v>
      </c>
    </row>
    <row r="110" spans="7:19" ht="29.5">
      <c r="G110" s="123"/>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3"/>
      <c r="P111" s="11">
        <v>97</v>
      </c>
      <c r="Q111" s="11">
        <f t="shared" si="21"/>
        <v>16</v>
      </c>
      <c r="R111" s="11">
        <f t="shared" si="22"/>
        <v>1</v>
      </c>
      <c r="S111" s="12" t="str" cm="1">
        <f t="array" ref="S111">INDEX('PathStage-ConceptMap-1'!$I$15:$N$124,Q111+1,R111)</f>
        <v>* group[=].element[+].code = #PathologicalStage.peritoneum</v>
      </c>
    </row>
    <row r="112" spans="7:19">
      <c r="G112" s="123"/>
      <c r="P112" s="11">
        <v>98</v>
      </c>
      <c r="Q112" s="11">
        <f t="shared" si="21"/>
        <v>16</v>
      </c>
      <c r="R112" s="11">
        <f t="shared" si="22"/>
        <v>2</v>
      </c>
      <c r="S112" s="12" t="str" cm="1">
        <f t="array" ref="S112">INDEX('PathStage-ConceptMap-1'!$I$15:$N$124,Q112+1,R112)</f>
        <v>* group[=].element[=].display = ##34#peritoneum##34#</v>
      </c>
    </row>
    <row r="113" spans="7:19">
      <c r="G113" s="123"/>
      <c r="P113" s="11">
        <v>99</v>
      </c>
      <c r="Q113" s="11">
        <f t="shared" si="21"/>
        <v>16</v>
      </c>
      <c r="R113" s="11">
        <f t="shared" si="22"/>
        <v>3</v>
      </c>
      <c r="S113" s="12" t="str" cm="1">
        <f t="array" ref="S113">INDEX('PathStage-ConceptMap-1'!$I$15:$N$124,Q113+1,R113)</f>
        <v>* group[=].element[=].target.code = #Observation.</v>
      </c>
    </row>
    <row r="114" spans="7:19">
      <c r="G114" s="123"/>
      <c r="P114" s="11">
        <v>100</v>
      </c>
      <c r="Q114" s="11">
        <f t="shared" si="21"/>
        <v>16</v>
      </c>
      <c r="R114" s="11">
        <f t="shared" si="22"/>
        <v>4</v>
      </c>
      <c r="S114" s="12" t="str" cm="1">
        <f t="array" ref="S114">INDEX('PathStage-ConceptMap-1'!$I$15:$N$124,Q114+1,R114)</f>
        <v>* group[=].element[=].target.display = ##34###34#</v>
      </c>
    </row>
    <row r="115" spans="7:19">
      <c r="G115" s="123"/>
      <c r="P115" s="11">
        <v>101</v>
      </c>
      <c r="Q115" s="11">
        <f t="shared" si="21"/>
        <v>16</v>
      </c>
      <c r="R115" s="11">
        <f t="shared" si="22"/>
        <v>5</v>
      </c>
      <c r="S115" s="12" t="str" cm="1">
        <f t="array" ref="S115">INDEX('PathStage-ConceptMap-1'!$I$15:$N$124,Q115+1,R115)</f>
        <v>* group[=].element[=].target.equivalence = #relatedto</v>
      </c>
    </row>
    <row r="116" spans="7:19" ht="29.5">
      <c r="G116" s="123"/>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3"/>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2009</v>
      </c>
      <c r="D3" s="62" t="s">
        <v>1769</v>
      </c>
      <c r="E3" s="117" t="str">
        <f>$C$1&amp;ClinicalStage!B4</f>
        <v>http://hl7.eu/fhir/ig/idea4rc/StructureDefinition/ClinicalStageI4rc</v>
      </c>
    </row>
    <row r="4" spans="1:19">
      <c r="B4" s="62" t="s">
        <v>16</v>
      </c>
      <c r="C4" s="28" t="s">
        <v>2009</v>
      </c>
      <c r="D4" s="62" t="s">
        <v>1770</v>
      </c>
      <c r="E4" s="184" t="s">
        <v>2003</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2003</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1996</v>
      </c>
      <c r="E15" s="12"/>
      <c r="F15" s="64" t="s">
        <v>1407</v>
      </c>
      <c r="G15" s="123" t="s">
        <v>1998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5"/>
      <c r="G16" s="123"/>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5"/>
      <c r="G17" s="123"/>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5"/>
      <c r="G18" s="123"/>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2004</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2004</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ClinicalStage!B10</f>
        <v>cN</v>
      </c>
      <c r="C15" s="11" t="str">
        <f>ClinicalStage!C10</f>
        <v>cN</v>
      </c>
      <c r="D15" s="12" t="s">
        <v>1996</v>
      </c>
      <c r="E15" s="12"/>
      <c r="F15" s="64" t="s">
        <v>1407</v>
      </c>
      <c r="G15" s="123" t="s">
        <v>1998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3"/>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5"/>
      <c r="G17" s="123"/>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5"/>
      <c r="G18" s="123"/>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3"/>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3"/>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INDEX('PathStage-ConceptMap-3'!$I$15:$N$123,Q43+1,R43)</f>
        <v>0</v>
      </c>
    </row>
    <row r="44" spans="1:19">
      <c r="B44" s="11"/>
      <c r="C44" s="11"/>
      <c r="G44" s="123"/>
      <c r="P44" s="11">
        <v>30</v>
      </c>
      <c r="Q44" s="11">
        <f t="shared" si="6"/>
        <v>4</v>
      </c>
      <c r="R44" s="11">
        <f t="shared" si="7"/>
        <v>6</v>
      </c>
      <c r="S44" s="12" cm="1">
        <f t="array" ref="S44">INDEX('PathStage-ConceptMap-3'!$I$15:$N$123,Q44+1,R44)</f>
        <v>0</v>
      </c>
    </row>
    <row r="45" spans="1:19">
      <c r="B45" s="11"/>
      <c r="C45" s="11"/>
      <c r="G45" s="123"/>
      <c r="P45" s="11">
        <v>31</v>
      </c>
      <c r="Q45" s="11">
        <f t="shared" si="6"/>
        <v>5</v>
      </c>
      <c r="R45" s="11">
        <f t="shared" si="7"/>
        <v>1</v>
      </c>
      <c r="S45" s="12" cm="1">
        <f t="array" ref="S45">INDEX('PathStage-ConceptMap-3'!$I$15:$N$123,Q45+1,R45)</f>
        <v>0</v>
      </c>
    </row>
    <row r="46" spans="1:19">
      <c r="G46" s="123"/>
      <c r="P46" s="11">
        <v>32</v>
      </c>
      <c r="Q46" s="11">
        <f t="shared" si="6"/>
        <v>5</v>
      </c>
      <c r="R46" s="11">
        <f t="shared" si="7"/>
        <v>2</v>
      </c>
      <c r="S46" s="12" cm="1">
        <f t="array" ref="S46">INDEX('PathStage-ConceptMap-3'!$I$15:$N$123,Q46+1,R46)</f>
        <v>0</v>
      </c>
    </row>
    <row r="47" spans="1:19">
      <c r="G47" s="123"/>
      <c r="P47" s="11">
        <v>33</v>
      </c>
      <c r="Q47" s="11">
        <f t="shared" si="6"/>
        <v>5</v>
      </c>
      <c r="R47" s="11">
        <f t="shared" si="7"/>
        <v>3</v>
      </c>
      <c r="S47" s="12" cm="1">
        <f t="array" ref="S47">INDEX('PathStage-ConceptMap-3'!$I$15:$N$123,Q47+1,R47)</f>
        <v>0</v>
      </c>
    </row>
    <row r="48" spans="1:19">
      <c r="G48" s="123"/>
      <c r="P48" s="11">
        <v>34</v>
      </c>
      <c r="Q48" s="11">
        <f t="shared" si="6"/>
        <v>5</v>
      </c>
      <c r="R48" s="11">
        <f t="shared" si="7"/>
        <v>4</v>
      </c>
      <c r="S48" s="12" cm="1">
        <f t="array" ref="S48">INDEX('PathStage-ConceptMap-3'!$I$15:$N$123,Q48+1,R48)</f>
        <v>0</v>
      </c>
    </row>
    <row r="49" spans="7:19">
      <c r="G49" s="123"/>
      <c r="P49" s="11">
        <v>35</v>
      </c>
      <c r="Q49" s="11">
        <f t="shared" si="6"/>
        <v>5</v>
      </c>
      <c r="R49" s="11">
        <f t="shared" si="7"/>
        <v>5</v>
      </c>
      <c r="S49" s="12" cm="1">
        <f t="array" ref="S49">INDEX('PathStage-ConceptMap-3'!$I$15:$N$123,Q49+1,R49)</f>
        <v>0</v>
      </c>
    </row>
    <row r="50" spans="7:19">
      <c r="G50" s="123"/>
      <c r="P50" s="11">
        <v>36</v>
      </c>
      <c r="Q50" s="11">
        <f t="shared" si="6"/>
        <v>5</v>
      </c>
      <c r="R50" s="11">
        <f t="shared" si="7"/>
        <v>6</v>
      </c>
      <c r="S50" s="12" cm="1">
        <f t="array" ref="S50">INDEX('PathStage-ConceptMap-3'!$I$15:$N$123,Q50+1,R50)</f>
        <v>0</v>
      </c>
    </row>
    <row r="51" spans="7:19">
      <c r="G51" s="123"/>
      <c r="P51" s="11">
        <v>37</v>
      </c>
      <c r="Q51" s="11">
        <f t="shared" si="6"/>
        <v>6</v>
      </c>
      <c r="R51" s="11">
        <f t="shared" si="7"/>
        <v>1</v>
      </c>
      <c r="S51" s="12" cm="1">
        <f t="array" ref="S51">INDEX('PathStage-ConceptMap-3'!$I$15:$N$123,Q51+1,R51)</f>
        <v>0</v>
      </c>
    </row>
    <row r="52" spans="7:19">
      <c r="G52" s="123"/>
      <c r="P52" s="11">
        <v>38</v>
      </c>
      <c r="Q52" s="11">
        <f t="shared" si="6"/>
        <v>6</v>
      </c>
      <c r="R52" s="11">
        <f t="shared" si="7"/>
        <v>2</v>
      </c>
      <c r="S52" s="12" cm="1">
        <f t="array" ref="S52">INDEX('PathStage-ConceptMap-3'!$I$15:$N$123,Q52+1,R52)</f>
        <v>0</v>
      </c>
    </row>
    <row r="53" spans="7:19">
      <c r="G53" s="123"/>
      <c r="P53" s="11">
        <v>39</v>
      </c>
      <c r="Q53" s="11">
        <f t="shared" si="6"/>
        <v>6</v>
      </c>
      <c r="R53" s="11">
        <f t="shared" si="7"/>
        <v>3</v>
      </c>
      <c r="S53" s="12" cm="1">
        <f t="array" ref="S53">INDEX('PathStage-ConceptMap-3'!$I$15:$N$123,Q53+1,R53)</f>
        <v>0</v>
      </c>
    </row>
    <row r="54" spans="7:19">
      <c r="G54" s="123"/>
      <c r="P54" s="11">
        <v>40</v>
      </c>
      <c r="Q54" s="11">
        <f t="shared" si="6"/>
        <v>6</v>
      </c>
      <c r="R54" s="11">
        <f t="shared" si="7"/>
        <v>4</v>
      </c>
      <c r="S54" s="12" cm="1">
        <f t="array" ref="S54">INDEX('PathStage-ConceptMap-3'!$I$15:$N$123,Q54+1,R54)</f>
        <v>0</v>
      </c>
    </row>
    <row r="55" spans="7:19">
      <c r="G55" s="123"/>
      <c r="P55" s="11">
        <v>41</v>
      </c>
      <c r="Q55" s="11">
        <f t="shared" si="6"/>
        <v>6</v>
      </c>
      <c r="R55" s="11">
        <f t="shared" si="7"/>
        <v>5</v>
      </c>
      <c r="S55" s="12" cm="1">
        <f t="array" ref="S55">INDEX('PathStage-ConceptMap-3'!$I$15:$N$123,Q55+1,R55)</f>
        <v>0</v>
      </c>
    </row>
    <row r="56" spans="7:19">
      <c r="G56" s="123"/>
      <c r="P56" s="11">
        <v>42</v>
      </c>
      <c r="Q56" s="11">
        <f t="shared" si="6"/>
        <v>6</v>
      </c>
      <c r="R56" s="11">
        <f t="shared" si="7"/>
        <v>6</v>
      </c>
      <c r="S56" s="12" cm="1">
        <f t="array" ref="S56">INDEX('PathStage-ConceptMap-3'!$I$15:$N$123,Q56+1,R56)</f>
        <v>0</v>
      </c>
    </row>
    <row r="57" spans="7:19">
      <c r="G57" s="123"/>
      <c r="P57" s="11">
        <v>43</v>
      </c>
      <c r="Q57" s="11">
        <f t="shared" si="6"/>
        <v>7</v>
      </c>
      <c r="R57" s="11">
        <f t="shared" si="7"/>
        <v>1</v>
      </c>
      <c r="S57" s="12" cm="1">
        <f t="array" ref="S57">INDEX('PathStage-ConceptMap-3'!$I$15:$N$123,Q57+1,R57)</f>
        <v>0</v>
      </c>
    </row>
    <row r="58" spans="7:19">
      <c r="G58" s="123"/>
      <c r="P58" s="11">
        <v>44</v>
      </c>
      <c r="Q58" s="11">
        <f t="shared" si="6"/>
        <v>7</v>
      </c>
      <c r="R58" s="11">
        <f t="shared" si="7"/>
        <v>2</v>
      </c>
      <c r="S58" s="12" cm="1">
        <f t="array" ref="S58">INDEX('PathStage-ConceptMap-3'!$I$15:$N$123,Q58+1,R58)</f>
        <v>0</v>
      </c>
    </row>
    <row r="59" spans="7:19">
      <c r="G59" s="123"/>
      <c r="P59" s="11">
        <v>45</v>
      </c>
      <c r="Q59" s="11">
        <f t="shared" si="6"/>
        <v>7</v>
      </c>
      <c r="R59" s="11">
        <f t="shared" si="7"/>
        <v>3</v>
      </c>
      <c r="S59" s="12" cm="1">
        <f t="array" ref="S59">INDEX('PathStage-ConceptMap-3'!$I$15:$N$123,Q59+1,R59)</f>
        <v>0</v>
      </c>
    </row>
    <row r="60" spans="7:19">
      <c r="G60" s="123"/>
      <c r="P60" s="11">
        <v>46</v>
      </c>
      <c r="Q60" s="11">
        <f t="shared" si="6"/>
        <v>7</v>
      </c>
      <c r="R60" s="11">
        <f t="shared" si="7"/>
        <v>4</v>
      </c>
      <c r="S60" s="12" cm="1">
        <f t="array" ref="S60">INDEX('PathStage-ConceptMap-3'!$I$15:$N$123,Q60+1,R60)</f>
        <v>0</v>
      </c>
    </row>
    <row r="61" spans="7:19">
      <c r="G61" s="123"/>
      <c r="P61" s="11">
        <v>47</v>
      </c>
      <c r="Q61" s="11">
        <f t="shared" si="6"/>
        <v>7</v>
      </c>
      <c r="R61" s="11">
        <f t="shared" si="7"/>
        <v>5</v>
      </c>
      <c r="S61" s="12" cm="1">
        <f t="array" ref="S61">INDEX('PathStage-ConceptMap-3'!$I$15:$N$123,Q61+1,R61)</f>
        <v>0</v>
      </c>
    </row>
    <row r="62" spans="7:19">
      <c r="G62" s="123"/>
      <c r="P62" s="11">
        <v>48</v>
      </c>
      <c r="Q62" s="11">
        <f t="shared" si="6"/>
        <v>7</v>
      </c>
      <c r="R62" s="11">
        <f t="shared" si="7"/>
        <v>6</v>
      </c>
      <c r="S62" s="12" cm="1">
        <f t="array" ref="S62">INDEX('PathStage-ConceptMap-3'!$I$15:$N$123,Q62+1,R62)</f>
        <v>0</v>
      </c>
    </row>
    <row r="63" spans="7:19">
      <c r="G63" s="123"/>
      <c r="P63" s="11">
        <v>49</v>
      </c>
      <c r="Q63" s="11">
        <f t="shared" si="6"/>
        <v>8</v>
      </c>
      <c r="R63" s="11">
        <f t="shared" si="7"/>
        <v>1</v>
      </c>
      <c r="S63" s="12" cm="1">
        <f t="array" ref="S63">INDEX('PathStage-ConceptMap-3'!$I$15:$N$123,Q63+1,R63)</f>
        <v>0</v>
      </c>
    </row>
    <row r="64" spans="7:19">
      <c r="G64" s="123"/>
      <c r="P64" s="11">
        <v>50</v>
      </c>
      <c r="Q64" s="11">
        <f t="shared" si="6"/>
        <v>8</v>
      </c>
      <c r="R64" s="11">
        <f t="shared" si="7"/>
        <v>2</v>
      </c>
      <c r="S64" s="12" cm="1">
        <f t="array" ref="S64">INDEX('PathStage-ConceptMap-3'!$I$15:$N$123,Q64+1,R64)</f>
        <v>0</v>
      </c>
    </row>
    <row r="65" spans="7:19">
      <c r="G65" s="123"/>
      <c r="P65" s="11">
        <v>51</v>
      </c>
      <c r="Q65" s="11">
        <f t="shared" si="6"/>
        <v>8</v>
      </c>
      <c r="R65" s="11">
        <f t="shared" si="7"/>
        <v>3</v>
      </c>
      <c r="S65" s="12" cm="1">
        <f t="array" ref="S65">INDEX('PathStage-ConceptMap-3'!$I$15:$N$123,Q65+1,R65)</f>
        <v>0</v>
      </c>
    </row>
    <row r="66" spans="7:19">
      <c r="G66" s="123"/>
      <c r="P66" s="11">
        <v>52</v>
      </c>
      <c r="Q66" s="11">
        <f t="shared" si="6"/>
        <v>8</v>
      </c>
      <c r="R66" s="11">
        <f t="shared" si="7"/>
        <v>4</v>
      </c>
      <c r="S66" s="12" cm="1">
        <f t="array" ref="S66">INDEX('PathStage-ConceptMap-3'!$I$15:$N$123,Q66+1,R66)</f>
        <v>0</v>
      </c>
    </row>
    <row r="67" spans="7:19">
      <c r="G67" s="123"/>
      <c r="P67" s="11">
        <v>53</v>
      </c>
      <c r="Q67" s="11">
        <f t="shared" si="6"/>
        <v>8</v>
      </c>
      <c r="R67" s="11">
        <f t="shared" si="7"/>
        <v>5</v>
      </c>
      <c r="S67" s="12" cm="1">
        <f t="array" ref="S67">INDEX('PathStage-ConceptMap-3'!$I$15:$N$123,Q67+1,R67)</f>
        <v>0</v>
      </c>
    </row>
    <row r="68" spans="7:19">
      <c r="G68" s="123"/>
      <c r="P68" s="11">
        <v>54</v>
      </c>
      <c r="Q68" s="11">
        <f t="shared" si="6"/>
        <v>8</v>
      </c>
      <c r="R68" s="11">
        <f t="shared" si="7"/>
        <v>6</v>
      </c>
      <c r="S68" s="12" cm="1">
        <f t="array" ref="S68">INDEX('PathStage-ConceptMap-3'!$I$15:$N$123,Q68+1,R68)</f>
        <v>0</v>
      </c>
    </row>
    <row r="69" spans="7:19">
      <c r="G69" s="123"/>
      <c r="P69" s="11">
        <v>55</v>
      </c>
      <c r="Q69" s="11">
        <f t="shared" si="6"/>
        <v>9</v>
      </c>
      <c r="R69" s="11">
        <f t="shared" si="7"/>
        <v>1</v>
      </c>
      <c r="S69" s="12" cm="1">
        <f t="array" ref="S69">INDEX('PathStage-ConceptMap-3'!$I$15:$N$123,Q69+1,R69)</f>
        <v>0</v>
      </c>
    </row>
    <row r="70" spans="7:19">
      <c r="G70" s="123"/>
      <c r="P70" s="11">
        <v>56</v>
      </c>
      <c r="Q70" s="11">
        <f t="shared" si="6"/>
        <v>9</v>
      </c>
      <c r="R70" s="11">
        <f t="shared" si="7"/>
        <v>2</v>
      </c>
      <c r="S70" s="12" cm="1">
        <f t="array" ref="S70">INDEX('PathStage-ConceptMap-3'!$I$15:$N$123,Q70+1,R70)</f>
        <v>0</v>
      </c>
    </row>
    <row r="71" spans="7:19">
      <c r="G71" s="123"/>
      <c r="P71" s="11">
        <v>57</v>
      </c>
      <c r="Q71" s="11">
        <f t="shared" si="6"/>
        <v>9</v>
      </c>
      <c r="R71" s="11">
        <f t="shared" si="7"/>
        <v>3</v>
      </c>
      <c r="S71" s="12" cm="1">
        <f t="array" ref="S71">INDEX('PathStage-ConceptMap-3'!$I$15:$N$123,Q71+1,R71)</f>
        <v>0</v>
      </c>
    </row>
    <row r="72" spans="7:19">
      <c r="G72" s="123"/>
      <c r="P72" s="11">
        <v>58</v>
      </c>
      <c r="Q72" s="11">
        <f t="shared" si="6"/>
        <v>9</v>
      </c>
      <c r="R72" s="11">
        <f t="shared" si="7"/>
        <v>4</v>
      </c>
      <c r="S72" s="12" cm="1">
        <f t="array" ref="S72">INDEX('PathStage-ConceptMap-3'!$I$15:$N$123,Q72+1,R72)</f>
        <v>0</v>
      </c>
    </row>
    <row r="73" spans="7:19">
      <c r="G73" s="123"/>
      <c r="P73" s="11">
        <v>59</v>
      </c>
      <c r="Q73" s="11">
        <f t="shared" si="6"/>
        <v>9</v>
      </c>
      <c r="R73" s="11">
        <f t="shared" si="7"/>
        <v>5</v>
      </c>
      <c r="S73" s="12" cm="1">
        <f t="array" ref="S73">INDEX('PathStage-ConceptMap-3'!$I$15:$N$123,Q73+1,R73)</f>
        <v>0</v>
      </c>
    </row>
    <row r="74" spans="7:19">
      <c r="G74" s="123"/>
      <c r="P74" s="11">
        <v>60</v>
      </c>
      <c r="Q74" s="11">
        <f t="shared" si="6"/>
        <v>9</v>
      </c>
      <c r="R74" s="11">
        <f t="shared" si="7"/>
        <v>6</v>
      </c>
      <c r="S74" s="12" cm="1">
        <f t="array" ref="S74">INDEX('PathStage-ConceptMap-3'!$I$15:$N$123,Q74+1,R74)</f>
        <v>0</v>
      </c>
    </row>
    <row r="75" spans="7:19">
      <c r="G75" s="123"/>
      <c r="P75" s="11">
        <v>61</v>
      </c>
      <c r="Q75" s="11">
        <f t="shared" si="6"/>
        <v>10</v>
      </c>
      <c r="R75" s="11">
        <f t="shared" si="7"/>
        <v>1</v>
      </c>
      <c r="S75" s="12" cm="1">
        <f t="array" ref="S75">INDEX('PathStage-ConceptMap-3'!$I$15:$N$123,Q75+1,R75)</f>
        <v>0</v>
      </c>
    </row>
    <row r="76" spans="7:19">
      <c r="G76" s="123"/>
      <c r="P76" s="11">
        <v>62</v>
      </c>
      <c r="Q76" s="11">
        <f t="shared" si="6"/>
        <v>10</v>
      </c>
      <c r="R76" s="11">
        <f t="shared" si="7"/>
        <v>2</v>
      </c>
      <c r="S76" s="12" cm="1">
        <f t="array" ref="S76">INDEX('PathStage-ConceptMap-3'!$I$15:$N$123,Q76+1,R76)</f>
        <v>0</v>
      </c>
    </row>
    <row r="77" spans="7:19">
      <c r="G77" s="123"/>
      <c r="P77" s="11">
        <v>63</v>
      </c>
      <c r="Q77" s="11">
        <f t="shared" si="6"/>
        <v>10</v>
      </c>
      <c r="R77" s="11">
        <f t="shared" si="7"/>
        <v>3</v>
      </c>
      <c r="S77" s="12" cm="1">
        <f t="array" ref="S77">INDEX('PathStage-ConceptMap-3'!$I$15:$N$123,Q77+1,R77)</f>
        <v>0</v>
      </c>
    </row>
    <row r="78" spans="7:19">
      <c r="G78" s="123"/>
      <c r="P78" s="11">
        <v>64</v>
      </c>
      <c r="Q78" s="11">
        <f t="shared" si="6"/>
        <v>10</v>
      </c>
      <c r="R78" s="11">
        <f t="shared" si="7"/>
        <v>4</v>
      </c>
      <c r="S78" s="12" cm="1">
        <f t="array" ref="S78">INDEX('PathStage-ConceptMap-3'!$I$15:$N$123,Q78+1,R78)</f>
        <v>0</v>
      </c>
    </row>
    <row r="79" spans="7:19">
      <c r="G79" s="123"/>
      <c r="P79" s="11">
        <v>65</v>
      </c>
      <c r="Q79" s="11">
        <f t="shared" ref="Q79:Q142" si="8">IF(MOD(P79,$Q$8)=0,P79/$Q$8-1,INT(P79/$Q$8))</f>
        <v>10</v>
      </c>
      <c r="R79" s="11">
        <f t="shared" ref="R79:R142" si="9">IF(MOD(P79,$Q$8)=0,$Q$8,MOD(P79,$Q$8))</f>
        <v>5</v>
      </c>
      <c r="S79" s="12" cm="1">
        <f t="array" ref="S79">INDEX('PathStage-ConceptMap-3'!$I$15:$N$123,Q79+1,R79)</f>
        <v>0</v>
      </c>
    </row>
    <row r="80" spans="7:19">
      <c r="G80" s="123"/>
      <c r="P80" s="11">
        <v>66</v>
      </c>
      <c r="Q80" s="11">
        <f t="shared" si="8"/>
        <v>10</v>
      </c>
      <c r="R80" s="11">
        <f t="shared" si="9"/>
        <v>6</v>
      </c>
      <c r="S80" s="12" cm="1">
        <f t="array" ref="S80">INDEX('PathStage-ConceptMap-3'!$I$15:$N$123,Q80+1,R80)</f>
        <v>0</v>
      </c>
    </row>
    <row r="81" spans="7:19">
      <c r="G81" s="123"/>
      <c r="P81" s="11">
        <v>67</v>
      </c>
      <c r="Q81" s="11">
        <f t="shared" si="8"/>
        <v>11</v>
      </c>
      <c r="R81" s="11">
        <f t="shared" si="9"/>
        <v>1</v>
      </c>
      <c r="S81" s="12" cm="1">
        <f t="array" ref="S81">INDEX('PathStage-ConceptMap-3'!$I$15:$N$123,Q81+1,R81)</f>
        <v>0</v>
      </c>
    </row>
    <row r="82" spans="7:19">
      <c r="G82" s="123"/>
      <c r="P82" s="11">
        <v>68</v>
      </c>
      <c r="Q82" s="11">
        <f t="shared" si="8"/>
        <v>11</v>
      </c>
      <c r="R82" s="11">
        <f t="shared" si="9"/>
        <v>2</v>
      </c>
      <c r="S82" s="12" cm="1">
        <f t="array" ref="S82">INDEX('PathStage-ConceptMap-3'!$I$15:$N$123,Q82+1,R82)</f>
        <v>0</v>
      </c>
    </row>
    <row r="83" spans="7:19">
      <c r="G83" s="123"/>
      <c r="P83" s="11">
        <v>69</v>
      </c>
      <c r="Q83" s="11">
        <f t="shared" si="8"/>
        <v>11</v>
      </c>
      <c r="R83" s="11">
        <f t="shared" si="9"/>
        <v>3</v>
      </c>
      <c r="S83" s="12" cm="1">
        <f t="array" ref="S83">INDEX('PathStage-ConceptMap-3'!$I$15:$N$123,Q83+1,R83)</f>
        <v>0</v>
      </c>
    </row>
    <row r="84" spans="7:19">
      <c r="G84" s="123"/>
      <c r="P84" s="11">
        <v>70</v>
      </c>
      <c r="Q84" s="11">
        <f t="shared" si="8"/>
        <v>11</v>
      </c>
      <c r="R84" s="11">
        <f t="shared" si="9"/>
        <v>4</v>
      </c>
      <c r="S84" s="12" cm="1">
        <f t="array" ref="S84">INDEX('PathStage-ConceptMap-3'!$I$15:$N$123,Q84+1,R84)</f>
        <v>0</v>
      </c>
    </row>
    <row r="85" spans="7:19">
      <c r="G85" s="123"/>
      <c r="P85" s="11">
        <v>71</v>
      </c>
      <c r="Q85" s="11">
        <f t="shared" si="8"/>
        <v>11</v>
      </c>
      <c r="R85" s="11">
        <f t="shared" si="9"/>
        <v>5</v>
      </c>
      <c r="S85" s="12" cm="1">
        <f t="array" ref="S85">INDEX('PathStage-ConceptMap-3'!$I$15:$N$123,Q85+1,R85)</f>
        <v>0</v>
      </c>
    </row>
    <row r="86" spans="7:19">
      <c r="G86" s="123"/>
      <c r="P86" s="11">
        <v>72</v>
      </c>
      <c r="Q86" s="11">
        <f t="shared" si="8"/>
        <v>11</v>
      </c>
      <c r="R86" s="11">
        <f t="shared" si="9"/>
        <v>6</v>
      </c>
      <c r="S86" s="12" cm="1">
        <f t="array" ref="S86">INDEX('PathStage-ConceptMap-3'!$I$15:$N$123,Q86+1,R86)</f>
        <v>0</v>
      </c>
    </row>
    <row r="87" spans="7:19">
      <c r="G87" s="123"/>
      <c r="P87" s="11">
        <v>73</v>
      </c>
      <c r="Q87" s="11">
        <f t="shared" si="8"/>
        <v>12</v>
      </c>
      <c r="R87" s="11">
        <f t="shared" si="9"/>
        <v>1</v>
      </c>
      <c r="S87" s="12" cm="1">
        <f t="array" ref="S87">INDEX('PathStage-ConceptMap-3'!$I$15:$N$123,Q87+1,R87)</f>
        <v>0</v>
      </c>
    </row>
    <row r="88" spans="7:19">
      <c r="G88" s="123"/>
      <c r="P88" s="11">
        <v>74</v>
      </c>
      <c r="Q88" s="11">
        <f t="shared" si="8"/>
        <v>12</v>
      </c>
      <c r="R88" s="11">
        <f t="shared" si="9"/>
        <v>2</v>
      </c>
      <c r="S88" s="12" cm="1">
        <f t="array" ref="S88">INDEX('PathStage-ConceptMap-3'!$I$15:$N$123,Q88+1,R88)</f>
        <v>0</v>
      </c>
    </row>
    <row r="89" spans="7:19">
      <c r="G89" s="123"/>
      <c r="P89" s="11">
        <v>75</v>
      </c>
      <c r="Q89" s="11">
        <f t="shared" si="8"/>
        <v>12</v>
      </c>
      <c r="R89" s="11">
        <f t="shared" si="9"/>
        <v>3</v>
      </c>
      <c r="S89" s="12" cm="1">
        <f t="array" ref="S89">INDEX('PathStage-ConceptMap-3'!$I$15:$N$123,Q89+1,R89)</f>
        <v>0</v>
      </c>
    </row>
    <row r="90" spans="7:19">
      <c r="G90" s="123"/>
      <c r="P90" s="11">
        <v>76</v>
      </c>
      <c r="Q90" s="11">
        <f t="shared" si="8"/>
        <v>12</v>
      </c>
      <c r="R90" s="11">
        <f t="shared" si="9"/>
        <v>4</v>
      </c>
      <c r="S90" s="12" cm="1">
        <f t="array" ref="S90">INDEX('PathStage-ConceptMap-3'!$I$15:$N$123,Q90+1,R90)</f>
        <v>0</v>
      </c>
    </row>
    <row r="91" spans="7:19">
      <c r="G91" s="123"/>
      <c r="P91" s="11">
        <v>77</v>
      </c>
      <c r="Q91" s="11">
        <f t="shared" si="8"/>
        <v>12</v>
      </c>
      <c r="R91" s="11">
        <f t="shared" si="9"/>
        <v>5</v>
      </c>
      <c r="S91" s="12" cm="1">
        <f t="array" ref="S91">INDEX('PathStage-ConceptMap-3'!$I$15:$N$123,Q91+1,R91)</f>
        <v>0</v>
      </c>
    </row>
    <row r="92" spans="7:19">
      <c r="G92" s="123"/>
      <c r="P92" s="11">
        <v>78</v>
      </c>
      <c r="Q92" s="11">
        <f t="shared" si="8"/>
        <v>12</v>
      </c>
      <c r="R92" s="11">
        <f t="shared" si="9"/>
        <v>6</v>
      </c>
      <c r="S92" s="12" cm="1">
        <f t="array" ref="S92">INDEX('PathStage-ConceptMap-3'!$I$15:$N$123,Q92+1,R92)</f>
        <v>0</v>
      </c>
    </row>
    <row r="93" spans="7:19">
      <c r="G93" s="123"/>
      <c r="P93" s="11">
        <v>79</v>
      </c>
      <c r="Q93" s="11">
        <f t="shared" si="8"/>
        <v>13</v>
      </c>
      <c r="R93" s="11">
        <f t="shared" si="9"/>
        <v>1</v>
      </c>
      <c r="S93" s="12" cm="1">
        <f t="array" ref="S93">INDEX('PathStage-ConceptMap-3'!$I$15:$N$123,Q93+1,R93)</f>
        <v>0</v>
      </c>
    </row>
    <row r="94" spans="7:19">
      <c r="G94" s="123"/>
      <c r="P94" s="11">
        <v>80</v>
      </c>
      <c r="Q94" s="11">
        <f t="shared" si="8"/>
        <v>13</v>
      </c>
      <c r="R94" s="11">
        <f t="shared" si="9"/>
        <v>2</v>
      </c>
      <c r="S94" s="12" cm="1">
        <f t="array" ref="S94">INDEX('PathStage-ConceptMap-3'!$I$15:$N$123,Q94+1,R94)</f>
        <v>0</v>
      </c>
    </row>
    <row r="95" spans="7:19">
      <c r="G95" s="123"/>
      <c r="P95" s="11">
        <v>81</v>
      </c>
      <c r="Q95" s="11">
        <f t="shared" si="8"/>
        <v>13</v>
      </c>
      <c r="R95" s="11">
        <f t="shared" si="9"/>
        <v>3</v>
      </c>
      <c r="S95" s="12" cm="1">
        <f t="array" ref="S95">INDEX('PathStage-ConceptMap-3'!$I$15:$N$123,Q95+1,R95)</f>
        <v>0</v>
      </c>
    </row>
    <row r="96" spans="7:19">
      <c r="G96" s="123"/>
      <c r="P96" s="11">
        <v>82</v>
      </c>
      <c r="Q96" s="11">
        <f t="shared" si="8"/>
        <v>13</v>
      </c>
      <c r="R96" s="11">
        <f t="shared" si="9"/>
        <v>4</v>
      </c>
      <c r="S96" s="12" cm="1">
        <f t="array" ref="S96">INDEX('PathStage-ConceptMap-3'!$I$15:$N$123,Q96+1,R96)</f>
        <v>0</v>
      </c>
    </row>
    <row r="97" spans="7:19">
      <c r="G97" s="123"/>
      <c r="P97" s="11">
        <v>83</v>
      </c>
      <c r="Q97" s="11">
        <f t="shared" si="8"/>
        <v>13</v>
      </c>
      <c r="R97" s="11">
        <f t="shared" si="9"/>
        <v>5</v>
      </c>
      <c r="S97" s="12" cm="1">
        <f t="array" ref="S97">INDEX('PathStage-ConceptMap-3'!$I$15:$N$123,Q97+1,R97)</f>
        <v>0</v>
      </c>
    </row>
    <row r="98" spans="7:19">
      <c r="G98" s="123"/>
      <c r="P98" s="11">
        <v>84</v>
      </c>
      <c r="Q98" s="11">
        <f t="shared" si="8"/>
        <v>13</v>
      </c>
      <c r="R98" s="11">
        <f t="shared" si="9"/>
        <v>6</v>
      </c>
      <c r="S98" s="12" cm="1">
        <f t="array" ref="S98">INDEX('PathStage-ConceptMap-3'!$I$15:$N$123,Q98+1,R98)</f>
        <v>0</v>
      </c>
    </row>
    <row r="99" spans="7:19">
      <c r="G99" s="123"/>
      <c r="P99" s="11">
        <v>85</v>
      </c>
      <c r="Q99" s="11">
        <f t="shared" si="8"/>
        <v>14</v>
      </c>
      <c r="R99" s="11">
        <f t="shared" si="9"/>
        <v>1</v>
      </c>
      <c r="S99" s="12" cm="1">
        <f t="array" ref="S99">INDEX('PathStage-ConceptMap-3'!$I$15:$N$123,Q99+1,R99)</f>
        <v>0</v>
      </c>
    </row>
    <row r="100" spans="7:19">
      <c r="G100" s="123"/>
      <c r="P100" s="11">
        <v>86</v>
      </c>
      <c r="Q100" s="11">
        <f t="shared" si="8"/>
        <v>14</v>
      </c>
      <c r="R100" s="11">
        <f t="shared" si="9"/>
        <v>2</v>
      </c>
      <c r="S100" s="12" cm="1">
        <f t="array" ref="S100">INDEX('PathStage-ConceptMap-3'!$I$15:$N$123,Q100+1,R100)</f>
        <v>0</v>
      </c>
    </row>
    <row r="101" spans="7:19">
      <c r="G101" s="123"/>
      <c r="P101" s="11">
        <v>87</v>
      </c>
      <c r="Q101" s="11">
        <f t="shared" si="8"/>
        <v>14</v>
      </c>
      <c r="R101" s="11">
        <f t="shared" si="9"/>
        <v>3</v>
      </c>
      <c r="S101" s="12" cm="1">
        <f t="array" ref="S101">INDEX('PathStage-ConceptMap-3'!$I$15:$N$123,Q101+1,R101)</f>
        <v>0</v>
      </c>
    </row>
    <row r="102" spans="7:19">
      <c r="G102" s="123"/>
      <c r="P102" s="11">
        <v>88</v>
      </c>
      <c r="Q102" s="11">
        <f t="shared" si="8"/>
        <v>14</v>
      </c>
      <c r="R102" s="11">
        <f t="shared" si="9"/>
        <v>4</v>
      </c>
      <c r="S102" s="12" cm="1">
        <f t="array" ref="S102">INDEX('PathStage-ConceptMap-3'!$I$15:$N$123,Q102+1,R102)</f>
        <v>0</v>
      </c>
    </row>
    <row r="103" spans="7:19">
      <c r="G103" s="123"/>
      <c r="P103" s="11">
        <v>89</v>
      </c>
      <c r="Q103" s="11">
        <f t="shared" si="8"/>
        <v>14</v>
      </c>
      <c r="R103" s="11">
        <f t="shared" si="9"/>
        <v>5</v>
      </c>
      <c r="S103" s="12" cm="1">
        <f t="array" ref="S103">INDEX('PathStage-ConceptMap-3'!$I$15:$N$123,Q103+1,R103)</f>
        <v>0</v>
      </c>
    </row>
    <row r="104" spans="7:19">
      <c r="G104" s="123"/>
      <c r="P104" s="11">
        <v>90</v>
      </c>
      <c r="Q104" s="11">
        <f t="shared" si="8"/>
        <v>14</v>
      </c>
      <c r="R104" s="11">
        <f t="shared" si="9"/>
        <v>6</v>
      </c>
      <c r="S104" s="12" cm="1">
        <f t="array" ref="S104">INDEX('PathStage-ConceptMap-3'!$I$15:$N$123,Q104+1,R104)</f>
        <v>0</v>
      </c>
    </row>
    <row r="105" spans="7:19">
      <c r="G105" s="123"/>
      <c r="P105" s="11">
        <v>91</v>
      </c>
      <c r="Q105" s="11">
        <f t="shared" si="8"/>
        <v>15</v>
      </c>
      <c r="R105" s="11">
        <f t="shared" si="9"/>
        <v>1</v>
      </c>
      <c r="S105" s="12" cm="1">
        <f t="array" ref="S105">INDEX('PathStage-ConceptMap-3'!$I$15:$N$123,Q105+1,R105)</f>
        <v>0</v>
      </c>
    </row>
    <row r="106" spans="7:19">
      <c r="G106" s="123"/>
      <c r="P106" s="11">
        <v>92</v>
      </c>
      <c r="Q106" s="11">
        <f t="shared" si="8"/>
        <v>15</v>
      </c>
      <c r="R106" s="11">
        <f t="shared" si="9"/>
        <v>2</v>
      </c>
      <c r="S106" s="12" cm="1">
        <f t="array" ref="S106">INDEX('PathStage-ConceptMap-3'!$I$15:$N$123,Q106+1,R106)</f>
        <v>0</v>
      </c>
    </row>
    <row r="107" spans="7:19">
      <c r="G107" s="123"/>
      <c r="P107" s="11">
        <v>93</v>
      </c>
      <c r="Q107" s="11">
        <f t="shared" si="8"/>
        <v>15</v>
      </c>
      <c r="R107" s="11">
        <f t="shared" si="9"/>
        <v>3</v>
      </c>
      <c r="S107" s="12" cm="1">
        <f t="array" ref="S107">INDEX('PathStage-ConceptMap-3'!$I$15:$N$123,Q107+1,R107)</f>
        <v>0</v>
      </c>
    </row>
    <row r="108" spans="7:19">
      <c r="G108" s="123"/>
      <c r="P108" s="11">
        <v>94</v>
      </c>
      <c r="Q108" s="11">
        <f t="shared" si="8"/>
        <v>15</v>
      </c>
      <c r="R108" s="11">
        <f t="shared" si="9"/>
        <v>4</v>
      </c>
      <c r="S108" s="12" cm="1">
        <f t="array" ref="S108">INDEX('PathStage-ConceptMap-3'!$I$15:$N$123,Q108+1,R108)</f>
        <v>0</v>
      </c>
    </row>
    <row r="109" spans="7:19">
      <c r="G109" s="123"/>
      <c r="P109" s="11">
        <v>95</v>
      </c>
      <c r="Q109" s="11">
        <f t="shared" si="8"/>
        <v>15</v>
      </c>
      <c r="R109" s="11">
        <f t="shared" si="9"/>
        <v>5</v>
      </c>
      <c r="S109" s="12" cm="1">
        <f t="array" ref="S109">INDEX('PathStage-ConceptMap-3'!$I$15:$N$123,Q109+1,R109)</f>
        <v>0</v>
      </c>
    </row>
    <row r="110" spans="7:19">
      <c r="G110" s="123"/>
      <c r="P110" s="11">
        <v>96</v>
      </c>
      <c r="Q110" s="11">
        <f t="shared" si="8"/>
        <v>15</v>
      </c>
      <c r="R110" s="11">
        <f t="shared" si="9"/>
        <v>6</v>
      </c>
      <c r="S110" s="12" cm="1">
        <f t="array" ref="S110">INDEX('PathStage-ConceptMap-3'!$I$15:$N$123,Q110+1,R110)</f>
        <v>0</v>
      </c>
    </row>
    <row r="111" spans="7:19">
      <c r="G111" s="123"/>
      <c r="P111" s="11">
        <v>97</v>
      </c>
      <c r="Q111" s="11">
        <f t="shared" si="8"/>
        <v>16</v>
      </c>
      <c r="R111" s="11">
        <f t="shared" si="9"/>
        <v>1</v>
      </c>
      <c r="S111" s="12" cm="1">
        <f t="array" ref="S111">INDEX('PathStage-ConceptMap-3'!$I$15:$N$123,Q111+1,R111)</f>
        <v>0</v>
      </c>
    </row>
    <row r="112" spans="7:19">
      <c r="G112" s="123"/>
      <c r="P112" s="11">
        <v>98</v>
      </c>
      <c r="Q112" s="11">
        <f t="shared" si="8"/>
        <v>16</v>
      </c>
      <c r="R112" s="11">
        <f t="shared" si="9"/>
        <v>2</v>
      </c>
      <c r="S112" s="12" cm="1">
        <f t="array" ref="S112">INDEX('PathStage-ConceptMap-3'!$I$15:$N$123,Q112+1,R112)</f>
        <v>0</v>
      </c>
    </row>
    <row r="113" spans="7:19">
      <c r="G113" s="123"/>
      <c r="P113" s="11">
        <v>99</v>
      </c>
      <c r="Q113" s="11">
        <f t="shared" si="8"/>
        <v>16</v>
      </c>
      <c r="R113" s="11">
        <f t="shared" si="9"/>
        <v>3</v>
      </c>
      <c r="S113" s="12" cm="1">
        <f t="array" ref="S113">INDEX('PathStage-ConceptMap-3'!$I$15:$N$123,Q113+1,R113)</f>
        <v>0</v>
      </c>
    </row>
    <row r="114" spans="7:19">
      <c r="G114" s="123"/>
      <c r="P114" s="11">
        <v>100</v>
      </c>
      <c r="Q114" s="11">
        <f t="shared" si="8"/>
        <v>16</v>
      </c>
      <c r="R114" s="11">
        <f t="shared" si="9"/>
        <v>4</v>
      </c>
      <c r="S114" s="12" cm="1">
        <f t="array" ref="S114">INDEX('PathStage-ConceptMap-3'!$I$15:$N$123,Q114+1,R114)</f>
        <v>0</v>
      </c>
    </row>
    <row r="115" spans="7:19">
      <c r="G115" s="123"/>
      <c r="P115" s="11">
        <v>101</v>
      </c>
      <c r="Q115" s="11">
        <f t="shared" si="8"/>
        <v>16</v>
      </c>
      <c r="R115" s="11">
        <f t="shared" si="9"/>
        <v>5</v>
      </c>
      <c r="S115" s="12" cm="1">
        <f t="array" ref="S115">INDEX('PathStage-ConceptMap-3'!$I$15:$N$123,Q115+1,R115)</f>
        <v>0</v>
      </c>
    </row>
    <row r="116" spans="7:19">
      <c r="G116" s="123"/>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1983</v>
      </c>
      <c r="D3" s="62" t="s">
        <v>1769</v>
      </c>
      <c r="E3" s="117" t="str">
        <f>$C$1&amp;ClinicalStage!B4</f>
        <v>http://hl7.eu/fhir/ig/idea4rc/StructureDefinition/ClinicalStageI4rc</v>
      </c>
    </row>
    <row r="4" spans="1:19">
      <c r="B4" s="62" t="s">
        <v>16</v>
      </c>
      <c r="C4" s="28" t="s">
        <v>1985</v>
      </c>
      <c r="D4" s="62" t="s">
        <v>1770</v>
      </c>
      <c r="E4" s="184" t="s">
        <v>2005</v>
      </c>
      <c r="F4" s="185"/>
      <c r="G4" s="185"/>
    </row>
    <row r="5" spans="1:19">
      <c r="B5" s="62" t="s">
        <v>10</v>
      </c>
      <c r="C5" s="7" t="s">
        <v>1986</v>
      </c>
      <c r="D5" s="62"/>
      <c r="E5" s="7"/>
    </row>
    <row r="6" spans="1:19">
      <c r="B6" s="62" t="s">
        <v>18</v>
      </c>
      <c r="C6" s="56"/>
      <c r="D6" s="62" t="s">
        <v>1771</v>
      </c>
      <c r="E6" s="184" t="str">
        <f>E3</f>
        <v>http://hl7.eu/fhir/ig/idea4rc/StructureDefinition/ClinicalStageI4rc</v>
      </c>
      <c r="F6" s="185"/>
      <c r="G6" s="185"/>
    </row>
    <row r="7" spans="1:19">
      <c r="B7" s="62" t="s">
        <v>15</v>
      </c>
      <c r="C7" s="118"/>
      <c r="D7" s="62" t="s">
        <v>1772</v>
      </c>
      <c r="E7" s="184" t="s">
        <v>2005</v>
      </c>
      <c r="F7" s="185"/>
      <c r="G7" s="185"/>
    </row>
    <row r="8" spans="1:19" ht="44.25">
      <c r="B8" s="62" t="s">
        <v>1773</v>
      </c>
      <c r="C8" s="119" t="s">
        <v>1986</v>
      </c>
      <c r="D8" s="62"/>
      <c r="E8" s="7"/>
      <c r="I8" s="12" t="s">
        <v>1402</v>
      </c>
      <c r="J8" s="12" t="s">
        <v>1403</v>
      </c>
      <c r="K8" s="12" t="s">
        <v>1404</v>
      </c>
      <c r="L8" s="12" t="s">
        <v>1405</v>
      </c>
      <c r="M8" s="11" t="s">
        <v>1406</v>
      </c>
      <c r="P8" s="49" t="s">
        <v>1441</v>
      </c>
      <c r="Q8" s="49">
        <v>6</v>
      </c>
    </row>
    <row r="9" spans="1:19">
      <c r="B9" s="62" t="s">
        <v>1774</v>
      </c>
      <c r="C9" s="12" t="s">
        <v>1987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ClinicalStage!B12</f>
        <v>cM</v>
      </c>
      <c r="C15" s="11" t="str">
        <f>ClinicalStage!C12</f>
        <v>cM</v>
      </c>
      <c r="D15" s="12" t="s">
        <v>1996</v>
      </c>
      <c r="E15" s="12"/>
      <c r="F15" s="64" t="s">
        <v>1407</v>
      </c>
      <c r="G15" s="123"/>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5"/>
      <c r="G16" s="123"/>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5"/>
      <c r="G17" s="123"/>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5"/>
      <c r="G18" s="123"/>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2013</v>
      </c>
    </row>
    <row r="3" spans="2:7">
      <c r="B3" s="24" t="s">
        <v>20</v>
      </c>
    </row>
    <row r="4" spans="2:7">
      <c r="B4" s="65" t="str">
        <f>"Instance: "&amp;'PathStage-ConceptMap-1'!C4</f>
        <v>Instance: pathologicalStage2FHIR</v>
      </c>
    </row>
    <row r="5" spans="2:7">
      <c r="B5" s="65" t="s">
        <v>1447</v>
      </c>
    </row>
    <row r="6" spans="2:7">
      <c r="B6" s="65" t="s">
        <v>1438</v>
      </c>
    </row>
    <row r="7" spans="2:7">
      <c r="B7" s="65" t="s">
        <v>1776</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1"/>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0"/>
    </row>
    <row r="149" spans="2:2">
      <c r="B149" s="68" t="str">
        <f>"* group[+].source = ##34#"&amp;'PathStage-ConceptMap-2'!E6&amp;"##34#"</f>
        <v>* group[+].source = ##34#http://hl7.eu/fhir/ig/idea4rc/StructureDefinition/ClinicalStageI4rc##34#</v>
      </c>
    </row>
    <row r="150" spans="2:2">
      <c r="B150" s="131" t="str">
        <f>"* group[=].target = ##34#"&amp;'PathStage-ConceptMap-2'!E7&amp;"##34#"</f>
        <v>* group[=].target = ##34#http://hl7.eu/fhir/ig/idea4rc/StructureDefinition/mcode-tnm-primary-tumor-category##34#</v>
      </c>
    </row>
    <row r="151" spans="2:2">
      <c r="B151" s="132"/>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19"/>
      <c r="C163" s="7"/>
      <c r="D163" s="7"/>
      <c r="E163" s="7"/>
      <c r="F163" s="7"/>
      <c r="G163" s="7"/>
    </row>
    <row r="164" spans="2:7">
      <c r="B164" s="130"/>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1" t="str">
        <f>"* group[=].target = ##34#"&amp;'PathStage-ConceptMap-3'!E7&amp;"##34#"</f>
        <v>* group[=].target = ##34#http://hl7.eu/fhir/ig/idea4rc/StructureDefinition/mcode-tnm-regional-nodes-category##34#</v>
      </c>
      <c r="C166" s="7"/>
      <c r="D166" s="7"/>
      <c r="E166" s="7"/>
      <c r="F166" s="7"/>
      <c r="G166" s="7"/>
    </row>
    <row r="167" spans="2:7">
      <c r="B167" s="132"/>
      <c r="C167" s="7"/>
      <c r="D167" s="7"/>
      <c r="E167" s="7"/>
      <c r="F167" s="7"/>
      <c r="G167" s="7"/>
    </row>
    <row r="168" spans="2:7">
      <c r="B168" s="119" t="str">
        <f>IF('PathStage-ConceptMap-3'!S15=0,"//---END",'PathStage-ConceptMap-3'!S15)</f>
        <v>* group[=].element[+].code = #PathologicalStage.cN</v>
      </c>
      <c r="C168" s="7"/>
      <c r="D168" s="7"/>
      <c r="E168" s="7"/>
      <c r="F168" s="7"/>
      <c r="G168" s="7"/>
    </row>
    <row r="169" spans="2:7">
      <c r="B169" s="119" t="str">
        <f>IF('PathStage-ConceptMap-3'!S16=0,"//---END",'PathStage-ConceptMap-3'!S16)</f>
        <v>* group[=].element[=].display = ##34#cN##34#</v>
      </c>
      <c r="C169" s="7"/>
      <c r="D169" s="7"/>
      <c r="E169" s="7"/>
      <c r="F169" s="7"/>
      <c r="G169" s="7"/>
    </row>
    <row r="170" spans="2:7">
      <c r="B170" s="119" t="str">
        <f>IF('PathStage-ConceptMap-3'!S17=0,"//---END",'PathStage-ConceptMap-3'!S17)</f>
        <v>* group[=].element[=].target.code = #Observation.valueCodeableConcept</v>
      </c>
      <c r="C170" s="7"/>
      <c r="D170" s="7"/>
      <c r="E170" s="7"/>
      <c r="F170" s="7"/>
      <c r="G170" s="7"/>
    </row>
    <row r="171" spans="2:7">
      <c r="B171" s="119" t="str">
        <f>IF('PathStage-ConceptMap-3'!S18=0,"//---END",'PathStage-ConceptMap-3'!S18)</f>
        <v>* group[=].element[=].target.display = ##34###34#</v>
      </c>
      <c r="C171" s="7"/>
      <c r="D171" s="7"/>
      <c r="E171" s="7"/>
      <c r="F171" s="7"/>
      <c r="G171" s="7"/>
    </row>
    <row r="172" spans="2:7">
      <c r="B172" s="119" t="str">
        <f>IF('PathStage-ConceptMap-3'!S19=0,"//---END",'PathStage-ConceptMap-3'!S19)</f>
        <v>* group[=].element[=].target.equivalence = #relatedto</v>
      </c>
      <c r="C172" s="7"/>
      <c r="D172" s="7"/>
      <c r="E172" s="7"/>
      <c r="F172" s="7"/>
      <c r="G172" s="7"/>
    </row>
    <row r="173" spans="2:7">
      <c r="B173" s="119" t="str">
        <f>IF('PathStage-ConceptMap-3'!S20=0,"//---END",'PathStage-ConceptMap-3'!S20)</f>
        <v>* group[=].element[=].target.comment = ##34#where code = 21902-2	 'Stage group.pathology'##34#</v>
      </c>
      <c r="C173" s="7"/>
      <c r="D173" s="7"/>
      <c r="E173" s="7"/>
      <c r="F173" s="7"/>
      <c r="G173" s="7"/>
    </row>
    <row r="174" spans="2:7">
      <c r="B174" s="119" t="str">
        <f>IF('PathStage-ConceptMap-3'!S21=0,"//---END",'PathStage-ConceptMap-3'!S21)</f>
        <v>//---END</v>
      </c>
      <c r="C174" s="7"/>
      <c r="D174" s="7"/>
      <c r="E174" s="7"/>
      <c r="F174" s="7"/>
      <c r="G174" s="7"/>
    </row>
    <row r="175" spans="2:7">
      <c r="B175" s="119" t="str">
        <f>IF('PathStage-ConceptMap-3'!S22=0,"//---END",'PathStage-ConceptMap-3'!S22)</f>
        <v>//---END</v>
      </c>
      <c r="C175" s="7"/>
      <c r="D175" s="7"/>
      <c r="E175" s="7"/>
      <c r="F175" s="7"/>
      <c r="G175" s="7"/>
    </row>
    <row r="176" spans="2:7">
      <c r="B176" s="119" t="str">
        <f>IF('PathStage-ConceptMap-3'!S23=0,"//---END",'PathStage-ConceptMap-3'!S23)</f>
        <v>//---END</v>
      </c>
      <c r="C176" s="7"/>
      <c r="D176" s="7"/>
      <c r="E176" s="7"/>
      <c r="F176" s="7"/>
      <c r="G176" s="7"/>
    </row>
    <row r="177" spans="2:7">
      <c r="B177" s="119" t="str">
        <f>IF('PathStage-ConceptMap-3'!S24=0,"//---END",'PathStage-ConceptMap-3'!S24)</f>
        <v>//---END</v>
      </c>
      <c r="C177" s="7"/>
      <c r="D177" s="7"/>
      <c r="E177" s="7"/>
      <c r="F177" s="7"/>
      <c r="G177" s="7"/>
    </row>
    <row r="178" spans="2:7">
      <c r="B178" s="119" t="str">
        <f>IF('PathStage-ConceptMap-3'!S25=0,"//---END",'PathStage-ConceptMap-3'!S25)</f>
        <v>//---END</v>
      </c>
      <c r="C178" s="7"/>
      <c r="D178" s="7"/>
      <c r="E178" s="7"/>
      <c r="F178" s="7"/>
      <c r="G178" s="7"/>
    </row>
    <row r="179" spans="2:7">
      <c r="B179" s="130"/>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1" t="str">
        <f>"* group[=].target = ##34#"&amp;'PathStage-ConceptMap-4'!E7&amp;"##34#"</f>
        <v>* group[=].target = ##34#http://hl7.eu/fhir/ig/idea4rc/StructureDefinition/mcode-tnm-distant-metastases-category##34#</v>
      </c>
      <c r="C181" s="7"/>
      <c r="D181" s="7"/>
      <c r="E181" s="7"/>
      <c r="F181" s="7"/>
      <c r="G181" s="7"/>
    </row>
    <row r="182" spans="2:7">
      <c r="B182" s="132"/>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2353</v>
      </c>
      <c r="J4" s="16" t="str">
        <f>CONCATENATE("Logical: ",B4)</f>
        <v>Logical: SystemicTreatmentI4rc</v>
      </c>
    </row>
    <row r="5" spans="1:12" ht="15.5" thickBot="1">
      <c r="A5" s="14" t="s">
        <v>16</v>
      </c>
      <c r="B5" s="45" t="s">
        <v>2014</v>
      </c>
      <c r="J5" s="16" t="str">
        <f>CONCATENATE("Id: ",B5)</f>
        <v>Id: SystemicTreatment</v>
      </c>
    </row>
    <row r="6" spans="1:12" ht="15.5" thickBot="1">
      <c r="A6" s="14" t="s">
        <v>10</v>
      </c>
      <c r="B6" s="45" t="s">
        <v>2015</v>
      </c>
      <c r="J6" s="17" t="str">
        <f>CONCATENATE("Title: ##34#",B6,"##34#")</f>
        <v>Title: ##34#Systemic Treatment##34#</v>
      </c>
    </row>
    <row r="7" spans="1:12">
      <c r="A7" s="26" t="s">
        <v>2</v>
      </c>
      <c r="B7" s="45" t="s">
        <v>2015</v>
      </c>
      <c r="C7" s="9" t="s">
        <v>3</v>
      </c>
      <c r="D7" s="1" t="s">
        <v>4</v>
      </c>
      <c r="E7" s="3" t="s">
        <v>5</v>
      </c>
      <c r="F7" s="3" t="s">
        <v>6</v>
      </c>
      <c r="G7" s="3" t="s">
        <v>7</v>
      </c>
      <c r="H7" s="105" t="s">
        <v>1610</v>
      </c>
      <c r="J7" s="17" t="str">
        <f>CONCATENATE("Description: "," ##334#",B7,"##334#",)</f>
        <v>Description:  ##334#Systemic Treatment##334#</v>
      </c>
    </row>
    <row r="8" spans="1:12" ht="59">
      <c r="A8" s="100">
        <v>0</v>
      </c>
      <c r="B8" s="12" t="s">
        <v>1913</v>
      </c>
      <c r="C8" s="12" t="s">
        <v>2016</v>
      </c>
      <c r="D8" s="12" t="s">
        <v>1872</v>
      </c>
      <c r="E8" s="11">
        <v>1</v>
      </c>
      <c r="F8" s="11">
        <v>1</v>
      </c>
      <c r="G8" s="57" t="s">
        <v>1969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2017</v>
      </c>
      <c r="C9" s="12" t="s">
        <v>2018</v>
      </c>
      <c r="D9" s="12" t="s">
        <v>2019</v>
      </c>
      <c r="E9" s="11">
        <v>1</v>
      </c>
      <c r="F9" s="11">
        <v>1</v>
      </c>
      <c r="G9" s="11" t="s">
        <v>1764</v>
      </c>
      <c r="H9" s="12" t="s">
        <v>2020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2021</v>
      </c>
      <c r="E10" s="11">
        <v>1</v>
      </c>
      <c r="F10" s="11">
        <v>1</v>
      </c>
      <c r="G10" s="12" t="s">
        <v>1764</v>
      </c>
      <c r="H10" s="12" t="s">
        <v>2022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2023</v>
      </c>
      <c r="D11" s="12" t="s">
        <v>2024</v>
      </c>
      <c r="E11" s="11">
        <v>1</v>
      </c>
      <c r="F11" s="11">
        <v>1</v>
      </c>
      <c r="G11" s="12" t="s">
        <v>1764</v>
      </c>
      <c r="H11" s="12" t="s">
        <v>2025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2026</v>
      </c>
      <c r="D14" s="12" t="s">
        <v>2027</v>
      </c>
      <c r="E14" s="11">
        <v>0</v>
      </c>
      <c r="F14" s="12">
        <v>1</v>
      </c>
      <c r="G14" s="148" t="s">
        <v>2176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2168</v>
      </c>
      <c r="C16" s="12" t="s">
        <v>1660</v>
      </c>
      <c r="D16" s="13" t="s">
        <v>1660</v>
      </c>
      <c r="E16" s="11">
        <v>1</v>
      </c>
      <c r="F16" s="11">
        <v>1</v>
      </c>
      <c r="G16" s="11" t="s">
        <v>1764</v>
      </c>
      <c r="H16" s="12" t="s">
        <v>2028</v>
      </c>
      <c r="I16" s="25"/>
      <c r="J16" s="12" t="str">
        <f t="shared" si="0"/>
        <v>* regimen.drugs1 1..1 CodeableConcept ##34#Drugs 1##34# ##334#Drugs 1##334#</v>
      </c>
      <c r="L16" s="12" t="str">
        <f t="shared" si="1"/>
        <v>* regimen.drugs1 ^comment = ##334#ATC list
Athena vocabulary 
ATC##334#</v>
      </c>
    </row>
    <row r="17" spans="1:13" ht="44.25">
      <c r="A17" s="101">
        <v>9</v>
      </c>
      <c r="B17" s="13" t="s">
        <v>2169</v>
      </c>
      <c r="C17" s="12" t="s">
        <v>1661</v>
      </c>
      <c r="D17" s="13" t="s">
        <v>1661</v>
      </c>
      <c r="E17" s="11">
        <v>1</v>
      </c>
      <c r="F17" s="11">
        <v>1</v>
      </c>
      <c r="G17" s="11" t="s">
        <v>1764</v>
      </c>
      <c r="H17" s="12" t="s">
        <v>2028</v>
      </c>
      <c r="I17" s="25"/>
      <c r="J17" s="12" t="str">
        <f t="shared" si="0"/>
        <v>* regimen.drugs2 1..1 CodeableConcept ##34#Drugs 2##34# ##334#Drugs 2##334#</v>
      </c>
      <c r="L17" s="12" t="str">
        <f t="shared" si="1"/>
        <v>* regimen.drugs2 ^comment = ##334#ATC list
Athena vocabulary 
ATC##334#</v>
      </c>
    </row>
    <row r="18" spans="1:13" ht="44.25">
      <c r="A18" s="101">
        <v>10</v>
      </c>
      <c r="B18" s="13" t="s">
        <v>2170</v>
      </c>
      <c r="C18" s="12" t="s">
        <v>1662</v>
      </c>
      <c r="D18" s="13" t="s">
        <v>1662</v>
      </c>
      <c r="E18" s="11">
        <v>1</v>
      </c>
      <c r="F18" s="11">
        <v>1</v>
      </c>
      <c r="G18" s="11" t="s">
        <v>1764</v>
      </c>
      <c r="H18" s="12" t="s">
        <v>2028</v>
      </c>
      <c r="J18" s="12" t="str">
        <f t="shared" si="0"/>
        <v>* regimen.drugs3 1..1 CodeableConcept ##34#Drugs 3##34# ##334#Drugs 3##334#</v>
      </c>
      <c r="L18" s="12" t="str">
        <f t="shared" si="1"/>
        <v>* regimen.drugs3 ^comment = ##334#ATC list
Athena vocabulary 
ATC##334#</v>
      </c>
    </row>
    <row r="19" spans="1:13" ht="44.25">
      <c r="A19" s="101">
        <v>11</v>
      </c>
      <c r="B19" s="13" t="s">
        <v>2171</v>
      </c>
      <c r="C19" s="12" t="s">
        <v>1665</v>
      </c>
      <c r="D19" s="12" t="s">
        <v>2029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2172</v>
      </c>
      <c r="C20" s="12" t="s">
        <v>1666</v>
      </c>
      <c r="D20" s="12" t="s">
        <v>2030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1764</v>
      </c>
      <c r="H21" s="12" t="s">
        <v>2031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2032</v>
      </c>
      <c r="D22" s="12" t="s">
        <v>2033</v>
      </c>
      <c r="E22" s="11">
        <v>1</v>
      </c>
      <c r="F22" s="11">
        <v>1</v>
      </c>
      <c r="G22" s="11" t="s">
        <v>1764</v>
      </c>
      <c r="H22" s="12" t="s">
        <v>2034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2035</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2228</v>
      </c>
      <c r="D3" s="62" t="s">
        <v>1769</v>
      </c>
      <c r="E3" s="117" t="str">
        <f>$C$1&amp;B14</f>
        <v>http://hl7.eu/fhir/ig/idea4rc/StructureDefinition/SystemicTreatment</v>
      </c>
    </row>
    <row r="4" spans="1:19">
      <c r="B4" s="62" t="s">
        <v>16</v>
      </c>
      <c r="C4" s="28" t="s">
        <v>2228</v>
      </c>
      <c r="D4" s="62" t="s">
        <v>1770</v>
      </c>
      <c r="E4" s="184" t="s">
        <v>2240</v>
      </c>
      <c r="F4" s="189"/>
      <c r="G4" s="189"/>
    </row>
    <row r="5" spans="1:19">
      <c r="B5" s="62" t="s">
        <v>10</v>
      </c>
      <c r="C5" s="7" t="s">
        <v>2229</v>
      </c>
      <c r="D5" s="62"/>
      <c r="E5" s="7"/>
    </row>
    <row r="6" spans="1:19">
      <c r="B6" s="62" t="s">
        <v>18</v>
      </c>
      <c r="C6" s="56"/>
      <c r="D6" s="62" t="s">
        <v>1771</v>
      </c>
      <c r="E6" s="184" t="str">
        <f>E3</f>
        <v>http://hl7.eu/fhir/ig/idea4rc/StructureDefinition/SystemicTreatment</v>
      </c>
      <c r="F6" s="185"/>
      <c r="G6" s="185"/>
    </row>
    <row r="7" spans="1:19">
      <c r="B7" s="62" t="s">
        <v>15</v>
      </c>
      <c r="C7" s="118"/>
      <c r="D7" s="62" t="s">
        <v>1772</v>
      </c>
      <c r="E7" s="184" t="str">
        <f>E4</f>
        <v>http://hl7.eu/fhir/ig/idea4rc/StructureDefinition/MedicationAdministration-eu-i4rc</v>
      </c>
      <c r="F7" s="185"/>
      <c r="G7" s="185"/>
    </row>
    <row r="8" spans="1:19" ht="45" thickBot="1">
      <c r="B8" s="62" t="s">
        <v>1773</v>
      </c>
      <c r="C8" s="7" t="s">
        <v>2229</v>
      </c>
      <c r="D8" s="62"/>
      <c r="E8" s="7"/>
      <c r="I8" s="12" t="s">
        <v>1402</v>
      </c>
      <c r="J8" s="12" t="s">
        <v>1403</v>
      </c>
      <c r="K8" s="12" t="s">
        <v>1404</v>
      </c>
      <c r="L8" s="12" t="s">
        <v>1405</v>
      </c>
      <c r="M8" s="11" t="s">
        <v>1406</v>
      </c>
      <c r="P8" s="49" t="s">
        <v>1441</v>
      </c>
      <c r="Q8" s="49">
        <v>6</v>
      </c>
    </row>
    <row r="9" spans="1:19" ht="30.25" thickBot="1">
      <c r="B9" s="62" t="s">
        <v>1774</v>
      </c>
      <c r="C9" s="12" t="s">
        <v>2230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2182</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2183</v>
      </c>
      <c r="E15" s="12"/>
      <c r="F15" s="64" t="s">
        <v>1407</v>
      </c>
      <c r="G15" s="123"/>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2231</v>
      </c>
      <c r="E16" s="12"/>
      <c r="F16" s="64" t="s">
        <v>1429</v>
      </c>
      <c r="G16" s="123" t="s">
        <v>2239</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2232</v>
      </c>
      <c r="E17" s="12"/>
      <c r="F17" s="64" t="s">
        <v>1407</v>
      </c>
      <c r="G17" s="122" t="s">
        <v>1775</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2233</v>
      </c>
      <c r="E18" s="12"/>
      <c r="F18" s="64" t="s">
        <v>1407</v>
      </c>
      <c r="G18" s="122" t="s">
        <v>1775</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1974</v>
      </c>
      <c r="E19" s="12"/>
      <c r="F19" s="64" t="s">
        <v>1407</v>
      </c>
      <c r="G19" s="123"/>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2234</v>
      </c>
      <c r="E20" s="12"/>
      <c r="F20" s="64" t="s">
        <v>1407</v>
      </c>
      <c r="G20" s="123"/>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3"/>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3"/>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2235</v>
      </c>
      <c r="E23" s="11"/>
      <c r="F23" s="64" t="s">
        <v>1407</v>
      </c>
      <c r="G23" s="122" t="s">
        <v>1775</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2235</v>
      </c>
      <c r="E24" s="11"/>
      <c r="F24" s="64" t="s">
        <v>1407</v>
      </c>
      <c r="G24" s="122" t="s">
        <v>1775</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2235</v>
      </c>
      <c r="E25" s="11"/>
      <c r="F25" s="64" t="s">
        <v>1407</v>
      </c>
      <c r="G25" s="122" t="s">
        <v>1775</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2" t="s">
        <v>1775</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2" t="s">
        <v>1775</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2236</v>
      </c>
      <c r="E28" s="12"/>
      <c r="F28" s="64" t="s">
        <v>1407</v>
      </c>
      <c r="G28" s="123"/>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2237</v>
      </c>
      <c r="E29" s="12"/>
      <c r="F29" s="64" t="s">
        <v>1407</v>
      </c>
      <c r="G29" s="122" t="s">
        <v>2238</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2241</v>
      </c>
    </row>
    <row r="3" spans="2:7">
      <c r="B3" s="24" t="s">
        <v>20</v>
      </c>
    </row>
    <row r="4" spans="2:7">
      <c r="B4" s="65" t="str">
        <f>"Instance: "&amp;'SystemicTreatm-ConceptMap-1'!C4</f>
        <v>Instance: systemicTreatment2FHIR</v>
      </c>
    </row>
    <row r="5" spans="2:7">
      <c r="B5" s="65" t="s">
        <v>1447</v>
      </c>
    </row>
    <row r="6" spans="2:7">
      <c r="B6" s="65" t="s">
        <v>1438</v>
      </c>
    </row>
    <row r="7" spans="2:7">
      <c r="B7" s="65" t="s">
        <v>1776</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1"/>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2354</v>
      </c>
      <c r="J4" s="16" t="str">
        <f>CONCATENATE("Logical: ",B4)</f>
        <v>Logical: SurgeryI4rc</v>
      </c>
    </row>
    <row r="5" spans="1:12" ht="15.5" thickBot="1">
      <c r="A5" s="14" t="s">
        <v>16</v>
      </c>
      <c r="B5" s="45" t="s">
        <v>2037</v>
      </c>
      <c r="J5" s="16" t="str">
        <f>CONCATENATE("Id: ",B5)</f>
        <v>Id: Surgery</v>
      </c>
    </row>
    <row r="6" spans="1:12" ht="15.5" thickBot="1">
      <c r="A6" s="14" t="s">
        <v>10</v>
      </c>
      <c r="B6" s="45" t="s">
        <v>2037</v>
      </c>
      <c r="J6" s="17" t="str">
        <f>CONCATENATE("Title: ##34#",B6,"##34#")</f>
        <v>Title: ##34#Surgery##34#</v>
      </c>
    </row>
    <row r="7" spans="1:12">
      <c r="A7" s="26" t="s">
        <v>2</v>
      </c>
      <c r="B7" s="149" t="s">
        <v>2037</v>
      </c>
      <c r="C7" s="9" t="s">
        <v>3</v>
      </c>
      <c r="D7" s="1" t="s">
        <v>4</v>
      </c>
      <c r="E7" s="3" t="s">
        <v>5</v>
      </c>
      <c r="F7" s="3" t="s">
        <v>6</v>
      </c>
      <c r="G7" s="3" t="s">
        <v>7</v>
      </c>
      <c r="H7" s="105" t="s">
        <v>1610</v>
      </c>
      <c r="J7" s="17" t="str">
        <f>CONCATENATE("Description: "," ##334#",B7,"##334#",)</f>
        <v>Description:  ##334#Surgery##334#</v>
      </c>
    </row>
    <row r="8" spans="1:12" ht="59">
      <c r="A8" s="100">
        <v>0</v>
      </c>
      <c r="B8" s="11" t="s">
        <v>1913</v>
      </c>
      <c r="C8" s="11" t="s">
        <v>2016</v>
      </c>
      <c r="D8" s="11" t="s">
        <v>1872</v>
      </c>
      <c r="E8" s="11">
        <v>1</v>
      </c>
      <c r="F8" s="11">
        <v>1</v>
      </c>
      <c r="G8" s="57" t="s">
        <v>1969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2038</v>
      </c>
      <c r="C9" s="11" t="s">
        <v>2037</v>
      </c>
      <c r="D9" s="11" t="s">
        <v>2039</v>
      </c>
      <c r="E9" s="11">
        <v>1</v>
      </c>
      <c r="F9" s="11">
        <v>1</v>
      </c>
      <c r="G9" s="11" t="s">
        <v>1764</v>
      </c>
      <c r="H9" s="12" t="s">
        <v>2040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2041</v>
      </c>
      <c r="C10" s="11" t="s">
        <v>2042</v>
      </c>
      <c r="D10" s="11" t="s">
        <v>2043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2044</v>
      </c>
      <c r="C11" s="11" t="s">
        <v>2045</v>
      </c>
      <c r="D11" s="11" t="s">
        <v>2046</v>
      </c>
      <c r="E11" s="11">
        <v>1</v>
      </c>
      <c r="F11" s="11">
        <v>1</v>
      </c>
      <c r="G11" s="11" t="s">
        <v>1764</v>
      </c>
      <c r="H11" s="12" t="s">
        <v>2047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2048</v>
      </c>
      <c r="C12" s="11" t="s">
        <v>2049</v>
      </c>
      <c r="D12" s="11" t="s">
        <v>2050</v>
      </c>
      <c r="E12" s="11">
        <v>1</v>
      </c>
      <c r="F12" s="11">
        <v>1</v>
      </c>
      <c r="G12" s="11" t="s">
        <v>1764</v>
      </c>
      <c r="H12" s="12" t="s">
        <v>2051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2052</v>
      </c>
      <c r="C13" s="11" t="s">
        <v>2053</v>
      </c>
      <c r="D13" s="11" t="s">
        <v>2054</v>
      </c>
      <c r="E13" s="11">
        <v>1</v>
      </c>
      <c r="F13" s="11">
        <v>1</v>
      </c>
      <c r="G13" s="11" t="s">
        <v>1764</v>
      </c>
      <c r="H13" s="12" t="s">
        <v>2055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2056</v>
      </c>
      <c r="C14" s="11" t="s">
        <v>2057</v>
      </c>
      <c r="D14" s="11" t="s">
        <v>2058</v>
      </c>
      <c r="E14" s="11">
        <v>0</v>
      </c>
      <c r="F14" s="11">
        <v>1</v>
      </c>
      <c r="G14" s="11" t="s">
        <v>1764</v>
      </c>
      <c r="H14" s="12" t="s">
        <v>2059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2060</v>
      </c>
      <c r="C15" s="11" t="s">
        <v>2061</v>
      </c>
      <c r="D15" s="11" t="s">
        <v>2062</v>
      </c>
      <c r="E15" s="11">
        <v>1</v>
      </c>
      <c r="F15" s="11">
        <v>1</v>
      </c>
      <c r="G15" s="11" t="s">
        <v>1764</v>
      </c>
      <c r="H15" s="12" t="s">
        <v>2063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2064</v>
      </c>
      <c r="C16" s="11" t="s">
        <v>2065</v>
      </c>
      <c r="D16" s="11" t="s">
        <v>2066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2067</v>
      </c>
      <c r="C17" s="11" t="s">
        <v>2068</v>
      </c>
      <c r="D17" s="11" t="s">
        <v>2069</v>
      </c>
      <c r="E17" s="11">
        <v>1</v>
      </c>
      <c r="F17" s="11">
        <v>1</v>
      </c>
      <c r="G17" s="11" t="s">
        <v>1764</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2070</v>
      </c>
      <c r="C18" s="11" t="s">
        <v>2071</v>
      </c>
      <c r="D18" s="11" t="s">
        <v>2072</v>
      </c>
      <c r="E18" s="11">
        <v>1</v>
      </c>
      <c r="F18" s="11">
        <v>1</v>
      </c>
      <c r="G18" s="11" t="s">
        <v>1764</v>
      </c>
      <c r="H18" s="12" t="s">
        <v>2063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2073</v>
      </c>
      <c r="C19" s="11" t="s">
        <v>2074</v>
      </c>
      <c r="D19" s="11" t="s">
        <v>2075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2175</v>
      </c>
      <c r="C20" s="6" t="s">
        <v>2173</v>
      </c>
      <c r="D20" s="6" t="s">
        <v>2174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2204</v>
      </c>
      <c r="C21" s="11" t="s">
        <v>2076</v>
      </c>
      <c r="D21" s="11" t="s">
        <v>2077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2205</v>
      </c>
      <c r="C22" s="11" t="s">
        <v>2078</v>
      </c>
      <c r="D22" s="11" t="s">
        <v>2079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2206</v>
      </c>
      <c r="C23" s="11" t="s">
        <v>2080</v>
      </c>
      <c r="D23" s="11" t="s">
        <v>2081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2210</v>
      </c>
      <c r="C24" s="11" t="s">
        <v>2082</v>
      </c>
      <c r="D24" s="11" t="s">
        <v>2083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2207</v>
      </c>
      <c r="C25" s="11" t="s">
        <v>2084</v>
      </c>
      <c r="D25" s="11" t="s">
        <v>2085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2208</v>
      </c>
      <c r="C26" s="11" t="s">
        <v>2086</v>
      </c>
      <c r="D26" s="11" t="s">
        <v>2087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2209</v>
      </c>
      <c r="C27" s="11" t="s">
        <v>2088</v>
      </c>
      <c r="D27" s="11" t="s">
        <v>2089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2211</v>
      </c>
      <c r="C28" s="11" t="s">
        <v>2090</v>
      </c>
      <c r="D28" s="11" t="s">
        <v>2091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2213</v>
      </c>
      <c r="C29" s="11" t="s">
        <v>2092</v>
      </c>
      <c r="D29" s="11" t="s">
        <v>2093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2212</v>
      </c>
      <c r="C30" s="11" t="s">
        <v>2094</v>
      </c>
      <c r="D30" s="11" t="s">
        <v>2095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2096</v>
      </c>
      <c r="C31" s="11" t="s">
        <v>2097</v>
      </c>
      <c r="D31" s="11" t="s">
        <v>2098</v>
      </c>
      <c r="E31" s="11">
        <v>1</v>
      </c>
      <c r="F31" s="11">
        <v>1</v>
      </c>
      <c r="G31" s="11" t="s">
        <v>1764</v>
      </c>
      <c r="H31" s="12" t="s">
        <v>2099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2036</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2178</v>
      </c>
      <c r="D3" s="62" t="s">
        <v>1769</v>
      </c>
      <c r="E3" s="117" t="str">
        <f>$C$1&amp;B14</f>
        <v>http://hl7.eu/fhir/ig/idea4rc/StructureDefinition/SurgeryI4rc</v>
      </c>
    </row>
    <row r="4" spans="1:19">
      <c r="B4" s="62" t="s">
        <v>16</v>
      </c>
      <c r="C4" s="28" t="s">
        <v>2178</v>
      </c>
      <c r="D4" s="62" t="s">
        <v>1770</v>
      </c>
      <c r="E4" s="184" t="s">
        <v>2181</v>
      </c>
      <c r="F4" s="185"/>
      <c r="G4" s="185"/>
    </row>
    <row r="5" spans="1:19">
      <c r="B5" s="62" t="s">
        <v>10</v>
      </c>
      <c r="C5" s="7" t="s">
        <v>2179</v>
      </c>
      <c r="D5" s="62"/>
      <c r="E5" s="7"/>
    </row>
    <row r="6" spans="1:19">
      <c r="B6" s="62" t="s">
        <v>18</v>
      </c>
      <c r="C6" s="56"/>
      <c r="D6" s="62" t="s">
        <v>1771</v>
      </c>
      <c r="E6" s="184" t="str">
        <f>E3</f>
        <v>http://hl7.eu/fhir/ig/idea4rc/StructureDefinition/SurgeryI4rc</v>
      </c>
      <c r="F6" s="185"/>
      <c r="G6" s="185"/>
    </row>
    <row r="7" spans="1:19">
      <c r="B7" s="62" t="s">
        <v>15</v>
      </c>
      <c r="C7" s="118"/>
      <c r="D7" s="62" t="s">
        <v>1772</v>
      </c>
      <c r="E7" s="184" t="str">
        <f>E4</f>
        <v>http://hl7.eu/fhir/ig/idea4rc/StructureDefinition/Procedure-surgery-eu-i4rc</v>
      </c>
      <c r="F7" s="185"/>
      <c r="G7" s="185"/>
    </row>
    <row r="8" spans="1:19" ht="45" thickBot="1">
      <c r="B8" s="62" t="s">
        <v>1773</v>
      </c>
      <c r="C8" s="7" t="s">
        <v>2179</v>
      </c>
      <c r="D8" s="62"/>
      <c r="E8" s="7"/>
      <c r="I8" s="12" t="s">
        <v>1402</v>
      </c>
      <c r="J8" s="12" t="s">
        <v>1403</v>
      </c>
      <c r="K8" s="12" t="s">
        <v>1404</v>
      </c>
      <c r="L8" s="12" t="s">
        <v>1405</v>
      </c>
      <c r="M8" s="11" t="s">
        <v>1406</v>
      </c>
      <c r="P8" s="49" t="s">
        <v>1441</v>
      </c>
      <c r="Q8" s="49">
        <v>6</v>
      </c>
    </row>
    <row r="9" spans="1:19" ht="15.5" thickBot="1">
      <c r="B9" s="62" t="s">
        <v>1774</v>
      </c>
      <c r="C9" s="12" t="s">
        <v>2180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2182</v>
      </c>
      <c r="E14" s="6"/>
      <c r="F14" s="64"/>
      <c r="G14" s="64"/>
      <c r="I14" s="12"/>
      <c r="J14" s="11"/>
      <c r="K14" s="11"/>
      <c r="L14" s="11"/>
      <c r="M14" s="63"/>
      <c r="N14" s="66"/>
    </row>
    <row r="15" spans="1:19" ht="44.25">
      <c r="A15" s="59"/>
      <c r="B15" s="11" t="str">
        <f>Surgery!B8</f>
        <v>episodeEventReference</v>
      </c>
      <c r="C15" s="11" t="str">
        <f>Surgery!C8</f>
        <v>Episode Event reference</v>
      </c>
      <c r="D15" s="12" t="s">
        <v>2183</v>
      </c>
      <c r="E15" s="12"/>
      <c r="F15" s="64" t="s">
        <v>1407</v>
      </c>
      <c r="G15" s="123"/>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2197</v>
      </c>
      <c r="E16" s="12"/>
      <c r="F16" s="64" t="s">
        <v>1407</v>
      </c>
      <c r="G16" s="122" t="s">
        <v>2185</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2184</v>
      </c>
      <c r="E17" s="12"/>
      <c r="F17" s="64" t="s">
        <v>1430</v>
      </c>
      <c r="G17" s="123"/>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2" t="s">
        <v>2186</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2187</v>
      </c>
      <c r="E19" s="12"/>
      <c r="F19" s="64" t="s">
        <v>1407</v>
      </c>
      <c r="G19" s="122" t="s">
        <v>2188</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2189</v>
      </c>
      <c r="E20" s="12"/>
      <c r="F20" s="64" t="s">
        <v>1407</v>
      </c>
      <c r="G20" s="123"/>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2" t="s">
        <v>2190</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3" t="s">
        <v>2191</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2184</v>
      </c>
      <c r="E23" s="11"/>
      <c r="F23" s="64" t="s">
        <v>1430</v>
      </c>
      <c r="G23" s="122" t="s">
        <v>2192</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2193</v>
      </c>
      <c r="E24" s="11"/>
      <c r="F24" s="64" t="s">
        <v>1407</v>
      </c>
      <c r="G24" s="123"/>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3" t="s">
        <v>2194</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2" t="s">
        <v>2192</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1977</v>
      </c>
      <c r="E27" s="12"/>
      <c r="F27" s="64" t="s">
        <v>1429</v>
      </c>
      <c r="G27" s="123"/>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1977</v>
      </c>
      <c r="E28" s="12"/>
      <c r="F28" s="64" t="s">
        <v>1429</v>
      </c>
      <c r="G28" s="123"/>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1977</v>
      </c>
      <c r="E29" s="12"/>
      <c r="F29" s="64" t="s">
        <v>1429</v>
      </c>
      <c r="G29" s="123"/>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1977</v>
      </c>
      <c r="E30" s="12"/>
      <c r="F30" s="64" t="s">
        <v>1429</v>
      </c>
      <c r="G30" s="123"/>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1977</v>
      </c>
      <c r="E31" s="12"/>
      <c r="F31" s="64" t="s">
        <v>1429</v>
      </c>
      <c r="G31" s="123"/>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1977</v>
      </c>
      <c r="E32" s="12"/>
      <c r="F32" s="64" t="s">
        <v>1429</v>
      </c>
      <c r="G32" s="123"/>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1977</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1977</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1977</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1977</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1977</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2195</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2196</v>
      </c>
    </row>
    <row r="3" spans="2:7">
      <c r="B3" s="24" t="s">
        <v>20</v>
      </c>
    </row>
    <row r="4" spans="2:7">
      <c r="B4" s="65" t="str">
        <f>"Instance: "&amp;'Surgery-ConceptMap-1'!C4</f>
        <v>Instance: surgery2FHIR</v>
      </c>
    </row>
    <row r="5" spans="2:7">
      <c r="B5" s="65" t="s">
        <v>1447</v>
      </c>
    </row>
    <row r="6" spans="2:7">
      <c r="B6" s="65" t="s">
        <v>1438</v>
      </c>
    </row>
    <row r="7" spans="2:7">
      <c r="B7" s="65" t="s">
        <v>1776</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1"/>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2355</v>
      </c>
      <c r="J4" s="16" t="str">
        <f>CONCATENATE("Logical: ",B4)</f>
        <v>Logical: RadiotherapyI4rc</v>
      </c>
    </row>
    <row r="5" spans="1:12" ht="15.5" thickBot="1">
      <c r="A5" s="14" t="s">
        <v>16</v>
      </c>
      <c r="B5" s="45" t="s">
        <v>2101</v>
      </c>
      <c r="J5" s="16" t="str">
        <f>CONCATENATE("Id: ",B5)</f>
        <v>Id: Radiotherapy</v>
      </c>
    </row>
    <row r="6" spans="1:12" ht="15.5" thickBot="1">
      <c r="A6" s="14" t="s">
        <v>10</v>
      </c>
      <c r="B6" s="45" t="s">
        <v>2101</v>
      </c>
      <c r="J6" s="17" t="str">
        <f>CONCATENATE("Title: ##34#",B6,"##34#")</f>
        <v>Title: ##34#Radiotherapy##34#</v>
      </c>
    </row>
    <row r="7" spans="1:12">
      <c r="A7" s="26" t="s">
        <v>2</v>
      </c>
      <c r="B7" s="45" t="s">
        <v>2101</v>
      </c>
      <c r="C7" s="9" t="s">
        <v>3</v>
      </c>
      <c r="D7" s="1" t="s">
        <v>4</v>
      </c>
      <c r="E7" s="3" t="s">
        <v>5</v>
      </c>
      <c r="F7" s="3" t="s">
        <v>6</v>
      </c>
      <c r="G7" s="3" t="s">
        <v>7</v>
      </c>
      <c r="H7" s="105" t="s">
        <v>1610</v>
      </c>
      <c r="J7" s="17" t="str">
        <f>CONCATENATE("Description: "," ##334#",B7,"##334#",)</f>
        <v>Description:  ##334#Radiotherapy##334#</v>
      </c>
    </row>
    <row r="8" spans="1:12" ht="59">
      <c r="A8" s="100">
        <v>0</v>
      </c>
      <c r="B8" s="11" t="s">
        <v>1913</v>
      </c>
      <c r="C8" s="11" t="s">
        <v>2016</v>
      </c>
      <c r="D8" s="11" t="s">
        <v>1872</v>
      </c>
      <c r="E8" s="11">
        <v>1</v>
      </c>
      <c r="F8" s="11">
        <v>1</v>
      </c>
      <c r="G8" s="57" t="s">
        <v>1969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2100</v>
      </c>
      <c r="C9" s="11" t="s">
        <v>2101</v>
      </c>
      <c r="D9" s="11" t="s">
        <v>2102</v>
      </c>
      <c r="E9" s="11">
        <v>1</v>
      </c>
      <c r="F9" s="11">
        <v>1</v>
      </c>
      <c r="G9" s="11" t="s">
        <v>1764</v>
      </c>
      <c r="H9" s="12" t="s">
        <v>2040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2103</v>
      </c>
      <c r="E10" s="11">
        <v>1</v>
      </c>
      <c r="F10" s="11">
        <v>1</v>
      </c>
      <c r="G10" s="11" t="s">
        <v>1764</v>
      </c>
      <c r="H10" s="12" t="s">
        <v>2022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2023</v>
      </c>
      <c r="D11" s="11" t="s">
        <v>2104</v>
      </c>
      <c r="E11" s="11">
        <v>0</v>
      </c>
      <c r="F11" s="11">
        <v>1</v>
      </c>
      <c r="G11" s="11" t="s">
        <v>1764</v>
      </c>
      <c r="H11" s="12" t="s">
        <v>2105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2106</v>
      </c>
      <c r="C12" s="11" t="s">
        <v>2107</v>
      </c>
      <c r="D12" s="11" t="s">
        <v>2108</v>
      </c>
      <c r="E12" s="11">
        <v>1</v>
      </c>
      <c r="F12" s="11">
        <v>1</v>
      </c>
      <c r="G12" s="11" t="s">
        <v>1764</v>
      </c>
      <c r="H12" s="12" t="s">
        <v>2109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0">
        <v>5</v>
      </c>
      <c r="B13" s="11" t="s">
        <v>2110</v>
      </c>
      <c r="C13" s="11" t="s">
        <v>2111</v>
      </c>
      <c r="D13" s="6" t="s">
        <v>2111</v>
      </c>
      <c r="E13" s="11">
        <v>0</v>
      </c>
      <c r="F13" s="11">
        <v>1</v>
      </c>
      <c r="G13" s="11" t="s">
        <v>0</v>
      </c>
      <c r="H13" s="12"/>
      <c r="I13" s="25"/>
      <c r="J13" s="12" t="str">
        <f t="shared" si="1"/>
        <v>* otherSpecify 0..1 string ##34#Other; specify##34# ##334#Other; specify##334#</v>
      </c>
      <c r="L13" s="12" t="str">
        <f t="shared" si="2"/>
        <v/>
      </c>
    </row>
    <row r="14" spans="1:12" ht="236">
      <c r="A14" s="101">
        <v>6</v>
      </c>
      <c r="B14" s="11" t="s">
        <v>2112</v>
      </c>
      <c r="C14" s="11" t="s">
        <v>2113</v>
      </c>
      <c r="D14" s="11" t="s">
        <v>2114</v>
      </c>
      <c r="E14" s="11">
        <v>1</v>
      </c>
      <c r="F14" s="11">
        <v>1</v>
      </c>
      <c r="G14" s="11" t="s">
        <v>1764</v>
      </c>
      <c r="H14" s="12" t="s">
        <v>2115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2116</v>
      </c>
      <c r="C15" s="11" t="s">
        <v>2117</v>
      </c>
      <c r="D15" s="11" t="s">
        <v>2118</v>
      </c>
      <c r="E15" s="11">
        <v>1</v>
      </c>
      <c r="F15" s="11">
        <v>1</v>
      </c>
      <c r="G15" s="57" t="s">
        <v>2176</v>
      </c>
      <c r="H15" s="12"/>
      <c r="I15" s="25"/>
      <c r="J15" s="12" t="str">
        <f t="shared" si="1"/>
        <v>* totalDoseTdGy 1..1 decimal ##34#Total Dose (TD) Gy##34# ##334#Refers to the total dose delivered to the patient in Gy##334#</v>
      </c>
      <c r="L15" s="12" t="str">
        <f t="shared" si="2"/>
        <v/>
      </c>
    </row>
    <row r="16" spans="1:12" ht="29.5">
      <c r="A16" s="101">
        <v>8</v>
      </c>
      <c r="B16" s="11" t="s">
        <v>2119</v>
      </c>
      <c r="C16" s="11" t="s">
        <v>2120</v>
      </c>
      <c r="D16" s="11" t="s">
        <v>2121</v>
      </c>
      <c r="E16" s="11">
        <v>1</v>
      </c>
      <c r="F16" s="11">
        <v>1</v>
      </c>
      <c r="G16" s="57" t="s">
        <v>2176</v>
      </c>
      <c r="H16" s="12"/>
      <c r="I16" s="25"/>
      <c r="J16" s="12" t="str">
        <f t="shared" si="1"/>
        <v>* fractionSizeFs 1..1 decimal ##34#Fraction Size (FS)##34# ##334#Refers to the Dose per fraction delivered to the patient.##334#</v>
      </c>
      <c r="L16" s="12" t="str">
        <f t="shared" si="2"/>
        <v/>
      </c>
    </row>
    <row r="17" spans="1:13" ht="29.5">
      <c r="A17" s="100">
        <v>9</v>
      </c>
      <c r="B17" s="11" t="s">
        <v>2122</v>
      </c>
      <c r="C17" s="11" t="s">
        <v>2123</v>
      </c>
      <c r="D17" s="11" t="s">
        <v>2124</v>
      </c>
      <c r="E17" s="11">
        <v>1</v>
      </c>
      <c r="F17" s="11">
        <v>1</v>
      </c>
      <c r="G17" s="57" t="s">
        <v>2176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2125</v>
      </c>
      <c r="C18" s="11" t="s">
        <v>2126</v>
      </c>
      <c r="D18" s="11" t="s">
        <v>2127</v>
      </c>
      <c r="E18" s="11">
        <v>0</v>
      </c>
      <c r="F18" s="11">
        <v>1</v>
      </c>
      <c r="G18" s="11" t="s">
        <v>1764</v>
      </c>
      <c r="H18" s="12" t="s">
        <v>2063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2128</v>
      </c>
      <c r="C19" s="11" t="s">
        <v>2129</v>
      </c>
      <c r="D19" s="11" t="s">
        <v>2130</v>
      </c>
      <c r="E19" s="11">
        <v>0</v>
      </c>
      <c r="F19" s="11">
        <v>1</v>
      </c>
      <c r="G19" s="11" t="s">
        <v>1764</v>
      </c>
      <c r="H19" s="12" t="s">
        <v>2063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2131</v>
      </c>
      <c r="C20" s="11" t="s">
        <v>2132</v>
      </c>
      <c r="D20" s="11" t="s">
        <v>2133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2134</v>
      </c>
      <c r="C21" s="11" t="s">
        <v>2135</v>
      </c>
      <c r="D21" s="11" t="s">
        <v>2136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2137</v>
      </c>
      <c r="C22" s="11" t="s">
        <v>2138</v>
      </c>
      <c r="D22" s="11" t="s">
        <v>2139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2158</v>
      </c>
      <c r="C23" s="11" t="s">
        <v>2140</v>
      </c>
      <c r="D23" s="147" t="s">
        <v>2140</v>
      </c>
      <c r="E23" s="11">
        <v>0</v>
      </c>
      <c r="F23" s="11">
        <v>1</v>
      </c>
      <c r="G23" s="11" t="s">
        <v>157</v>
      </c>
      <c r="H23" s="12"/>
      <c r="J23" s="12" t="str">
        <f t="shared" si="1"/>
        <v>* treatmentSites.primary 0..1 boolean ##34#Primary##34# ##334#Primary##334#</v>
      </c>
      <c r="L23" s="12" t="str">
        <f t="shared" si="2"/>
        <v/>
      </c>
      <c r="M23"/>
    </row>
    <row r="24" spans="1:13">
      <c r="A24" s="100">
        <v>16</v>
      </c>
      <c r="B24" s="57" t="s">
        <v>2159</v>
      </c>
      <c r="C24" s="11" t="s">
        <v>2141</v>
      </c>
      <c r="D24" s="147" t="s">
        <v>2141</v>
      </c>
      <c r="E24" s="11">
        <v>0</v>
      </c>
      <c r="F24" s="11">
        <v>1</v>
      </c>
      <c r="G24" s="11" t="s">
        <v>157</v>
      </c>
      <c r="H24" s="12"/>
      <c r="J24" s="12" t="str">
        <f t="shared" si="1"/>
        <v>* treatmentSites.neck 0..1 boolean ##34#Neck##34# ##334#Neck##334#</v>
      </c>
      <c r="L24" s="12" t="str">
        <f t="shared" si="2"/>
        <v/>
      </c>
      <c r="M24"/>
    </row>
    <row r="25" spans="1:13" ht="29.5">
      <c r="A25" s="101">
        <v>17</v>
      </c>
      <c r="B25" s="57" t="s">
        <v>2160</v>
      </c>
      <c r="C25" s="11" t="s">
        <v>2142</v>
      </c>
      <c r="D25" s="147" t="s">
        <v>2142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2161</v>
      </c>
      <c r="C26" s="11" t="s">
        <v>2143</v>
      </c>
      <c r="D26" s="147" t="s">
        <v>2143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2162</v>
      </c>
      <c r="C27" s="11" t="s">
        <v>2144</v>
      </c>
      <c r="D27" s="147" t="s">
        <v>2144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2145</v>
      </c>
      <c r="C28" s="11" t="s">
        <v>2146</v>
      </c>
      <c r="D28" s="11" t="s">
        <v>2147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2163</v>
      </c>
      <c r="C29" s="11" t="s">
        <v>2148</v>
      </c>
      <c r="D29" s="147" t="s">
        <v>2148</v>
      </c>
      <c r="E29" s="11">
        <v>0</v>
      </c>
      <c r="F29" s="11">
        <v>1</v>
      </c>
      <c r="G29" s="11" t="s">
        <v>157</v>
      </c>
      <c r="H29" s="12"/>
      <c r="J29" s="12" t="str">
        <f t="shared" si="1"/>
        <v>* metastaticTreatmentSites.lung 0..1 boolean ##34#Lung
##34# ##334#Lung
##334#</v>
      </c>
      <c r="L29" s="12" t="str">
        <f t="shared" si="2"/>
        <v/>
      </c>
    </row>
    <row r="30" spans="1:13" ht="44.25">
      <c r="A30" s="100">
        <v>22</v>
      </c>
      <c r="B30" s="57" t="s">
        <v>2164</v>
      </c>
      <c r="C30" s="11" t="s">
        <v>2150</v>
      </c>
      <c r="D30" s="147" t="s">
        <v>2150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2165</v>
      </c>
      <c r="C31" s="12" t="s">
        <v>2151</v>
      </c>
      <c r="D31" s="13" t="s">
        <v>2151</v>
      </c>
      <c r="E31" s="11">
        <v>0</v>
      </c>
      <c r="F31" s="11">
        <v>1</v>
      </c>
      <c r="G31" s="11" t="s">
        <v>157</v>
      </c>
      <c r="H31" s="12"/>
      <c r="J31" s="12" t="str">
        <f t="shared" si="1"/>
        <v>* metastaticTreatmentSites.bone 0..1 boolean ##34#Bone
##34# ##334#Bone
##334#</v>
      </c>
      <c r="L31" s="12" t="str">
        <f t="shared" si="2"/>
        <v/>
      </c>
    </row>
    <row r="32" spans="1:13" ht="44.25">
      <c r="A32" s="11">
        <v>24</v>
      </c>
      <c r="B32" s="57" t="s">
        <v>2166</v>
      </c>
      <c r="C32" s="12" t="s">
        <v>2152</v>
      </c>
      <c r="D32" s="13" t="s">
        <v>2152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2167</v>
      </c>
      <c r="C33" s="12" t="s">
        <v>2153</v>
      </c>
      <c r="D33" s="13" t="s">
        <v>2153</v>
      </c>
      <c r="E33" s="11">
        <v>0</v>
      </c>
      <c r="F33" s="11">
        <v>1</v>
      </c>
      <c r="G33" s="11" t="s">
        <v>157</v>
      </c>
      <c r="H33" s="12"/>
      <c r="J33" s="12" t="str">
        <f t="shared" si="1"/>
        <v>* metastaticTreatmentSites.liver 0..1 boolean ##34#Liver
##34# ##334#Liver
##334#</v>
      </c>
      <c r="L33" s="12" t="str">
        <f t="shared" si="2"/>
        <v/>
      </c>
    </row>
    <row r="34" spans="1:12" ht="147.5">
      <c r="A34" s="6">
        <v>26</v>
      </c>
      <c r="B34" s="11" t="s">
        <v>2154</v>
      </c>
      <c r="C34" s="12" t="s">
        <v>2155</v>
      </c>
      <c r="D34" s="11" t="s">
        <v>2156</v>
      </c>
      <c r="E34" s="11">
        <v>1</v>
      </c>
      <c r="F34" s="11">
        <v>1</v>
      </c>
      <c r="G34" s="11" t="s">
        <v>1764</v>
      </c>
      <c r="H34" s="12" t="s">
        <v>2157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2149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2177</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2198</v>
      </c>
      <c r="D3" s="62" t="s">
        <v>1769</v>
      </c>
      <c r="E3" s="117" t="str">
        <f>$C$1&amp;B14</f>
        <v>http://hl7.eu/fhir/ig/idea4rc/StructureDefinition/RadiotherapyI4rc</v>
      </c>
    </row>
    <row r="4" spans="1:19">
      <c r="B4" s="62" t="s">
        <v>16</v>
      </c>
      <c r="C4" s="28" t="s">
        <v>2198</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http://hl7.eu/fhir/ig/idea4rc/StructureDefinition/RadiotherapyI4rc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2182</v>
      </c>
      <c r="E14" s="6"/>
      <c r="F14" s="64"/>
      <c r="G14" s="64"/>
      <c r="I14" s="12"/>
      <c r="J14" s="11"/>
      <c r="K14" s="11"/>
      <c r="L14" s="11"/>
      <c r="M14" s="63"/>
      <c r="N14" s="66"/>
    </row>
    <row r="15" spans="1:19" ht="44.25">
      <c r="A15" s="59"/>
      <c r="B15" s="11" t="str">
        <f>Radiotherapy!B8</f>
        <v>episodeEventReference</v>
      </c>
      <c r="C15" s="11" t="str">
        <f>Radiotherapy!C8</f>
        <v>Episode Event reference</v>
      </c>
      <c r="D15" s="12" t="s">
        <v>2183</v>
      </c>
      <c r="E15" s="12"/>
      <c r="F15" s="64" t="s">
        <v>1407</v>
      </c>
      <c r="G15" s="123"/>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2226</v>
      </c>
      <c r="E16" s="12"/>
      <c r="F16" s="64" t="s">
        <v>1407</v>
      </c>
      <c r="G16" s="122" t="s">
        <v>2201</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2214</v>
      </c>
      <c r="E17" s="12"/>
      <c r="F17" s="64" t="s">
        <v>1407</v>
      </c>
      <c r="G17" s="122" t="s">
        <v>1775</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2226</v>
      </c>
      <c r="E18" s="12"/>
      <c r="F18" s="64" t="s">
        <v>1407</v>
      </c>
      <c r="G18" s="122" t="s">
        <v>2201</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2221</v>
      </c>
      <c r="E19" s="12"/>
      <c r="F19" s="64" t="s">
        <v>1407</v>
      </c>
      <c r="G19" s="123" t="s">
        <v>1775</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2222</v>
      </c>
      <c r="E20" s="12"/>
      <c r="F20" s="64" t="s">
        <v>1424</v>
      </c>
      <c r="G20" s="123" t="s">
        <v>1775</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2215</v>
      </c>
      <c r="E21" s="12"/>
      <c r="F21" s="64" t="s">
        <v>1407</v>
      </c>
      <c r="G21" s="123" t="s">
        <v>1775</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2216</v>
      </c>
      <c r="E22" s="12"/>
      <c r="F22" s="64" t="s">
        <v>1429</v>
      </c>
      <c r="G22" s="123"/>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2" t="s">
        <v>2218</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2217</v>
      </c>
      <c r="E24" s="11"/>
      <c r="F24" s="64" t="s">
        <v>1407</v>
      </c>
      <c r="G24" s="123"/>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2219</v>
      </c>
      <c r="E25" s="11"/>
      <c r="F25" s="64" t="s">
        <v>1407</v>
      </c>
      <c r="G25" s="122" t="s">
        <v>2220</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2215</v>
      </c>
      <c r="E26" s="12"/>
      <c r="F26" s="64" t="s">
        <v>1407</v>
      </c>
      <c r="G26" s="122" t="s">
        <v>1775</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2223</v>
      </c>
      <c r="E27" s="12"/>
      <c r="F27" s="64" t="s">
        <v>1430</v>
      </c>
      <c r="G27" s="123"/>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2224</v>
      </c>
      <c r="E28" s="12"/>
      <c r="F28" s="64" t="s">
        <v>1430</v>
      </c>
      <c r="G28" s="123"/>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1977</v>
      </c>
      <c r="E29" s="12"/>
      <c r="F29" s="64" t="s">
        <v>1429</v>
      </c>
      <c r="G29" s="123"/>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1977</v>
      </c>
      <c r="E30" s="12"/>
      <c r="F30" s="64" t="s">
        <v>1407</v>
      </c>
      <c r="G30" s="122" t="s">
        <v>1775</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1977</v>
      </c>
      <c r="E31" s="12"/>
      <c r="F31" s="64" t="s">
        <v>1407</v>
      </c>
      <c r="G31" s="122" t="s">
        <v>1775</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1977</v>
      </c>
      <c r="E32" s="12"/>
      <c r="F32" s="64" t="s">
        <v>1407</v>
      </c>
      <c r="G32" s="122" t="s">
        <v>1775</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1977</v>
      </c>
      <c r="E33" s="12"/>
      <c r="F33" s="64" t="s">
        <v>1407</v>
      </c>
      <c r="G33" s="122" t="s">
        <v>1775</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1977</v>
      </c>
      <c r="E34" s="12"/>
      <c r="F34" s="64" t="s">
        <v>1407</v>
      </c>
      <c r="G34" s="122" t="s">
        <v>1775</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1977</v>
      </c>
      <c r="E35" s="12"/>
      <c r="F35" s="64" t="s">
        <v>1407</v>
      </c>
      <c r="G35" s="122" t="s">
        <v>1775</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1977</v>
      </c>
      <c r="E36" s="12"/>
      <c r="F36" s="64" t="s">
        <v>1407</v>
      </c>
      <c r="G36" s="122" t="s">
        <v>1775</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1977</v>
      </c>
      <c r="E37" s="12"/>
      <c r="F37" s="64" t="s">
        <v>1407</v>
      </c>
      <c r="G37" s="122" t="s">
        <v>1775</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1977</v>
      </c>
      <c r="E38" s="12"/>
      <c r="F38" s="64" t="s">
        <v>1407</v>
      </c>
      <c r="G38" s="122" t="s">
        <v>1775</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1977</v>
      </c>
      <c r="E39" s="12"/>
      <c r="F39" s="64" t="s">
        <v>1407</v>
      </c>
      <c r="G39" s="122" t="s">
        <v>1775</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1977</v>
      </c>
      <c r="E40" s="12"/>
      <c r="F40" s="64" t="s">
        <v>1407</v>
      </c>
      <c r="G40" s="122" t="s">
        <v>1775</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2219</v>
      </c>
      <c r="E41" s="11"/>
      <c r="F41" s="64" t="s">
        <v>1407</v>
      </c>
      <c r="G41" s="122" t="s">
        <v>2225</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2227</v>
      </c>
    </row>
    <row r="3" spans="2:7">
      <c r="B3" s="24" t="s">
        <v>20</v>
      </c>
    </row>
    <row r="4" spans="2:7">
      <c r="B4" s="65" t="str">
        <f>"Instance: "&amp;'Radiotherapy-ConceptMap-1'!C4</f>
        <v>Instance: radiotherapy2FHIR</v>
      </c>
    </row>
    <row r="5" spans="2:7">
      <c r="B5" s="65" t="s">
        <v>1447</v>
      </c>
    </row>
    <row r="6" spans="2:7">
      <c r="B6" s="65" t="s">
        <v>1438</v>
      </c>
    </row>
    <row r="7" spans="2:7">
      <c r="B7" s="65" t="s">
        <v>1776</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1"/>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2345</v>
      </c>
      <c r="J4" s="16" t="str">
        <f>CONCATENATE("Logical: ",B4)</f>
        <v>Logical: HospitalPatientRecordsI4rc</v>
      </c>
    </row>
    <row r="5" spans="1:12" ht="15.5" thickBot="1">
      <c r="A5" s="14" t="s">
        <v>16</v>
      </c>
      <c r="B5" s="45" t="s">
        <v>2255</v>
      </c>
      <c r="J5" s="16" t="str">
        <f>CONCATENATE("Id: ",B5)</f>
        <v>Id: HospitalPatientRecords</v>
      </c>
    </row>
    <row r="6" spans="1:12" ht="15.5" thickBot="1">
      <c r="A6" s="14" t="s">
        <v>10</v>
      </c>
      <c r="B6" s="45" t="s">
        <v>2256</v>
      </c>
      <c r="J6" s="17" t="str">
        <f>CONCATENATE("Title: ##34#",B6,"##34#")</f>
        <v>Title: ##34#Hospital Patient Records##34#</v>
      </c>
    </row>
    <row r="7" spans="1:12">
      <c r="A7" s="26" t="s">
        <v>2</v>
      </c>
      <c r="B7" s="149" t="s">
        <v>2256</v>
      </c>
      <c r="C7" s="9" t="s">
        <v>3</v>
      </c>
      <c r="D7" s="1" t="s">
        <v>4</v>
      </c>
      <c r="E7" s="3" t="s">
        <v>5</v>
      </c>
      <c r="F7" s="3" t="s">
        <v>6</v>
      </c>
      <c r="G7" s="3" t="s">
        <v>7</v>
      </c>
      <c r="H7" s="105" t="s">
        <v>1610</v>
      </c>
      <c r="J7" s="17" t="str">
        <f>CONCATENATE("Description: "," ##334#",B7,"##334#",)</f>
        <v>Description:  ##334#Hospital Patient Records##334#</v>
      </c>
    </row>
    <row r="8" spans="1:12" ht="44.25">
      <c r="A8" s="100">
        <v>0</v>
      </c>
      <c r="B8" s="11" t="s">
        <v>1783</v>
      </c>
      <c r="C8" s="11" t="s">
        <v>14</v>
      </c>
      <c r="D8" s="11" t="s">
        <v>1755</v>
      </c>
      <c r="E8" s="11">
        <v>1</v>
      </c>
      <c r="F8" s="11">
        <v>1</v>
      </c>
      <c r="G8" s="118" t="s">
        <v>1761</v>
      </c>
      <c r="H8" s="11" t="s">
        <v>2245</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2246</v>
      </c>
      <c r="C9" s="11" t="s">
        <v>2247</v>
      </c>
      <c r="D9" s="11" t="s">
        <v>2248</v>
      </c>
      <c r="E9" s="11">
        <v>1</v>
      </c>
      <c r="F9" s="11">
        <v>1</v>
      </c>
      <c r="G9" s="119" t="s">
        <v>1</v>
      </c>
      <c r="H9" s="11" t="s">
        <v>2249</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2254</v>
      </c>
      <c r="C10" s="11" t="s">
        <v>2243</v>
      </c>
      <c r="D10" s="11" t="s">
        <v>2244</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2250</v>
      </c>
      <c r="C11" s="11" t="s">
        <v>2251</v>
      </c>
      <c r="D11" s="11" t="s">
        <v>2252</v>
      </c>
      <c r="E11" s="11">
        <v>1</v>
      </c>
      <c r="F11" s="11">
        <v>1</v>
      </c>
      <c r="G11" s="11" t="s">
        <v>156</v>
      </c>
      <c r="H11" s="11" t="s">
        <v>2253</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6" customWidth="1"/>
    <col min="2" max="2" width="7.36328125" style="156" customWidth="1"/>
    <col min="3" max="3" width="108.2265625" style="154" customWidth="1"/>
    <col min="7" max="7" width="29.54296875" customWidth="1"/>
    <col min="8" max="8" width="54.90625" customWidth="1"/>
  </cols>
  <sheetData>
    <row r="1" spans="3:7" ht="15.5" thickBot="1">
      <c r="C1" s="152" t="str">
        <f>HospitalPatientRecords!J1</f>
        <v>//===================================================</v>
      </c>
    </row>
    <row r="2" spans="3:7" ht="16.75" thickBot="1">
      <c r="C2" s="24" t="str">
        <f>HospitalPatientRecords!J2</f>
        <v>//  Logical Model</v>
      </c>
      <c r="G2" s="29" t="s">
        <v>2257</v>
      </c>
    </row>
    <row r="3" spans="3:7">
      <c r="C3" s="24" t="str">
        <f>HospitalPatientRecords!J3</f>
        <v>//===================================================</v>
      </c>
    </row>
    <row r="4" spans="3:7">
      <c r="C4" s="153" t="str">
        <f>HospitalPatientRecords!J4</f>
        <v>Logical: HospitalPatientRecordsI4rc</v>
      </c>
    </row>
    <row r="5" spans="3:7">
      <c r="C5" s="153" t="str">
        <f>HospitalPatientRecords!J5</f>
        <v>Id: HospitalPatientRecords</v>
      </c>
    </row>
    <row r="6" spans="3:7">
      <c r="C6" s="153" t="str">
        <f>HospitalPatientRecords!J6</f>
        <v>Title: ##34#Hospital Patient Records##34#</v>
      </c>
    </row>
    <row r="7" spans="3:7">
      <c r="C7" s="153" t="str">
        <f>HospitalPatientRecords!J7</f>
        <v>Description:  ##334#Hospital Patient Records##334#</v>
      </c>
    </row>
    <row r="8" spans="3:7" ht="29.5">
      <c r="C8" s="154" t="str">
        <f>IF(HospitalPatientRecords!J8="*  ..  ##34###34# ##334###334#","//--- END",HospitalPatientRecords!J8)</f>
        <v>* patient 1..1 http://hl7.eu/fhir/ig/idea4rc/StructureDefinition/Subject ##34#Patient##34# ##334#Patient element containing the data regarding the patient followed by the hospital##334#</v>
      </c>
    </row>
    <row r="9" spans="3:7" ht="29.5">
      <c r="C9" s="154" t="str">
        <f>IF(HospitalPatientRecords!J9="*  ..  ##34###34# ##334###334#","//--- END",HospitalPatientRecords!J9)</f>
        <v>* hospital 1..1 BackboneElement ##34#Hospital##34# ##334#Hospital element containing the data regarding the patient followed by the hospital##334#</v>
      </c>
    </row>
    <row r="10" spans="3:7">
      <c r="C10" s="154" t="str">
        <f>IF(HospitalPatientRecords!J10="*  ..  ##34###34# ##334###334#","//--- END",HospitalPatientRecords!J10)</f>
        <v>* hospital.name 1..1 string ##34#Hospital Name##34# ##334#Hospital where the patients is included in the registry##334#</v>
      </c>
    </row>
    <row r="11" spans="3:7" ht="59">
      <c r="C11" s="154"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4" t="str">
        <f>IF(HospitalPatientRecords!J12="*  ..  ##34###34# ##334###334#","//--- END",HospitalPatientRecords!J12)</f>
        <v>//--- END</v>
      </c>
    </row>
    <row r="13" spans="3:7">
      <c r="C13" s="154" t="str">
        <f>IF(HospitalPatientRecords!J14="*  ..  ##34###34# ##334###334#","//--- END",HospitalPatientRecords!J14)</f>
        <v>//--- END</v>
      </c>
    </row>
    <row r="14" spans="3:7">
      <c r="C14" s="154" t="str">
        <f>IF(HospitalPatientRecords!J15="*  ..  ##34###34# ##334###334#","//--- END",HospitalPatientRecords!J15)</f>
        <v>//--- END</v>
      </c>
    </row>
    <row r="15" spans="3:7">
      <c r="C15" s="154" t="str">
        <f>IF(HospitalPatientRecords!J16="*  ..  ##34###34# ##334###334#","//--- END",HospitalPatientRecords!J16)</f>
        <v>//--- END</v>
      </c>
    </row>
    <row r="16" spans="3:7">
      <c r="C16" s="154" t="str">
        <f>IF(HospitalPatientRecords!J17="*  ..  ##34###34# ##334###334#","//--- END",HospitalPatientRecords!J17)</f>
        <v>//--- END</v>
      </c>
    </row>
    <row r="17" spans="3:3">
      <c r="C17" s="154" t="str">
        <f>IF(HospitalPatientRecords!J18="*  ..  ##34###34# ##334###334#","//--- END",HospitalPatientRecords!J18)</f>
        <v>//--- END</v>
      </c>
    </row>
    <row r="18" spans="3:3">
      <c r="C18" s="154" t="str">
        <f>IF(HospitalPatientRecords!J19="*  ..  ##34###34# ##334###334#","//--- END",HospitalPatientRecords!J19)</f>
        <v>//--- END</v>
      </c>
    </row>
    <row r="19" spans="3:3">
      <c r="C19" s="154" t="str">
        <f>IF(HospitalPatientRecords!J20="*  ..  ##34###34# ##334###334#","//--- END",HospitalPatientRecords!J20)</f>
        <v>//--- END</v>
      </c>
    </row>
    <row r="20" spans="3:3">
      <c r="C20" s="154" t="str">
        <f>IF(HospitalPatientRecords!J21="*  ..  ##34###34# ##334###334#","//--- END",HospitalPatientRecords!J21)</f>
        <v>//--- END</v>
      </c>
    </row>
    <row r="21" spans="3:3">
      <c r="C21" s="154" t="str">
        <f>IF(HospitalPatientRecords!J22="*  ..  ##34###34# ##334###334#","//--- END",HospitalPatientRecords!J22)</f>
        <v>//--- END</v>
      </c>
    </row>
    <row r="22" spans="3:3">
      <c r="C22" s="154" t="str">
        <f>IF(HospitalPatientRecords!J23="*  ..  ##34###34# ##334###334#","//--- END",HospitalPatientRecords!J23)</f>
        <v>//--- END</v>
      </c>
    </row>
    <row r="23" spans="3:3">
      <c r="C23" s="154" t="str">
        <f>IF(HospitalPatientRecords!J24="*  ..  ##34###34# ##334###334#","//--- END",HospitalPatientRecords!J24)</f>
        <v>//--- END</v>
      </c>
    </row>
    <row r="24" spans="3:3">
      <c r="C24" s="154" t="str">
        <f>IF(HospitalPatientRecords!J25="*  ..  ##34###34# ##334###334#","//--- END",HospitalPatientRecords!J25)</f>
        <v>//--- END</v>
      </c>
    </row>
    <row r="31" spans="3:3">
      <c r="C31" s="152" t="s">
        <v>1613</v>
      </c>
    </row>
    <row r="32" spans="3:3">
      <c r="C32" s="24" t="s">
        <v>1651</v>
      </c>
    </row>
    <row r="33" spans="3:3">
      <c r="C33" s="24" t="s">
        <v>1613</v>
      </c>
    </row>
    <row r="34" spans="3:3" ht="29.5">
      <c r="C34" s="154" t="str">
        <f>IF(HospitalPatientRecords!L8="*  ..  ##34###34# ##334###334#","//--- END",HospitalPatientRecords!L8)</f>
        <v>* patient ^comment = ##334#A patient element data
-##334#</v>
      </c>
    </row>
    <row r="35" spans="3:3" ht="29.5">
      <c r="C35" s="154" t="str">
        <f>IF(HospitalPatientRecords!L9="*  ..  ##34###34# ##334###334#","//--- END",HospitalPatientRecords!L9)</f>
        <v>* hospital ^comment = ##334#A hospital element data
-##334#</v>
      </c>
    </row>
    <row r="36" spans="3:3">
      <c r="C36" s="154" t="str">
        <f>IF(HospitalPatientRecords!L10="*  ..  ##34###34# ##334###334#","//--- END",HospitalPatientRecords!L10)</f>
        <v/>
      </c>
    </row>
    <row r="37" spans="3:3" ht="29.5">
      <c r="C37" s="154" t="str">
        <f>IF(HospitalPatientRecords!L11="*  ..  ##34###34# ##334###334#","//--- END",HospitalPatientRecords!L11)</f>
        <v>* firstContactDate ^comment = ##334#Date
-##334#</v>
      </c>
    </row>
    <row r="38" spans="3:3">
      <c r="C38" s="154" t="str">
        <f>IF(HospitalPatientRecords!L13="*  ..  ##34###34# ##334###334#","//--- END",HospitalPatientRecords!L13)</f>
        <v>//--- END</v>
      </c>
    </row>
    <row r="39" spans="3:3">
      <c r="C39" s="154" t="str">
        <f>IF(HospitalPatientRecords!L14="*  ..  ##34###34# ##334###334#","//--- END",HospitalPatientRecords!L14)</f>
        <v>//--- END</v>
      </c>
    </row>
    <row r="40" spans="3:3">
      <c r="C40" s="154"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2356</v>
      </c>
      <c r="D3" s="62" t="s">
        <v>1769</v>
      </c>
      <c r="E3" s="117" t="str">
        <f>$C$1&amp;B14</f>
        <v>http://hl7.eu/fhir/ig/idea4rc/StructureDefinition/HospitalPatientRecords</v>
      </c>
    </row>
    <row r="4" spans="1:19">
      <c r="B4" s="62" t="s">
        <v>16</v>
      </c>
      <c r="C4" s="28" t="s">
        <v>2356</v>
      </c>
      <c r="D4" s="62" t="s">
        <v>1770</v>
      </c>
      <c r="E4" s="184" t="s">
        <v>2359</v>
      </c>
      <c r="F4" s="185"/>
      <c r="G4" s="185"/>
    </row>
    <row r="5" spans="1:19">
      <c r="B5" s="62" t="s">
        <v>10</v>
      </c>
      <c r="C5" s="7" t="s">
        <v>2357</v>
      </c>
      <c r="D5" s="62"/>
      <c r="E5" s="7"/>
    </row>
    <row r="6" spans="1:19">
      <c r="B6" s="62" t="s">
        <v>18</v>
      </c>
      <c r="C6" s="56"/>
      <c r="D6" s="62" t="s">
        <v>1771</v>
      </c>
      <c r="E6" s="184" t="str">
        <f>E3</f>
        <v>http://hl7.eu/fhir/ig/idea4rc/StructureDefinition/HospitalPatientRecords</v>
      </c>
      <c r="F6" s="185"/>
      <c r="G6" s="185"/>
    </row>
    <row r="7" spans="1:19">
      <c r="B7" s="62" t="s">
        <v>15</v>
      </c>
      <c r="C7" s="118"/>
      <c r="D7" s="62" t="s">
        <v>1772</v>
      </c>
      <c r="E7" s="184" t="str">
        <f>E4</f>
        <v>http://hl7.eu/fhir/ig/idea4rc/StructureDefinition/episodeOfCare-eu-i4rc</v>
      </c>
      <c r="F7" s="185"/>
      <c r="G7" s="185"/>
    </row>
    <row r="8" spans="1:19" ht="45" thickBot="1">
      <c r="B8" s="62" t="s">
        <v>1773</v>
      </c>
      <c r="C8" t="s">
        <v>2357</v>
      </c>
      <c r="D8" s="62"/>
      <c r="E8" s="7"/>
      <c r="I8" s="12" t="s">
        <v>1402</v>
      </c>
      <c r="J8" s="12" t="s">
        <v>1403</v>
      </c>
      <c r="K8" s="12" t="s">
        <v>1404</v>
      </c>
      <c r="L8" s="12" t="s">
        <v>1405</v>
      </c>
      <c r="M8" s="11" t="s">
        <v>1406</v>
      </c>
      <c r="P8" s="49" t="s">
        <v>1441</v>
      </c>
      <c r="Q8" s="49">
        <v>6</v>
      </c>
    </row>
    <row r="9" spans="1:19" ht="30.25" thickBot="1">
      <c r="B9" s="62" t="s">
        <v>1774</v>
      </c>
      <c r="C9" s="12" t="s">
        <v>2358</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2360</v>
      </c>
      <c r="E14" s="6"/>
      <c r="F14" s="64"/>
      <c r="G14" s="64"/>
      <c r="I14" s="12"/>
      <c r="J14" s="11"/>
      <c r="K14" s="11"/>
      <c r="L14" s="11"/>
      <c r="M14" s="63"/>
      <c r="N14" s="66"/>
    </row>
    <row r="15" spans="1:19" ht="44.25">
      <c r="A15" s="59"/>
      <c r="B15" s="11" t="str">
        <f>HospitalPatientRecords!B8</f>
        <v>patient</v>
      </c>
      <c r="C15" s="11" t="str">
        <f>HospitalPatientRecords!C8</f>
        <v>Patient</v>
      </c>
      <c r="D15" s="12" t="s">
        <v>1783</v>
      </c>
      <c r="E15" s="12"/>
      <c r="F15" s="64" t="s">
        <v>1430</v>
      </c>
      <c r="G15" s="123"/>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2361</v>
      </c>
      <c r="E16" s="12"/>
      <c r="F16" s="64" t="s">
        <v>1429</v>
      </c>
      <c r="G16" s="123"/>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2362</v>
      </c>
      <c r="E17" s="12"/>
      <c r="F17" s="64" t="s">
        <v>1429</v>
      </c>
      <c r="G17" s="123"/>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2363</v>
      </c>
      <c r="E18" s="12"/>
      <c r="F18" s="64" t="s">
        <v>1430</v>
      </c>
      <c r="G18" s="123"/>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3"/>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3"/>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3"/>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3"/>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3"/>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3"/>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3"/>
      <c r="P45" s="11">
        <v>31</v>
      </c>
      <c r="Q45" s="11">
        <f t="shared" si="13"/>
        <v>5</v>
      </c>
      <c r="R45" s="11">
        <f t="shared" si="14"/>
        <v>1</v>
      </c>
      <c r="S45" s="12" cm="1">
        <f t="array" ref="S45">INDEX('HospitalPatientRec-ConceptMap-1'!$I$15:$N$124,Q45+1,R45)</f>
        <v>0</v>
      </c>
    </row>
    <row r="46" spans="1:19">
      <c r="B46" s="11"/>
      <c r="C46" s="11"/>
      <c r="D46" s="12"/>
      <c r="E46" s="12"/>
      <c r="F46" s="64"/>
      <c r="G46" s="123"/>
      <c r="P46" s="11">
        <v>32</v>
      </c>
      <c r="Q46" s="11">
        <f t="shared" si="13"/>
        <v>5</v>
      </c>
      <c r="R46" s="11">
        <f t="shared" si="14"/>
        <v>2</v>
      </c>
      <c r="S46" s="12" cm="1">
        <f t="array" ref="S46">INDEX('HospitalPatientRec-ConceptMap-1'!$I$15:$N$124,Q46+1,R46)</f>
        <v>0</v>
      </c>
    </row>
    <row r="47" spans="1:19">
      <c r="B47" s="11"/>
      <c r="C47" s="11"/>
      <c r="D47" s="12"/>
      <c r="E47" s="12"/>
      <c r="F47" s="64"/>
      <c r="G47" s="123"/>
      <c r="P47" s="11">
        <v>33</v>
      </c>
      <c r="Q47" s="11">
        <f t="shared" si="13"/>
        <v>5</v>
      </c>
      <c r="R47" s="11">
        <f t="shared" si="14"/>
        <v>3</v>
      </c>
      <c r="S47" s="12" cm="1">
        <f t="array" ref="S47">INDEX('HospitalPatientRec-ConceptMap-1'!$I$15:$N$124,Q47+1,R47)</f>
        <v>0</v>
      </c>
    </row>
    <row r="48" spans="1:19">
      <c r="B48" s="11"/>
      <c r="C48" s="11"/>
      <c r="D48" s="12"/>
      <c r="E48" s="12"/>
      <c r="F48" s="64"/>
      <c r="G48" s="123"/>
      <c r="P48" s="11">
        <v>34</v>
      </c>
      <c r="Q48" s="11">
        <f t="shared" si="13"/>
        <v>5</v>
      </c>
      <c r="R48" s="11">
        <f t="shared" si="14"/>
        <v>4</v>
      </c>
      <c r="S48" s="12" cm="1">
        <f t="array" ref="S48">INDEX('HospitalPatientRec-ConceptMap-1'!$I$15:$N$124,Q48+1,R48)</f>
        <v>0</v>
      </c>
    </row>
    <row r="49" spans="2:19">
      <c r="B49" s="11"/>
      <c r="C49" s="11"/>
      <c r="D49" s="12"/>
      <c r="E49" s="12"/>
      <c r="F49" s="64"/>
      <c r="G49" s="123"/>
      <c r="P49" s="11">
        <v>35</v>
      </c>
      <c r="Q49" s="11">
        <f t="shared" si="13"/>
        <v>5</v>
      </c>
      <c r="R49" s="11">
        <f t="shared" si="14"/>
        <v>5</v>
      </c>
      <c r="S49" s="12" cm="1">
        <f t="array" ref="S49">INDEX('HospitalPatientRec-ConceptMap-1'!$I$15:$N$124,Q49+1,R49)</f>
        <v>0</v>
      </c>
    </row>
    <row r="50" spans="2:19">
      <c r="B50" s="11"/>
      <c r="C50" s="11"/>
      <c r="D50" s="12"/>
      <c r="E50" s="12"/>
      <c r="F50" s="64"/>
      <c r="G50" s="123"/>
      <c r="P50" s="11">
        <v>36</v>
      </c>
      <c r="Q50" s="11">
        <f t="shared" si="13"/>
        <v>5</v>
      </c>
      <c r="R50" s="11">
        <f t="shared" si="14"/>
        <v>6</v>
      </c>
      <c r="S50" s="12" cm="1">
        <f t="array" ref="S50">INDEX('HospitalPatientRec-ConceptMap-1'!$I$15:$N$124,Q50+1,R50)</f>
        <v>0</v>
      </c>
    </row>
    <row r="51" spans="2:19">
      <c r="B51" s="11"/>
      <c r="C51" s="11"/>
      <c r="D51" s="12"/>
      <c r="E51" s="12"/>
      <c r="F51" s="64"/>
      <c r="G51" s="123"/>
      <c r="P51" s="11">
        <v>37</v>
      </c>
      <c r="Q51" s="11">
        <f t="shared" si="13"/>
        <v>6</v>
      </c>
      <c r="R51" s="11">
        <f t="shared" si="14"/>
        <v>1</v>
      </c>
      <c r="S51" s="12" cm="1">
        <f t="array" ref="S51">INDEX('HospitalPatientRec-ConceptMap-1'!$I$15:$N$124,Q51+1,R51)</f>
        <v>0</v>
      </c>
    </row>
    <row r="52" spans="2:19">
      <c r="B52" s="11"/>
      <c r="C52" s="11"/>
      <c r="D52" s="12"/>
      <c r="E52" s="12"/>
      <c r="F52" s="64"/>
      <c r="G52" s="123"/>
      <c r="P52" s="11">
        <v>38</v>
      </c>
      <c r="Q52" s="11">
        <f t="shared" si="13"/>
        <v>6</v>
      </c>
      <c r="R52" s="11">
        <f t="shared" si="14"/>
        <v>2</v>
      </c>
      <c r="S52" s="12" cm="1">
        <f t="array" ref="S52">INDEX('HospitalPatientRec-ConceptMap-1'!$I$15:$N$124,Q52+1,R52)</f>
        <v>0</v>
      </c>
    </row>
    <row r="53" spans="2:19">
      <c r="B53" s="11"/>
      <c r="C53" s="11"/>
      <c r="D53" s="12"/>
      <c r="E53" s="12"/>
      <c r="F53" s="64"/>
      <c r="G53" s="123"/>
      <c r="P53" s="11">
        <v>39</v>
      </c>
      <c r="Q53" s="11">
        <f t="shared" si="13"/>
        <v>6</v>
      </c>
      <c r="R53" s="11">
        <f t="shared" si="14"/>
        <v>3</v>
      </c>
      <c r="S53" s="12" cm="1">
        <f t="array" ref="S53">INDEX('HospitalPatientRec-ConceptMap-1'!$I$15:$N$124,Q53+1,R53)</f>
        <v>0</v>
      </c>
    </row>
    <row r="54" spans="2:19">
      <c r="B54" s="11"/>
      <c r="C54" s="11"/>
      <c r="D54" s="12"/>
      <c r="E54" s="12"/>
      <c r="F54" s="64"/>
      <c r="G54" s="123"/>
      <c r="P54" s="11">
        <v>40</v>
      </c>
      <c r="Q54" s="11">
        <f t="shared" si="13"/>
        <v>6</v>
      </c>
      <c r="R54" s="11">
        <f t="shared" si="14"/>
        <v>4</v>
      </c>
      <c r="S54" s="12" cm="1">
        <f t="array" ref="S54">INDEX('HospitalPatientRec-ConceptMap-1'!$I$15:$N$124,Q54+1,R54)</f>
        <v>0</v>
      </c>
    </row>
    <row r="55" spans="2:19">
      <c r="B55" s="11"/>
      <c r="C55" s="11"/>
      <c r="D55" s="12"/>
      <c r="E55" s="12"/>
      <c r="F55" s="64"/>
      <c r="G55" s="123"/>
      <c r="P55" s="11">
        <v>41</v>
      </c>
      <c r="Q55" s="11">
        <f t="shared" si="13"/>
        <v>6</v>
      </c>
      <c r="R55" s="11">
        <f t="shared" si="14"/>
        <v>5</v>
      </c>
      <c r="S55" s="12" cm="1">
        <f t="array" ref="S55">INDEX('HospitalPatientRec-ConceptMap-1'!$I$15:$N$124,Q55+1,R55)</f>
        <v>0</v>
      </c>
    </row>
    <row r="56" spans="2:19">
      <c r="B56" s="11"/>
      <c r="C56" s="11"/>
      <c r="D56" s="12"/>
      <c r="E56" s="12"/>
      <c r="F56" s="64"/>
      <c r="G56" s="123"/>
      <c r="P56" s="11">
        <v>42</v>
      </c>
      <c r="Q56" s="11">
        <f t="shared" si="13"/>
        <v>6</v>
      </c>
      <c r="R56" s="11">
        <f t="shared" si="14"/>
        <v>6</v>
      </c>
      <c r="S56" s="12" cm="1">
        <f t="array" ref="S56">INDEX('HospitalPatientRec-ConceptMap-1'!$I$15:$N$124,Q56+1,R56)</f>
        <v>0</v>
      </c>
    </row>
    <row r="57" spans="2:19">
      <c r="B57" s="11"/>
      <c r="C57" s="11"/>
      <c r="D57" s="12"/>
      <c r="E57" s="12"/>
      <c r="F57" s="64"/>
      <c r="G57" s="123"/>
      <c r="P57" s="11">
        <v>43</v>
      </c>
      <c r="Q57" s="11">
        <f t="shared" si="13"/>
        <v>7</v>
      </c>
      <c r="R57" s="11">
        <f t="shared" si="14"/>
        <v>1</v>
      </c>
      <c r="S57" s="12" cm="1">
        <f t="array" ref="S57">INDEX('HospitalPatientRec-ConceptMap-1'!$I$15:$N$124,Q57+1,R57)</f>
        <v>0</v>
      </c>
    </row>
    <row r="58" spans="2:19">
      <c r="B58" s="11"/>
      <c r="C58" s="11"/>
      <c r="D58" s="12"/>
      <c r="E58" s="12"/>
      <c r="F58" s="64"/>
      <c r="G58" s="123"/>
      <c r="P58" s="11">
        <v>44</v>
      </c>
      <c r="Q58" s="11">
        <f t="shared" si="13"/>
        <v>7</v>
      </c>
      <c r="R58" s="11">
        <f t="shared" si="14"/>
        <v>2</v>
      </c>
      <c r="S58" s="12" cm="1">
        <f t="array" ref="S58">INDEX('HospitalPatientRec-ConceptMap-1'!$I$15:$N$124,Q58+1,R58)</f>
        <v>0</v>
      </c>
    </row>
    <row r="59" spans="2:19">
      <c r="B59" s="11"/>
      <c r="C59" s="11"/>
      <c r="D59" s="12"/>
      <c r="E59" s="12"/>
      <c r="F59" s="64"/>
      <c r="G59" s="123"/>
      <c r="P59" s="11">
        <v>45</v>
      </c>
      <c r="Q59" s="11">
        <f t="shared" si="13"/>
        <v>7</v>
      </c>
      <c r="R59" s="11">
        <f t="shared" si="14"/>
        <v>3</v>
      </c>
      <c r="S59" s="12" cm="1">
        <f t="array" ref="S59">INDEX('HospitalPatientRec-ConceptMap-1'!$I$15:$N$124,Q59+1,R59)</f>
        <v>0</v>
      </c>
    </row>
    <row r="60" spans="2:19">
      <c r="B60" s="11"/>
      <c r="C60" s="11"/>
      <c r="D60" s="12"/>
      <c r="E60" s="12"/>
      <c r="F60" s="64"/>
      <c r="G60" s="123"/>
      <c r="P60" s="11">
        <v>46</v>
      </c>
      <c r="Q60" s="11">
        <f t="shared" si="13"/>
        <v>7</v>
      </c>
      <c r="R60" s="11">
        <f t="shared" si="14"/>
        <v>4</v>
      </c>
      <c r="S60" s="12" cm="1">
        <f t="array" ref="S60">INDEX('HospitalPatientRec-ConceptMap-1'!$I$15:$N$124,Q60+1,R60)</f>
        <v>0</v>
      </c>
    </row>
    <row r="61" spans="2:19">
      <c r="B61" s="11"/>
      <c r="C61" s="11"/>
      <c r="D61" s="12"/>
      <c r="E61" s="12"/>
      <c r="F61" s="64"/>
      <c r="G61" s="123"/>
      <c r="P61" s="11">
        <v>47</v>
      </c>
      <c r="Q61" s="11">
        <f t="shared" si="13"/>
        <v>7</v>
      </c>
      <c r="R61" s="11">
        <f t="shared" si="14"/>
        <v>5</v>
      </c>
      <c r="S61" s="12" cm="1">
        <f t="array" ref="S61">INDEX('HospitalPatientRec-ConceptMap-1'!$I$15:$N$124,Q61+1,R61)</f>
        <v>0</v>
      </c>
    </row>
    <row r="62" spans="2:19">
      <c r="B62" s="11"/>
      <c r="C62" s="11"/>
      <c r="D62" s="12"/>
      <c r="E62" s="12"/>
      <c r="F62" s="64"/>
      <c r="G62" s="123"/>
      <c r="P62" s="11">
        <v>48</v>
      </c>
      <c r="Q62" s="11">
        <f t="shared" si="13"/>
        <v>7</v>
      </c>
      <c r="R62" s="11">
        <f t="shared" si="14"/>
        <v>6</v>
      </c>
      <c r="S62" s="12" cm="1">
        <f t="array" ref="S62">INDEX('HospitalPatientRec-ConceptMap-1'!$I$15:$N$124,Q62+1,R62)</f>
        <v>0</v>
      </c>
    </row>
    <row r="63" spans="2:19">
      <c r="B63" s="11"/>
      <c r="C63" s="11"/>
      <c r="D63" s="12"/>
      <c r="E63" s="12"/>
      <c r="F63" s="64"/>
      <c r="G63" s="123"/>
      <c r="P63" s="11">
        <v>49</v>
      </c>
      <c r="Q63" s="11">
        <f t="shared" si="13"/>
        <v>8</v>
      </c>
      <c r="R63" s="11">
        <f t="shared" si="14"/>
        <v>1</v>
      </c>
      <c r="S63" s="12" cm="1">
        <f t="array" ref="S63">INDEX('HospitalPatientRec-ConceptMap-1'!$I$15:$N$124,Q63+1,R63)</f>
        <v>0</v>
      </c>
    </row>
    <row r="64" spans="2:19">
      <c r="B64" s="11"/>
      <c r="C64" s="11"/>
      <c r="D64" s="12"/>
      <c r="E64" s="12"/>
      <c r="F64" s="64"/>
      <c r="G64" s="123"/>
      <c r="P64" s="11">
        <v>50</v>
      </c>
      <c r="Q64" s="11">
        <f t="shared" si="13"/>
        <v>8</v>
      </c>
      <c r="R64" s="11">
        <f t="shared" si="14"/>
        <v>2</v>
      </c>
      <c r="S64" s="12" cm="1">
        <f t="array" ref="S64">INDEX('HospitalPatientRec-ConceptMap-1'!$I$15:$N$124,Q64+1,R64)</f>
        <v>0</v>
      </c>
    </row>
    <row r="65" spans="2:19">
      <c r="B65" s="11"/>
      <c r="C65" s="11"/>
      <c r="D65" s="12"/>
      <c r="E65" s="12"/>
      <c r="F65" s="64"/>
      <c r="G65" s="123"/>
      <c r="P65" s="11">
        <v>51</v>
      </c>
      <c r="Q65" s="11">
        <f t="shared" si="13"/>
        <v>8</v>
      </c>
      <c r="R65" s="11">
        <f t="shared" si="14"/>
        <v>3</v>
      </c>
      <c r="S65" s="12" cm="1">
        <f t="array" ref="S65">INDEX('HospitalPatientRec-ConceptMap-1'!$I$15:$N$124,Q65+1,R65)</f>
        <v>0</v>
      </c>
    </row>
    <row r="66" spans="2:19">
      <c r="B66" s="11"/>
      <c r="C66" s="11"/>
      <c r="D66" s="12"/>
      <c r="E66" s="12"/>
      <c r="F66" s="64"/>
      <c r="G66" s="123"/>
      <c r="P66" s="11">
        <v>52</v>
      </c>
      <c r="Q66" s="11">
        <f t="shared" si="13"/>
        <v>8</v>
      </c>
      <c r="R66" s="11">
        <f t="shared" si="14"/>
        <v>4</v>
      </c>
      <c r="S66" s="12" cm="1">
        <f t="array" ref="S66">INDEX('HospitalPatientRec-ConceptMap-1'!$I$15:$N$124,Q66+1,R66)</f>
        <v>0</v>
      </c>
    </row>
    <row r="67" spans="2:19">
      <c r="B67" s="11"/>
      <c r="C67" s="11"/>
      <c r="D67" s="12"/>
      <c r="E67" s="12"/>
      <c r="F67" s="64"/>
      <c r="G67" s="123"/>
      <c r="P67" s="11">
        <v>53</v>
      </c>
      <c r="Q67" s="11">
        <f t="shared" si="13"/>
        <v>8</v>
      </c>
      <c r="R67" s="11">
        <f t="shared" si="14"/>
        <v>5</v>
      </c>
      <c r="S67" s="12" cm="1">
        <f t="array" ref="S67">INDEX('HospitalPatientRec-ConceptMap-1'!$I$15:$N$124,Q67+1,R67)</f>
        <v>0</v>
      </c>
    </row>
    <row r="68" spans="2:19">
      <c r="B68" s="11"/>
      <c r="C68" s="11"/>
      <c r="D68" s="12"/>
      <c r="E68" s="12"/>
      <c r="F68" s="64"/>
      <c r="G68" s="123"/>
      <c r="P68" s="11">
        <v>54</v>
      </c>
      <c r="Q68" s="11">
        <f t="shared" si="13"/>
        <v>8</v>
      </c>
      <c r="R68" s="11">
        <f t="shared" si="14"/>
        <v>6</v>
      </c>
      <c r="S68" s="12" cm="1">
        <f t="array" ref="S68">INDEX('HospitalPatientRec-ConceptMap-1'!$I$15:$N$124,Q68+1,R68)</f>
        <v>0</v>
      </c>
    </row>
    <row r="69" spans="2:19">
      <c r="B69" s="11"/>
      <c r="C69" s="11"/>
      <c r="D69" s="12"/>
      <c r="E69" s="12"/>
      <c r="F69" s="64"/>
      <c r="G69" s="123"/>
      <c r="P69" s="11">
        <v>55</v>
      </c>
      <c r="Q69" s="11">
        <f t="shared" si="13"/>
        <v>9</v>
      </c>
      <c r="R69" s="11">
        <f t="shared" si="14"/>
        <v>1</v>
      </c>
      <c r="S69" s="12" cm="1">
        <f t="array" ref="S69">INDEX('HospitalPatientRec-ConceptMap-1'!$I$15:$N$124,Q69+1,R69)</f>
        <v>0</v>
      </c>
    </row>
    <row r="70" spans="2:19">
      <c r="B70" s="11"/>
      <c r="C70" s="11"/>
      <c r="D70" s="12"/>
      <c r="E70" s="12"/>
      <c r="F70" s="64"/>
      <c r="G70" s="123"/>
      <c r="P70" s="11">
        <v>56</v>
      </c>
      <c r="Q70" s="11">
        <f t="shared" si="13"/>
        <v>9</v>
      </c>
      <c r="R70" s="11">
        <f t="shared" si="14"/>
        <v>2</v>
      </c>
      <c r="S70" s="12" cm="1">
        <f t="array" ref="S70">INDEX('HospitalPatientRec-ConceptMap-1'!$I$15:$N$124,Q70+1,R70)</f>
        <v>0</v>
      </c>
    </row>
    <row r="71" spans="2:19">
      <c r="B71" s="11"/>
      <c r="C71" s="11"/>
      <c r="D71" s="12"/>
      <c r="E71" s="12"/>
      <c r="F71" s="64"/>
      <c r="G71" s="123"/>
      <c r="P71" s="11">
        <v>57</v>
      </c>
      <c r="Q71" s="11">
        <f t="shared" si="13"/>
        <v>9</v>
      </c>
      <c r="R71" s="11">
        <f t="shared" si="14"/>
        <v>3</v>
      </c>
      <c r="S71" s="12" cm="1">
        <f t="array" ref="S71">INDEX('HospitalPatientRec-ConceptMap-1'!$I$15:$N$124,Q71+1,R71)</f>
        <v>0</v>
      </c>
    </row>
    <row r="72" spans="2:19">
      <c r="B72" s="11"/>
      <c r="C72" s="11"/>
      <c r="D72" s="12"/>
      <c r="E72" s="12"/>
      <c r="F72" s="64"/>
      <c r="G72" s="123"/>
      <c r="P72" s="11">
        <v>58</v>
      </c>
      <c r="Q72" s="11">
        <f t="shared" si="13"/>
        <v>9</v>
      </c>
      <c r="R72" s="11">
        <f t="shared" si="14"/>
        <v>4</v>
      </c>
      <c r="S72" s="12" cm="1">
        <f t="array" ref="S72">INDEX('HospitalPatientRec-ConceptMap-1'!$I$15:$N$124,Q72+1,R72)</f>
        <v>0</v>
      </c>
    </row>
    <row r="73" spans="2:19">
      <c r="B73" s="11"/>
      <c r="C73" s="11"/>
      <c r="D73" s="12"/>
      <c r="E73" s="12"/>
      <c r="F73" s="64"/>
      <c r="G73" s="123"/>
      <c r="P73" s="11">
        <v>59</v>
      </c>
      <c r="Q73" s="11">
        <f t="shared" si="13"/>
        <v>9</v>
      </c>
      <c r="R73" s="11">
        <f t="shared" si="14"/>
        <v>5</v>
      </c>
      <c r="S73" s="12" cm="1">
        <f t="array" ref="S73">INDEX('HospitalPatientRec-ConceptMap-1'!$I$15:$N$124,Q73+1,R73)</f>
        <v>0</v>
      </c>
    </row>
    <row r="74" spans="2:19">
      <c r="B74" s="11"/>
      <c r="C74" s="11"/>
      <c r="D74" s="12"/>
      <c r="E74" s="12"/>
      <c r="F74" s="64"/>
      <c r="G74" s="123"/>
      <c r="P74" s="11">
        <v>60</v>
      </c>
      <c r="Q74" s="11">
        <f t="shared" si="13"/>
        <v>9</v>
      </c>
      <c r="R74" s="11">
        <f t="shared" si="14"/>
        <v>6</v>
      </c>
      <c r="S74" s="12" cm="1">
        <f t="array" ref="S74">INDEX('HospitalPatientRec-ConceptMap-1'!$I$15:$N$124,Q74+1,R74)</f>
        <v>0</v>
      </c>
    </row>
    <row r="75" spans="2:19">
      <c r="B75" s="11"/>
      <c r="C75" s="11"/>
      <c r="D75" s="12"/>
      <c r="E75" s="12"/>
      <c r="F75" s="64"/>
      <c r="G75" s="123"/>
      <c r="P75" s="11">
        <v>61</v>
      </c>
      <c r="Q75" s="11">
        <f t="shared" si="13"/>
        <v>10</v>
      </c>
      <c r="R75" s="11">
        <f t="shared" si="14"/>
        <v>1</v>
      </c>
      <c r="S75" s="12" cm="1">
        <f t="array" ref="S75">INDEX('HospitalPatientRec-ConceptMap-1'!$I$15:$N$124,Q75+1,R75)</f>
        <v>0</v>
      </c>
    </row>
    <row r="76" spans="2:19">
      <c r="B76" s="11"/>
      <c r="C76" s="11"/>
      <c r="D76" s="12"/>
      <c r="E76" s="12"/>
      <c r="F76" s="64"/>
      <c r="G76" s="123"/>
      <c r="P76" s="11">
        <v>62</v>
      </c>
      <c r="Q76" s="11">
        <f t="shared" si="13"/>
        <v>10</v>
      </c>
      <c r="R76" s="11">
        <f t="shared" si="14"/>
        <v>2</v>
      </c>
      <c r="S76" s="12" cm="1">
        <f t="array" ref="S76">INDEX('HospitalPatientRec-ConceptMap-1'!$I$15:$N$124,Q76+1,R76)</f>
        <v>0</v>
      </c>
    </row>
    <row r="77" spans="2:19">
      <c r="B77" s="11"/>
      <c r="C77" s="11"/>
      <c r="D77" s="12"/>
      <c r="E77" s="12"/>
      <c r="F77" s="64"/>
      <c r="G77" s="123"/>
      <c r="P77" s="11">
        <v>63</v>
      </c>
      <c r="Q77" s="11">
        <f t="shared" si="13"/>
        <v>10</v>
      </c>
      <c r="R77" s="11">
        <f t="shared" si="14"/>
        <v>3</v>
      </c>
      <c r="S77" s="12" cm="1">
        <f t="array" ref="S77">INDEX('HospitalPatientRec-ConceptMap-1'!$I$15:$N$124,Q77+1,R77)</f>
        <v>0</v>
      </c>
    </row>
    <row r="78" spans="2:19">
      <c r="B78" s="11"/>
      <c r="C78" s="11"/>
      <c r="D78" s="12"/>
      <c r="E78" s="12"/>
      <c r="F78" s="64"/>
      <c r="G78" s="123"/>
      <c r="P78" s="11">
        <v>64</v>
      </c>
      <c r="Q78" s="11">
        <f t="shared" si="13"/>
        <v>10</v>
      </c>
      <c r="R78" s="11">
        <f t="shared" si="14"/>
        <v>4</v>
      </c>
      <c r="S78" s="12" cm="1">
        <f t="array" ref="S78">INDEX('HospitalPatientRec-ConceptMap-1'!$I$15:$N$124,Q78+1,R78)</f>
        <v>0</v>
      </c>
    </row>
    <row r="79" spans="2:19">
      <c r="B79" s="11"/>
      <c r="C79" s="11"/>
      <c r="D79" s="12"/>
      <c r="E79" s="12"/>
      <c r="F79" s="64"/>
      <c r="G79" s="123"/>
      <c r="P79" s="11">
        <v>65</v>
      </c>
      <c r="Q79" s="11">
        <f t="shared" si="13"/>
        <v>10</v>
      </c>
      <c r="R79" s="11">
        <f t="shared" si="14"/>
        <v>5</v>
      </c>
      <c r="S79" s="12" cm="1">
        <f t="array" ref="S79">INDEX('HospitalPatientRec-ConceptMap-1'!$I$15:$N$124,Q79+1,R79)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3"/>
      <c r="P81" s="11">
        <v>67</v>
      </c>
      <c r="Q81" s="11">
        <f t="shared" si="15"/>
        <v>11</v>
      </c>
      <c r="R81" s="11">
        <f t="shared" si="16"/>
        <v>1</v>
      </c>
      <c r="S81" s="12" cm="1">
        <f t="array" ref="S81">INDEX('HospitalPatientRec-ConceptMap-1'!$I$15:$N$124,Q81+1,R81)</f>
        <v>0</v>
      </c>
    </row>
    <row r="82" spans="2:19">
      <c r="B82" s="11"/>
      <c r="C82" s="11"/>
      <c r="D82" s="12"/>
      <c r="E82" s="12"/>
      <c r="F82" s="64"/>
      <c r="G82" s="123"/>
      <c r="P82" s="11">
        <v>68</v>
      </c>
      <c r="Q82" s="11">
        <f t="shared" si="15"/>
        <v>11</v>
      </c>
      <c r="R82" s="11">
        <f t="shared" si="16"/>
        <v>2</v>
      </c>
      <c r="S82" s="12" cm="1">
        <f t="array" ref="S82">INDEX('HospitalPatientRec-ConceptMap-1'!$I$15:$N$124,Q82+1,R82)</f>
        <v>0</v>
      </c>
    </row>
    <row r="83" spans="2:19">
      <c r="B83" s="11"/>
      <c r="C83" s="11"/>
      <c r="D83" s="12"/>
      <c r="E83" s="12"/>
      <c r="F83" s="64"/>
      <c r="G83" s="123"/>
      <c r="P83" s="11">
        <v>69</v>
      </c>
      <c r="Q83" s="11">
        <f t="shared" si="15"/>
        <v>11</v>
      </c>
      <c r="R83" s="11">
        <f t="shared" si="16"/>
        <v>3</v>
      </c>
      <c r="S83" s="12" cm="1">
        <f t="array" ref="S83">INDEX('HospitalPatientRec-ConceptMap-1'!$I$15:$N$124,Q83+1,R83)</f>
        <v>0</v>
      </c>
    </row>
    <row r="84" spans="2:19">
      <c r="B84" s="11"/>
      <c r="C84" s="11"/>
      <c r="D84" s="12"/>
      <c r="E84" s="12"/>
      <c r="F84" s="64"/>
      <c r="G84" s="123"/>
      <c r="P84" s="11">
        <v>70</v>
      </c>
      <c r="Q84" s="11">
        <f t="shared" si="15"/>
        <v>11</v>
      </c>
      <c r="R84" s="11">
        <f t="shared" si="16"/>
        <v>4</v>
      </c>
      <c r="S84" s="12" cm="1">
        <f t="array" ref="S84">INDEX('HospitalPatientRec-ConceptMap-1'!$I$15:$N$124,Q84+1,R84)</f>
        <v>0</v>
      </c>
    </row>
    <row r="85" spans="2:19">
      <c r="B85" s="11"/>
      <c r="C85" s="11"/>
      <c r="D85" s="12"/>
      <c r="E85" s="12"/>
      <c r="F85" s="64"/>
      <c r="G85" s="123"/>
      <c r="P85" s="11">
        <v>71</v>
      </c>
      <c r="Q85" s="11">
        <f t="shared" si="15"/>
        <v>11</v>
      </c>
      <c r="R85" s="11">
        <f t="shared" si="16"/>
        <v>5</v>
      </c>
      <c r="S85" s="12" cm="1">
        <f t="array" ref="S85">INDEX('HospitalPatientRec-ConceptMap-1'!$I$15:$N$124,Q85+1,R85)</f>
        <v>0</v>
      </c>
    </row>
    <row r="86" spans="2:19">
      <c r="B86" s="11"/>
      <c r="C86" s="11"/>
      <c r="D86" s="12"/>
      <c r="E86" s="12"/>
      <c r="F86" s="64"/>
      <c r="G86" s="123"/>
      <c r="P86" s="11">
        <v>72</v>
      </c>
      <c r="Q86" s="11">
        <f t="shared" si="15"/>
        <v>11</v>
      </c>
      <c r="R86" s="11">
        <f t="shared" si="16"/>
        <v>6</v>
      </c>
      <c r="S86" s="12" cm="1">
        <f t="array" ref="S86">INDEX('HospitalPatientRec-ConceptMap-1'!$I$15:$N$124,Q86+1,R86)</f>
        <v>0</v>
      </c>
    </row>
    <row r="87" spans="2:19">
      <c r="B87" s="11"/>
      <c r="C87" s="11"/>
      <c r="D87" s="12"/>
      <c r="E87" s="12"/>
      <c r="F87" s="64"/>
      <c r="G87" s="123"/>
      <c r="P87" s="11">
        <v>73</v>
      </c>
      <c r="Q87" s="11">
        <f t="shared" si="15"/>
        <v>12</v>
      </c>
      <c r="R87" s="11">
        <f t="shared" si="16"/>
        <v>1</v>
      </c>
      <c r="S87" s="12" cm="1">
        <f t="array" ref="S87">INDEX('HospitalPatientRec-ConceptMap-1'!$I$15:$N$124,Q87+1,R87)</f>
        <v>0</v>
      </c>
    </row>
    <row r="88" spans="2:19">
      <c r="B88" s="11"/>
      <c r="C88" s="11"/>
      <c r="D88" s="12"/>
      <c r="E88" s="12"/>
      <c r="F88" s="64"/>
      <c r="G88" s="123"/>
      <c r="P88" s="11">
        <v>74</v>
      </c>
      <c r="Q88" s="11">
        <f t="shared" si="15"/>
        <v>12</v>
      </c>
      <c r="R88" s="11">
        <f t="shared" si="16"/>
        <v>2</v>
      </c>
      <c r="S88" s="12" cm="1">
        <f t="array" ref="S88">INDEX('HospitalPatientRec-ConceptMap-1'!$I$15:$N$124,Q88+1,R88)</f>
        <v>0</v>
      </c>
    </row>
    <row r="89" spans="2:19">
      <c r="B89" s="11"/>
      <c r="C89" s="11"/>
      <c r="D89" s="12"/>
      <c r="E89" s="12"/>
      <c r="F89" s="64"/>
      <c r="G89" s="123"/>
      <c r="P89" s="11">
        <v>75</v>
      </c>
      <c r="Q89" s="11">
        <f t="shared" si="15"/>
        <v>12</v>
      </c>
      <c r="R89" s="11">
        <f t="shared" si="16"/>
        <v>3</v>
      </c>
      <c r="S89" s="12" cm="1">
        <f t="array" ref="S89">INDEX('HospitalPatientRec-ConceptMap-1'!$I$15:$N$124,Q89+1,R89)</f>
        <v>0</v>
      </c>
    </row>
    <row r="90" spans="2:19">
      <c r="B90" s="11"/>
      <c r="C90" s="11"/>
      <c r="D90" s="12"/>
      <c r="E90" s="12"/>
      <c r="F90" s="64"/>
      <c r="G90" s="123"/>
      <c r="P90" s="11">
        <v>76</v>
      </c>
      <c r="Q90" s="11">
        <f t="shared" si="15"/>
        <v>12</v>
      </c>
      <c r="R90" s="11">
        <f t="shared" si="16"/>
        <v>4</v>
      </c>
      <c r="S90" s="12" cm="1">
        <f t="array" ref="S90">INDEX('HospitalPatientRec-ConceptMap-1'!$I$15:$N$124,Q90+1,R90)</f>
        <v>0</v>
      </c>
    </row>
    <row r="91" spans="2:19">
      <c r="B91" s="11"/>
      <c r="C91" s="11"/>
      <c r="D91" s="12"/>
      <c r="E91" s="12"/>
      <c r="F91" s="64"/>
      <c r="G91" s="123"/>
      <c r="P91" s="11">
        <v>77</v>
      </c>
      <c r="Q91" s="11">
        <f t="shared" si="15"/>
        <v>12</v>
      </c>
      <c r="R91" s="11">
        <f t="shared" si="16"/>
        <v>5</v>
      </c>
      <c r="S91" s="12" cm="1">
        <f t="array" ref="S91">INDEX('HospitalPatientRec-ConceptMap-1'!$I$15:$N$124,Q91+1,R91)</f>
        <v>0</v>
      </c>
    </row>
    <row r="92" spans="2:19">
      <c r="B92" s="11"/>
      <c r="C92" s="11"/>
      <c r="D92" s="12"/>
      <c r="E92" s="12"/>
      <c r="F92" s="64"/>
      <c r="G92" s="123"/>
      <c r="P92" s="11">
        <v>78</v>
      </c>
      <c r="Q92" s="11">
        <f t="shared" si="15"/>
        <v>12</v>
      </c>
      <c r="R92" s="11">
        <f t="shared" si="16"/>
        <v>6</v>
      </c>
      <c r="S92" s="12" cm="1">
        <f t="array" ref="S92">INDEX('HospitalPatientRec-ConceptMap-1'!$I$15:$N$124,Q92+1,R92)</f>
        <v>0</v>
      </c>
    </row>
    <row r="93" spans="2:19">
      <c r="B93" s="11"/>
      <c r="C93" s="11"/>
      <c r="D93" s="12"/>
      <c r="E93" s="12"/>
      <c r="F93" s="64"/>
      <c r="G93" s="123"/>
      <c r="P93" s="11">
        <v>79</v>
      </c>
      <c r="Q93" s="11">
        <f t="shared" si="15"/>
        <v>13</v>
      </c>
      <c r="R93" s="11">
        <f t="shared" si="16"/>
        <v>1</v>
      </c>
      <c r="S93" s="12" cm="1">
        <f t="array" ref="S93">INDEX('HospitalPatientRec-ConceptMap-1'!$I$15:$N$124,Q93+1,R93)</f>
        <v>0</v>
      </c>
    </row>
    <row r="94" spans="2:19">
      <c r="B94" s="11"/>
      <c r="C94" s="11"/>
      <c r="D94" s="12"/>
      <c r="E94" s="12"/>
      <c r="F94" s="64"/>
      <c r="G94" s="123"/>
      <c r="P94" s="11">
        <v>80</v>
      </c>
      <c r="Q94" s="11">
        <f t="shared" si="15"/>
        <v>13</v>
      </c>
      <c r="R94" s="11">
        <f t="shared" si="16"/>
        <v>2</v>
      </c>
      <c r="S94" s="12" cm="1">
        <f t="array" ref="S94">INDEX('HospitalPatientRec-ConceptMap-1'!$I$15:$N$124,Q94+1,R94)</f>
        <v>0</v>
      </c>
    </row>
    <row r="95" spans="2:19">
      <c r="B95" s="11"/>
      <c r="C95" s="11"/>
      <c r="D95" s="12"/>
      <c r="E95" s="12"/>
      <c r="F95" s="64"/>
      <c r="G95" s="123"/>
      <c r="P95" s="11">
        <v>81</v>
      </c>
      <c r="Q95" s="11">
        <f t="shared" si="15"/>
        <v>13</v>
      </c>
      <c r="R95" s="11">
        <f t="shared" si="16"/>
        <v>3</v>
      </c>
      <c r="S95" s="12" cm="1">
        <f t="array" ref="S95">INDEX('HospitalPatientRec-ConceptMap-1'!$I$15:$N$124,Q95+1,R95)</f>
        <v>0</v>
      </c>
    </row>
    <row r="96" spans="2:19">
      <c r="B96" s="11"/>
      <c r="C96" s="11"/>
      <c r="D96" s="12"/>
      <c r="E96" s="12"/>
      <c r="F96" s="64"/>
      <c r="G96" s="123"/>
      <c r="P96" s="11">
        <v>82</v>
      </c>
      <c r="Q96" s="11">
        <f t="shared" si="15"/>
        <v>13</v>
      </c>
      <c r="R96" s="11">
        <f t="shared" si="16"/>
        <v>4</v>
      </c>
      <c r="S96" s="12" cm="1">
        <f t="array" ref="S96">INDEX('HospitalPatientRec-ConceptMap-1'!$I$15:$N$124,Q96+1,R96)</f>
        <v>0</v>
      </c>
    </row>
    <row r="97" spans="2:19">
      <c r="B97" s="11"/>
      <c r="C97" s="11"/>
      <c r="D97" s="12"/>
      <c r="E97" s="12"/>
      <c r="F97" s="64"/>
      <c r="G97" s="123"/>
      <c r="P97" s="11">
        <v>83</v>
      </c>
      <c r="Q97" s="11">
        <f t="shared" si="15"/>
        <v>13</v>
      </c>
      <c r="R97" s="11">
        <f t="shared" si="16"/>
        <v>5</v>
      </c>
      <c r="S97" s="12" cm="1">
        <f t="array" ref="S97">INDEX('HospitalPatientRec-ConceptMap-1'!$I$15:$N$124,Q97+1,R97)</f>
        <v>0</v>
      </c>
    </row>
    <row r="98" spans="2:19">
      <c r="B98" s="11"/>
      <c r="C98" s="11"/>
      <c r="D98" s="12"/>
      <c r="E98" s="12"/>
      <c r="F98" s="64"/>
      <c r="G98" s="123"/>
      <c r="P98" s="11">
        <v>84</v>
      </c>
      <c r="Q98" s="11">
        <f t="shared" si="15"/>
        <v>13</v>
      </c>
      <c r="R98" s="11">
        <f t="shared" si="16"/>
        <v>6</v>
      </c>
      <c r="S98" s="12" cm="1">
        <f t="array" ref="S98">INDEX('HospitalPatientRec-ConceptMap-1'!$I$15:$N$124,Q98+1,R98)</f>
        <v>0</v>
      </c>
    </row>
    <row r="99" spans="2:19">
      <c r="B99" s="11"/>
      <c r="C99" s="11"/>
      <c r="D99" s="12"/>
      <c r="E99" s="12"/>
      <c r="F99" s="64"/>
      <c r="G99" s="123"/>
      <c r="P99" s="11">
        <v>85</v>
      </c>
      <c r="Q99" s="11">
        <f t="shared" si="15"/>
        <v>14</v>
      </c>
      <c r="R99" s="11">
        <f t="shared" si="16"/>
        <v>1</v>
      </c>
      <c r="S99" s="12" cm="1">
        <f t="array" ref="S99">INDEX('HospitalPatientRec-ConceptMap-1'!$I$15:$N$124,Q99+1,R99)</f>
        <v>0</v>
      </c>
    </row>
    <row r="100" spans="2:19">
      <c r="B100" s="11"/>
      <c r="C100" s="11"/>
      <c r="D100" s="12"/>
      <c r="E100" s="12"/>
      <c r="F100" s="64"/>
      <c r="G100" s="123"/>
      <c r="P100" s="11">
        <v>86</v>
      </c>
      <c r="Q100" s="11">
        <f t="shared" si="15"/>
        <v>14</v>
      </c>
      <c r="R100" s="11">
        <f t="shared" si="16"/>
        <v>2</v>
      </c>
      <c r="S100" s="12" cm="1">
        <f t="array" ref="S100">INDEX('HospitalPatientRec-ConceptMap-1'!$I$15:$N$124,Q100+1,R100)</f>
        <v>0</v>
      </c>
    </row>
    <row r="101" spans="2:19">
      <c r="B101" s="11"/>
      <c r="C101" s="11"/>
      <c r="D101" s="12"/>
      <c r="E101" s="12"/>
      <c r="F101" s="64"/>
      <c r="G101" s="123"/>
      <c r="P101" s="11">
        <v>87</v>
      </c>
      <c r="Q101" s="11">
        <f t="shared" si="15"/>
        <v>14</v>
      </c>
      <c r="R101" s="11">
        <f t="shared" si="16"/>
        <v>3</v>
      </c>
      <c r="S101" s="12" cm="1">
        <f t="array" ref="S101">INDEX('HospitalPatientRec-ConceptMap-1'!$I$15:$N$124,Q101+1,R101)</f>
        <v>0</v>
      </c>
    </row>
    <row r="102" spans="2:19">
      <c r="B102" s="11"/>
      <c r="C102" s="11"/>
      <c r="D102" s="12"/>
      <c r="E102" s="12"/>
      <c r="F102" s="64"/>
      <c r="G102" s="123"/>
      <c r="P102" s="11">
        <v>88</v>
      </c>
      <c r="Q102" s="11">
        <f t="shared" si="15"/>
        <v>14</v>
      </c>
      <c r="R102" s="11">
        <f t="shared" si="16"/>
        <v>4</v>
      </c>
      <c r="S102" s="12" cm="1">
        <f t="array" ref="S102">INDEX('HospitalPatientRec-ConceptMap-1'!$I$15:$N$124,Q102+1,R102)</f>
        <v>0</v>
      </c>
    </row>
    <row r="103" spans="2:19">
      <c r="B103" s="11"/>
      <c r="C103" s="11"/>
      <c r="D103" s="12"/>
      <c r="E103" s="12"/>
      <c r="F103" s="64"/>
      <c r="G103" s="123"/>
      <c r="P103" s="11">
        <v>89</v>
      </c>
      <c r="Q103" s="11">
        <f t="shared" si="15"/>
        <v>14</v>
      </c>
      <c r="R103" s="11">
        <f t="shared" si="16"/>
        <v>5</v>
      </c>
      <c r="S103" s="12" cm="1">
        <f t="array" ref="S103">INDEX('HospitalPatientRec-ConceptMap-1'!$I$15:$N$124,Q103+1,R103)</f>
        <v>0</v>
      </c>
    </row>
    <row r="104" spans="2:19">
      <c r="B104" s="11"/>
      <c r="C104" s="11"/>
      <c r="D104" s="12"/>
      <c r="E104" s="12"/>
      <c r="F104" s="64"/>
      <c r="G104" s="123"/>
      <c r="P104" s="11">
        <v>90</v>
      </c>
      <c r="Q104" s="11">
        <f t="shared" si="15"/>
        <v>14</v>
      </c>
      <c r="R104" s="11">
        <f t="shared" si="16"/>
        <v>6</v>
      </c>
      <c r="S104" s="12" cm="1">
        <f t="array" ref="S104">INDEX('HospitalPatientRec-ConceptMap-1'!$I$15:$N$124,Q104+1,R104)</f>
        <v>0</v>
      </c>
    </row>
    <row r="105" spans="2:19">
      <c r="B105" s="11"/>
      <c r="C105" s="11"/>
      <c r="D105" s="12"/>
      <c r="E105" s="12"/>
      <c r="F105" s="64"/>
      <c r="G105" s="123"/>
      <c r="P105" s="11">
        <v>91</v>
      </c>
      <c r="Q105" s="11">
        <f t="shared" si="15"/>
        <v>15</v>
      </c>
      <c r="R105" s="11">
        <f t="shared" si="16"/>
        <v>1</v>
      </c>
      <c r="S105" s="12" cm="1">
        <f t="array" ref="S105">INDEX('HospitalPatientRec-ConceptMap-1'!$I$15:$N$124,Q105+1,R105)</f>
        <v>0</v>
      </c>
    </row>
    <row r="106" spans="2:19">
      <c r="B106" s="11"/>
      <c r="C106" s="11"/>
      <c r="D106" s="12"/>
      <c r="E106" s="12"/>
      <c r="F106" s="64"/>
      <c r="G106" s="123"/>
      <c r="P106" s="11">
        <v>92</v>
      </c>
      <c r="Q106" s="11">
        <f t="shared" si="15"/>
        <v>15</v>
      </c>
      <c r="R106" s="11">
        <f t="shared" si="16"/>
        <v>2</v>
      </c>
      <c r="S106" s="12" cm="1">
        <f t="array" ref="S106">INDEX('HospitalPatientRec-ConceptMap-1'!$I$15:$N$124,Q106+1,R106)</f>
        <v>0</v>
      </c>
    </row>
    <row r="107" spans="2:19">
      <c r="B107" s="11"/>
      <c r="C107" s="11"/>
      <c r="D107" s="12"/>
      <c r="E107" s="12"/>
      <c r="F107" s="64"/>
      <c r="G107" s="123"/>
      <c r="P107" s="11">
        <v>93</v>
      </c>
      <c r="Q107" s="11">
        <f t="shared" si="15"/>
        <v>15</v>
      </c>
      <c r="R107" s="11">
        <f t="shared" si="16"/>
        <v>3</v>
      </c>
      <c r="S107" s="12" cm="1">
        <f t="array" ref="S107">INDEX('HospitalPatientRec-ConceptMap-1'!$I$15:$N$124,Q107+1,R107)</f>
        <v>0</v>
      </c>
    </row>
    <row r="108" spans="2:19">
      <c r="B108" s="11"/>
      <c r="C108" s="11"/>
      <c r="D108" s="12"/>
      <c r="E108" s="12"/>
      <c r="F108" s="64"/>
      <c r="G108" s="123"/>
      <c r="P108" s="11">
        <v>94</v>
      </c>
      <c r="Q108" s="11">
        <f t="shared" si="15"/>
        <v>15</v>
      </c>
      <c r="R108" s="11">
        <f t="shared" si="16"/>
        <v>4</v>
      </c>
      <c r="S108" s="12" cm="1">
        <f t="array" ref="S108">INDEX('HospitalPatientRec-ConceptMap-1'!$I$15:$N$124,Q108+1,R108)</f>
        <v>0</v>
      </c>
    </row>
    <row r="109" spans="2:19">
      <c r="B109" s="11"/>
      <c r="C109" s="11"/>
      <c r="D109" s="12"/>
      <c r="E109" s="12"/>
      <c r="F109" s="64"/>
      <c r="G109" s="123"/>
      <c r="P109" s="11">
        <v>95</v>
      </c>
      <c r="Q109" s="11">
        <f t="shared" si="15"/>
        <v>15</v>
      </c>
      <c r="R109" s="11">
        <f t="shared" si="16"/>
        <v>5</v>
      </c>
      <c r="S109" s="12" cm="1">
        <f t="array" ref="S109">INDEX('HospitalPatientRec-ConceptMap-1'!$I$15:$N$124,Q109+1,R109)</f>
        <v>0</v>
      </c>
    </row>
    <row r="110" spans="2:19">
      <c r="B110" s="11"/>
      <c r="C110" s="11"/>
      <c r="D110" s="12"/>
      <c r="E110" s="12"/>
      <c r="F110" s="64"/>
      <c r="G110" s="123"/>
      <c r="P110" s="11">
        <v>96</v>
      </c>
      <c r="Q110" s="11">
        <f t="shared" si="15"/>
        <v>15</v>
      </c>
      <c r="R110" s="11">
        <f t="shared" si="16"/>
        <v>6</v>
      </c>
      <c r="S110" s="12" cm="1">
        <f t="array" ref="S110">INDEX('HospitalPatientRec-ConceptMap-1'!$I$15:$N$124,Q110+1,R110)</f>
        <v>0</v>
      </c>
    </row>
    <row r="111" spans="2:19">
      <c r="B111" s="11"/>
      <c r="C111" s="11"/>
      <c r="D111" s="12"/>
      <c r="E111" s="12"/>
      <c r="F111" s="64"/>
      <c r="G111" s="123"/>
      <c r="P111" s="11">
        <v>97</v>
      </c>
      <c r="Q111" s="11">
        <f t="shared" si="15"/>
        <v>16</v>
      </c>
      <c r="R111" s="11">
        <f t="shared" si="16"/>
        <v>1</v>
      </c>
      <c r="S111" s="12" cm="1">
        <f t="array" ref="S111">INDEX('HospitalPatientRec-ConceptMap-1'!$I$15:$N$124,Q111+1,R111)</f>
        <v>0</v>
      </c>
    </row>
    <row r="112" spans="2:19">
      <c r="B112" s="11"/>
      <c r="C112" s="11"/>
      <c r="D112" s="12"/>
      <c r="E112" s="12"/>
      <c r="F112" s="64"/>
      <c r="G112" s="123"/>
      <c r="P112" s="11">
        <v>98</v>
      </c>
      <c r="Q112" s="11">
        <f t="shared" si="15"/>
        <v>16</v>
      </c>
      <c r="R112" s="11">
        <f t="shared" si="16"/>
        <v>2</v>
      </c>
      <c r="S112" s="12" cm="1">
        <f t="array" ref="S112">INDEX('HospitalPatientRec-ConceptMap-1'!$I$15:$N$124,Q112+1,R112)</f>
        <v>0</v>
      </c>
    </row>
    <row r="113" spans="2:19">
      <c r="B113" s="11"/>
      <c r="C113" s="11"/>
      <c r="D113" s="12"/>
      <c r="E113" s="12"/>
      <c r="F113" s="64"/>
      <c r="G113" s="123"/>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2278</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1776</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1"/>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2349</v>
      </c>
      <c r="J4" s="16" t="str">
        <f>CONCATENATE("Logical: ",B4)</f>
        <v>Logical: PatientFollowUpI4rc</v>
      </c>
    </row>
    <row r="5" spans="1:12" ht="15.5" thickBot="1">
      <c r="A5" s="14" t="s">
        <v>16</v>
      </c>
      <c r="B5" s="45" t="s">
        <v>2274</v>
      </c>
      <c r="J5" s="16" t="str">
        <f>CONCATENATE("Id: ",B5)</f>
        <v>Id: PatientFollowUp</v>
      </c>
    </row>
    <row r="6" spans="1:12" ht="15.5" thickBot="1">
      <c r="A6" s="14" t="s">
        <v>10</v>
      </c>
      <c r="B6" s="45" t="s">
        <v>2275</v>
      </c>
      <c r="J6" s="17" t="str">
        <f>CONCATENATE("Title: ##34#",B6,"##34#")</f>
        <v>Title: ##34#Patient Follow Up##34#</v>
      </c>
    </row>
    <row r="7" spans="1:12">
      <c r="A7" s="26" t="s">
        <v>2</v>
      </c>
      <c r="B7" s="45" t="s">
        <v>2275</v>
      </c>
      <c r="C7" s="9" t="s">
        <v>3</v>
      </c>
      <c r="D7" s="1" t="s">
        <v>4</v>
      </c>
      <c r="E7" s="3" t="s">
        <v>5</v>
      </c>
      <c r="F7" s="3" t="s">
        <v>6</v>
      </c>
      <c r="G7" s="3" t="s">
        <v>7</v>
      </c>
      <c r="H7" s="105" t="s">
        <v>1610</v>
      </c>
      <c r="J7" s="17" t="str">
        <f>CONCATENATE("Description: "," ##334#",B7,"##334#",)</f>
        <v>Description:  ##334#Patient Follow Up##334#</v>
      </c>
    </row>
    <row r="8" spans="1:12" ht="29.5">
      <c r="A8" s="100">
        <v>0</v>
      </c>
      <c r="B8" s="11" t="s">
        <v>1783</v>
      </c>
      <c r="C8" s="11" t="s">
        <v>14</v>
      </c>
      <c r="D8" s="11" t="s">
        <v>2258</v>
      </c>
      <c r="E8" s="11">
        <v>1</v>
      </c>
      <c r="F8" s="11">
        <v>1</v>
      </c>
      <c r="G8" s="118" t="s">
        <v>1761</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2259</v>
      </c>
      <c r="C9" s="11" t="s">
        <v>2260</v>
      </c>
      <c r="D9" s="11" t="s">
        <v>2261</v>
      </c>
      <c r="E9" s="11">
        <v>1</v>
      </c>
      <c r="F9" s="11">
        <v>1</v>
      </c>
      <c r="G9" s="119" t="s">
        <v>1764</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2262</v>
      </c>
      <c r="C10" s="11" t="s">
        <v>2263</v>
      </c>
      <c r="D10" s="11" t="s">
        <v>2264</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2265</v>
      </c>
      <c r="C11" s="11" t="s">
        <v>2266</v>
      </c>
      <c r="D11" s="11" t="s">
        <v>2267</v>
      </c>
      <c r="E11" s="11">
        <v>1</v>
      </c>
      <c r="F11" s="11">
        <v>1</v>
      </c>
      <c r="G11" s="11" t="s">
        <v>1764</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2268</v>
      </c>
      <c r="C12" s="11" t="s">
        <v>2269</v>
      </c>
      <c r="D12" s="11" t="s">
        <v>2270</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2271</v>
      </c>
      <c r="C13" s="11" t="s">
        <v>2272</v>
      </c>
      <c r="D13" s="11" t="s">
        <v>2273</v>
      </c>
      <c r="E13" s="11">
        <v>1</v>
      </c>
      <c r="F13" s="11">
        <v>1</v>
      </c>
      <c r="G13" s="11" t="s">
        <v>1764</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2276</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2366</v>
      </c>
      <c r="D3" s="62" t="s">
        <v>1769</v>
      </c>
      <c r="E3" s="117" t="str">
        <f>$C$1&amp;B14</f>
        <v>http://hl7.eu/fhir/ig/idea4rc/StructureDefinition/PatientFollowUpI4rc</v>
      </c>
    </row>
    <row r="4" spans="1:19">
      <c r="B4" s="62" t="s">
        <v>16</v>
      </c>
      <c r="C4" s="28" t="s">
        <v>2366</v>
      </c>
      <c r="D4" s="62" t="s">
        <v>1770</v>
      </c>
      <c r="E4" s="184" t="s">
        <v>2365</v>
      </c>
      <c r="F4" s="185"/>
      <c r="G4" s="185"/>
    </row>
    <row r="5" spans="1:19">
      <c r="B5" s="62" t="s">
        <v>10</v>
      </c>
      <c r="C5" s="7" t="s">
        <v>2367</v>
      </c>
      <c r="D5" s="62"/>
      <c r="E5" s="7"/>
    </row>
    <row r="6" spans="1:19">
      <c r="B6" s="62" t="s">
        <v>18</v>
      </c>
      <c r="C6" s="56"/>
      <c r="D6" s="62" t="s">
        <v>1771</v>
      </c>
      <c r="E6" s="184" t="str">
        <f>E3</f>
        <v>http://hl7.eu/fhir/ig/idea4rc/StructureDefinition/PatientFollowUpI4rc</v>
      </c>
      <c r="F6" s="185"/>
      <c r="G6" s="185"/>
    </row>
    <row r="7" spans="1:19">
      <c r="B7" s="62" t="s">
        <v>15</v>
      </c>
      <c r="C7" s="118"/>
      <c r="D7" s="62" t="s">
        <v>1772</v>
      </c>
      <c r="E7" s="184" t="str">
        <f>C1&amp;"encounter-followup-eu-i4rc"</f>
        <v>http://hl7.eu/fhir/ig/idea4rc/StructureDefinition/encounter-followup-eu-i4rc</v>
      </c>
      <c r="F7" s="185"/>
      <c r="G7" s="185"/>
    </row>
    <row r="8" spans="1:19" ht="45" thickBot="1">
      <c r="B8" s="62" t="s">
        <v>1773</v>
      </c>
      <c r="C8" s="7" t="s">
        <v>2367</v>
      </c>
      <c r="D8" s="62"/>
      <c r="E8" s="7"/>
      <c r="I8" s="12" t="s">
        <v>1402</v>
      </c>
      <c r="J8" s="12" t="s">
        <v>1403</v>
      </c>
      <c r="K8" s="12" t="s">
        <v>1404</v>
      </c>
      <c r="L8" s="12" t="s">
        <v>1405</v>
      </c>
      <c r="M8" s="11" t="s">
        <v>1406</v>
      </c>
      <c r="P8" s="49" t="s">
        <v>1441</v>
      </c>
      <c r="Q8" s="49">
        <v>6</v>
      </c>
    </row>
    <row r="9" spans="1:19" ht="30.25" thickBot="1">
      <c r="B9" s="62" t="s">
        <v>1774</v>
      </c>
      <c r="C9" s="12" t="s">
        <v>2368</v>
      </c>
      <c r="D9" s="143"/>
      <c r="E9" s="186"/>
      <c r="F9" s="187"/>
      <c r="G9" s="188"/>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2369</v>
      </c>
      <c r="E14" s="6"/>
      <c r="F14" s="64"/>
      <c r="G14" s="64"/>
      <c r="I14" s="12"/>
      <c r="J14" s="11"/>
      <c r="K14" s="11"/>
      <c r="L14" s="11"/>
      <c r="M14" s="63"/>
      <c r="N14" s="66"/>
    </row>
    <row r="15" spans="1:19" ht="44.25">
      <c r="A15" s="59"/>
      <c r="B15" s="11" t="str">
        <f>PatientFollowUp!B8</f>
        <v>patient</v>
      </c>
      <c r="C15" s="11" t="str">
        <f>PatientFollowUp!C8</f>
        <v>Patient</v>
      </c>
      <c r="D15" s="12" t="s">
        <v>1798</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3" t="s">
        <v>2370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2371</v>
      </c>
      <c r="E17" s="12"/>
      <c r="F17" s="64" t="s">
        <v>1407</v>
      </c>
      <c r="G17" s="122" t="s">
        <v>2372</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3"/>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3"/>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3"/>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3"/>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INDEX('PatientFollowUp-ConceptMap-1'!$I$15:$N$124,Q47+1,R47)</f>
        <v>//-- unmatched</v>
      </c>
    </row>
    <row r="48" spans="1:19">
      <c r="B48" s="11"/>
      <c r="C48" s="11"/>
      <c r="D48" s="12"/>
      <c r="E48" s="12"/>
      <c r="F48" s="64"/>
      <c r="G48" s="123"/>
      <c r="P48" s="11">
        <v>34</v>
      </c>
      <c r="Q48" s="11">
        <f t="shared" si="13"/>
        <v>5</v>
      </c>
      <c r="R48" s="11">
        <f t="shared" si="14"/>
        <v>4</v>
      </c>
      <c r="S48" s="12" t="str" cm="1">
        <f t="array" ref="S48">INDEX('PatientFollowUp-ConceptMap-1'!$I$15:$N$124,Q48+1,R48)</f>
        <v>//-- unmatched</v>
      </c>
    </row>
    <row r="49" spans="2:19">
      <c r="B49" s="11"/>
      <c r="C49" s="11"/>
      <c r="D49" s="12"/>
      <c r="E49" s="12"/>
      <c r="F49" s="64"/>
      <c r="G49" s="123"/>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3"/>
      <c r="P50" s="11">
        <v>36</v>
      </c>
      <c r="Q50" s="11">
        <f t="shared" si="13"/>
        <v>5</v>
      </c>
      <c r="R50" s="11">
        <f t="shared" si="14"/>
        <v>6</v>
      </c>
      <c r="S50" s="12" t="str" cm="1">
        <f t="array" ref="S50">INDEX('PatientFollowUp-ConceptMap-1'!$I$15:$N$124,Q50+1,R50)</f>
        <v/>
      </c>
    </row>
    <row r="51" spans="2:19">
      <c r="B51" s="11"/>
      <c r="C51" s="11"/>
      <c r="D51" s="12"/>
      <c r="E51" s="12"/>
      <c r="F51" s="64"/>
      <c r="G51" s="123"/>
      <c r="P51" s="11">
        <v>37</v>
      </c>
      <c r="Q51" s="11">
        <f t="shared" si="13"/>
        <v>6</v>
      </c>
      <c r="R51" s="11">
        <f t="shared" si="14"/>
        <v>1</v>
      </c>
      <c r="S51" s="12" cm="1">
        <f t="array" ref="S51">INDEX('PatientFollowUp-ConceptMap-1'!$I$15:$N$124,Q51+1,R51)</f>
        <v>0</v>
      </c>
    </row>
    <row r="52" spans="2:19">
      <c r="B52" s="11"/>
      <c r="C52" s="11"/>
      <c r="D52" s="12"/>
      <c r="E52" s="12"/>
      <c r="F52" s="64"/>
      <c r="G52" s="123"/>
      <c r="P52" s="11">
        <v>38</v>
      </c>
      <c r="Q52" s="11">
        <f t="shared" si="13"/>
        <v>6</v>
      </c>
      <c r="R52" s="11">
        <f t="shared" si="14"/>
        <v>2</v>
      </c>
      <c r="S52" s="12" cm="1">
        <f t="array" ref="S52">INDEX('PatientFollowUp-ConceptMap-1'!$I$15:$N$124,Q52+1,R52)</f>
        <v>0</v>
      </c>
    </row>
    <row r="53" spans="2:19">
      <c r="B53" s="11"/>
      <c r="C53" s="11"/>
      <c r="D53" s="12"/>
      <c r="E53" s="12"/>
      <c r="F53" s="64"/>
      <c r="G53" s="123"/>
      <c r="P53" s="11">
        <v>39</v>
      </c>
      <c r="Q53" s="11">
        <f t="shared" si="13"/>
        <v>6</v>
      </c>
      <c r="R53" s="11">
        <f t="shared" si="14"/>
        <v>3</v>
      </c>
      <c r="S53" s="12" cm="1">
        <f t="array" ref="S53">INDEX('PatientFollowUp-ConceptMap-1'!$I$15:$N$124,Q53+1,R53)</f>
        <v>0</v>
      </c>
    </row>
    <row r="54" spans="2:19">
      <c r="B54" s="11"/>
      <c r="C54" s="11"/>
      <c r="D54" s="12"/>
      <c r="E54" s="12"/>
      <c r="F54" s="64"/>
      <c r="G54" s="123"/>
      <c r="P54" s="11">
        <v>40</v>
      </c>
      <c r="Q54" s="11">
        <f t="shared" si="13"/>
        <v>6</v>
      </c>
      <c r="R54" s="11">
        <f t="shared" si="14"/>
        <v>4</v>
      </c>
      <c r="S54" s="12" cm="1">
        <f t="array" ref="S54">INDEX('PatientFollowUp-ConceptMap-1'!$I$15:$N$124,Q54+1,R54)</f>
        <v>0</v>
      </c>
    </row>
    <row r="55" spans="2:19">
      <c r="B55" s="11"/>
      <c r="C55" s="11"/>
      <c r="D55" s="12"/>
      <c r="E55" s="12"/>
      <c r="F55" s="64"/>
      <c r="G55" s="123"/>
      <c r="P55" s="11">
        <v>41</v>
      </c>
      <c r="Q55" s="11">
        <f t="shared" si="13"/>
        <v>6</v>
      </c>
      <c r="R55" s="11">
        <f t="shared" si="14"/>
        <v>5</v>
      </c>
      <c r="S55" s="12" cm="1">
        <f t="array" ref="S55">INDEX('PatientFollowUp-ConceptMap-1'!$I$15:$N$124,Q55+1,R55)</f>
        <v>0</v>
      </c>
    </row>
    <row r="56" spans="2:19">
      <c r="B56" s="11"/>
      <c r="C56" s="11"/>
      <c r="D56" s="12"/>
      <c r="E56" s="12"/>
      <c r="F56" s="64"/>
      <c r="G56" s="123"/>
      <c r="P56" s="11">
        <v>42</v>
      </c>
      <c r="Q56" s="11">
        <f t="shared" si="13"/>
        <v>6</v>
      </c>
      <c r="R56" s="11">
        <f t="shared" si="14"/>
        <v>6</v>
      </c>
      <c r="S56" s="12" cm="1">
        <f t="array" ref="S56">INDEX('PatientFollowUp-ConceptMap-1'!$I$15:$N$124,Q56+1,R56)</f>
        <v>0</v>
      </c>
    </row>
    <row r="57" spans="2:19">
      <c r="B57" s="11"/>
      <c r="C57" s="11"/>
      <c r="D57" s="12"/>
      <c r="E57" s="12"/>
      <c r="F57" s="64"/>
      <c r="G57" s="123"/>
      <c r="P57" s="11">
        <v>43</v>
      </c>
      <c r="Q57" s="11">
        <f t="shared" si="13"/>
        <v>7</v>
      </c>
      <c r="R57" s="11">
        <f t="shared" si="14"/>
        <v>1</v>
      </c>
      <c r="S57" s="12" cm="1">
        <f t="array" ref="S57">INDEX('PatientFollowUp-ConceptMap-1'!$I$15:$N$124,Q57+1,R57)</f>
        <v>0</v>
      </c>
    </row>
    <row r="58" spans="2:19">
      <c r="B58" s="11"/>
      <c r="C58" s="11"/>
      <c r="D58" s="12"/>
      <c r="E58" s="12"/>
      <c r="F58" s="64"/>
      <c r="G58" s="123"/>
      <c r="P58" s="11">
        <v>44</v>
      </c>
      <c r="Q58" s="11">
        <f t="shared" si="13"/>
        <v>7</v>
      </c>
      <c r="R58" s="11">
        <f t="shared" si="14"/>
        <v>2</v>
      </c>
      <c r="S58" s="12" cm="1">
        <f t="array" ref="S58">INDEX('PatientFollowUp-ConceptMap-1'!$I$15:$N$124,Q58+1,R58)</f>
        <v>0</v>
      </c>
    </row>
    <row r="59" spans="2:19">
      <c r="B59" s="11"/>
      <c r="C59" s="11"/>
      <c r="D59" s="12"/>
      <c r="E59" s="12"/>
      <c r="F59" s="64"/>
      <c r="G59" s="123"/>
      <c r="P59" s="11">
        <v>45</v>
      </c>
      <c r="Q59" s="11">
        <f t="shared" si="13"/>
        <v>7</v>
      </c>
      <c r="R59" s="11">
        <f t="shared" si="14"/>
        <v>3</v>
      </c>
      <c r="S59" s="12" cm="1">
        <f t="array" ref="S59">INDEX('PatientFollowUp-ConceptMap-1'!$I$15:$N$124,Q59+1,R59)</f>
        <v>0</v>
      </c>
    </row>
    <row r="60" spans="2:19">
      <c r="B60" s="11"/>
      <c r="C60" s="11"/>
      <c r="D60" s="12"/>
      <c r="E60" s="12"/>
      <c r="F60" s="64"/>
      <c r="G60" s="123"/>
      <c r="P60" s="11">
        <v>46</v>
      </c>
      <c r="Q60" s="11">
        <f t="shared" si="13"/>
        <v>7</v>
      </c>
      <c r="R60" s="11">
        <f t="shared" si="14"/>
        <v>4</v>
      </c>
      <c r="S60" s="12" cm="1">
        <f t="array" ref="S60">INDEX('PatientFollowUp-ConceptMap-1'!$I$15:$N$124,Q60+1,R60)</f>
        <v>0</v>
      </c>
    </row>
    <row r="61" spans="2:19">
      <c r="B61" s="11"/>
      <c r="C61" s="11"/>
      <c r="D61" s="12"/>
      <c r="E61" s="12"/>
      <c r="F61" s="64"/>
      <c r="G61" s="123"/>
      <c r="P61" s="11">
        <v>47</v>
      </c>
      <c r="Q61" s="11">
        <f t="shared" si="13"/>
        <v>7</v>
      </c>
      <c r="R61" s="11">
        <f t="shared" si="14"/>
        <v>5</v>
      </c>
      <c r="S61" s="12" cm="1">
        <f t="array" ref="S61">INDEX('PatientFollowUp-ConceptMap-1'!$I$15:$N$124,Q61+1,R61)</f>
        <v>0</v>
      </c>
    </row>
    <row r="62" spans="2:19">
      <c r="B62" s="11"/>
      <c r="C62" s="11"/>
      <c r="D62" s="12"/>
      <c r="E62" s="12"/>
      <c r="F62" s="64"/>
      <c r="G62" s="123"/>
      <c r="P62" s="11">
        <v>48</v>
      </c>
      <c r="Q62" s="11">
        <f t="shared" si="13"/>
        <v>7</v>
      </c>
      <c r="R62" s="11">
        <f t="shared" si="14"/>
        <v>6</v>
      </c>
      <c r="S62" s="12" cm="1">
        <f t="array" ref="S62">INDEX('PatientFollowUp-ConceptMap-1'!$I$15:$N$124,Q62+1,R62)</f>
        <v>0</v>
      </c>
    </row>
    <row r="63" spans="2:19">
      <c r="B63" s="11"/>
      <c r="C63" s="11"/>
      <c r="D63" s="12"/>
      <c r="E63" s="12"/>
      <c r="F63" s="64"/>
      <c r="G63" s="123"/>
      <c r="P63" s="11">
        <v>49</v>
      </c>
      <c r="Q63" s="11">
        <f t="shared" si="13"/>
        <v>8</v>
      </c>
      <c r="R63" s="11">
        <f t="shared" si="14"/>
        <v>1</v>
      </c>
      <c r="S63" s="12" cm="1">
        <f t="array" ref="S63">INDEX('PatientFollowUp-ConceptMap-1'!$I$15:$N$124,Q63+1,R63)</f>
        <v>0</v>
      </c>
    </row>
    <row r="64" spans="2:19">
      <c r="B64" s="11"/>
      <c r="C64" s="11"/>
      <c r="D64" s="12"/>
      <c r="E64" s="12"/>
      <c r="F64" s="64"/>
      <c r="G64" s="123"/>
      <c r="P64" s="11">
        <v>50</v>
      </c>
      <c r="Q64" s="11">
        <f t="shared" si="13"/>
        <v>8</v>
      </c>
      <c r="R64" s="11">
        <f t="shared" si="14"/>
        <v>2</v>
      </c>
      <c r="S64" s="12" cm="1">
        <f t="array" ref="S64">INDEX('PatientFollowUp-ConceptMap-1'!$I$15:$N$124,Q64+1,R64)</f>
        <v>0</v>
      </c>
    </row>
    <row r="65" spans="2:19">
      <c r="B65" s="11"/>
      <c r="C65" s="11"/>
      <c r="D65" s="12"/>
      <c r="E65" s="12"/>
      <c r="F65" s="64"/>
      <c r="G65" s="123"/>
      <c r="P65" s="11">
        <v>51</v>
      </c>
      <c r="Q65" s="11">
        <f t="shared" si="13"/>
        <v>8</v>
      </c>
      <c r="R65" s="11">
        <f t="shared" si="14"/>
        <v>3</v>
      </c>
      <c r="S65" s="12" cm="1">
        <f t="array" ref="S65">INDEX('PatientFollowUp-ConceptMap-1'!$I$15:$N$124,Q65+1,R65)</f>
        <v>0</v>
      </c>
    </row>
    <row r="66" spans="2:19">
      <c r="B66" s="11"/>
      <c r="C66" s="11"/>
      <c r="D66" s="12"/>
      <c r="E66" s="12"/>
      <c r="F66" s="64"/>
      <c r="G66" s="123"/>
      <c r="P66" s="11">
        <v>52</v>
      </c>
      <c r="Q66" s="11">
        <f t="shared" si="13"/>
        <v>8</v>
      </c>
      <c r="R66" s="11">
        <f t="shared" si="14"/>
        <v>4</v>
      </c>
      <c r="S66" s="12" cm="1">
        <f t="array" ref="S66">INDEX('PatientFollowUp-ConceptMap-1'!$I$15:$N$124,Q66+1,R66)</f>
        <v>0</v>
      </c>
    </row>
    <row r="67" spans="2:19">
      <c r="B67" s="11"/>
      <c r="C67" s="11"/>
      <c r="D67" s="12"/>
      <c r="E67" s="12"/>
      <c r="F67" s="64"/>
      <c r="G67" s="123"/>
      <c r="P67" s="11">
        <v>53</v>
      </c>
      <c r="Q67" s="11">
        <f t="shared" si="13"/>
        <v>8</v>
      </c>
      <c r="R67" s="11">
        <f t="shared" si="14"/>
        <v>5</v>
      </c>
      <c r="S67" s="12" cm="1">
        <f t="array" ref="S67">INDEX('PatientFollowUp-ConceptMap-1'!$I$15:$N$124,Q67+1,R67)</f>
        <v>0</v>
      </c>
    </row>
    <row r="68" spans="2:19">
      <c r="B68" s="11"/>
      <c r="C68" s="11"/>
      <c r="D68" s="12"/>
      <c r="E68" s="12"/>
      <c r="F68" s="64"/>
      <c r="G68" s="123"/>
      <c r="P68" s="11">
        <v>54</v>
      </c>
      <c r="Q68" s="11">
        <f t="shared" si="13"/>
        <v>8</v>
      </c>
      <c r="R68" s="11">
        <f t="shared" si="14"/>
        <v>6</v>
      </c>
      <c r="S68" s="12" cm="1">
        <f t="array" ref="S68">INDEX('PatientFollowUp-ConceptMap-1'!$I$15:$N$124,Q68+1,R68)</f>
        <v>0</v>
      </c>
    </row>
    <row r="69" spans="2:19">
      <c r="B69" s="11"/>
      <c r="C69" s="11"/>
      <c r="D69" s="12"/>
      <c r="E69" s="12"/>
      <c r="F69" s="64"/>
      <c r="G69" s="123"/>
      <c r="P69" s="11">
        <v>55</v>
      </c>
      <c r="Q69" s="11">
        <f t="shared" si="13"/>
        <v>9</v>
      </c>
      <c r="R69" s="11">
        <f t="shared" si="14"/>
        <v>1</v>
      </c>
      <c r="S69" s="12" cm="1">
        <f t="array" ref="S69">INDEX('PatientFollowUp-ConceptMap-1'!$I$15:$N$124,Q69+1,R69)</f>
        <v>0</v>
      </c>
    </row>
    <row r="70" spans="2:19">
      <c r="B70" s="11"/>
      <c r="C70" s="11"/>
      <c r="D70" s="12"/>
      <c r="E70" s="12"/>
      <c r="F70" s="64"/>
      <c r="G70" s="123"/>
      <c r="P70" s="11">
        <v>56</v>
      </c>
      <c r="Q70" s="11">
        <f t="shared" si="13"/>
        <v>9</v>
      </c>
      <c r="R70" s="11">
        <f t="shared" si="14"/>
        <v>2</v>
      </c>
      <c r="S70" s="12" cm="1">
        <f t="array" ref="S70">INDEX('PatientFollowUp-ConceptMap-1'!$I$15:$N$124,Q70+1,R70)</f>
        <v>0</v>
      </c>
    </row>
    <row r="71" spans="2:19">
      <c r="B71" s="11"/>
      <c r="C71" s="11"/>
      <c r="D71" s="12"/>
      <c r="E71" s="12"/>
      <c r="F71" s="64"/>
      <c r="G71" s="123"/>
      <c r="P71" s="11">
        <v>57</v>
      </c>
      <c r="Q71" s="11">
        <f t="shared" si="13"/>
        <v>9</v>
      </c>
      <c r="R71" s="11">
        <f t="shared" si="14"/>
        <v>3</v>
      </c>
      <c r="S71" s="12" cm="1">
        <f t="array" ref="S71">INDEX('PatientFollowUp-ConceptMap-1'!$I$15:$N$124,Q71+1,R71)</f>
        <v>0</v>
      </c>
    </row>
    <row r="72" spans="2:19">
      <c r="B72" s="11"/>
      <c r="C72" s="11"/>
      <c r="D72" s="12"/>
      <c r="E72" s="12"/>
      <c r="F72" s="64"/>
      <c r="G72" s="123"/>
      <c r="P72" s="11">
        <v>58</v>
      </c>
      <c r="Q72" s="11">
        <f t="shared" si="13"/>
        <v>9</v>
      </c>
      <c r="R72" s="11">
        <f t="shared" si="14"/>
        <v>4</v>
      </c>
      <c r="S72" s="12" cm="1">
        <f t="array" ref="S72">INDEX('PatientFollowUp-ConceptMap-1'!$I$15:$N$124,Q72+1,R72)</f>
        <v>0</v>
      </c>
    </row>
    <row r="73" spans="2:19">
      <c r="B73" s="11"/>
      <c r="C73" s="11"/>
      <c r="D73" s="12"/>
      <c r="E73" s="12"/>
      <c r="F73" s="64"/>
      <c r="G73" s="123"/>
      <c r="P73" s="11">
        <v>59</v>
      </c>
      <c r="Q73" s="11">
        <f t="shared" si="13"/>
        <v>9</v>
      </c>
      <c r="R73" s="11">
        <f t="shared" si="14"/>
        <v>5</v>
      </c>
      <c r="S73" s="12" cm="1">
        <f t="array" ref="S73">INDEX('PatientFollowUp-ConceptMap-1'!$I$15:$N$124,Q73+1,R73)</f>
        <v>0</v>
      </c>
    </row>
    <row r="74" spans="2:19">
      <c r="B74" s="11"/>
      <c r="C74" s="11"/>
      <c r="D74" s="12"/>
      <c r="E74" s="12"/>
      <c r="F74" s="64"/>
      <c r="G74" s="123"/>
      <c r="P74" s="11">
        <v>60</v>
      </c>
      <c r="Q74" s="11">
        <f t="shared" si="13"/>
        <v>9</v>
      </c>
      <c r="R74" s="11">
        <f t="shared" si="14"/>
        <v>6</v>
      </c>
      <c r="S74" s="12" cm="1">
        <f t="array" ref="S74">INDEX('PatientFollowUp-ConceptMap-1'!$I$15:$N$124,Q74+1,R74)</f>
        <v>0</v>
      </c>
    </row>
    <row r="75" spans="2:19">
      <c r="B75" s="11"/>
      <c r="C75" s="11"/>
      <c r="D75" s="12"/>
      <c r="E75" s="12"/>
      <c r="F75" s="64"/>
      <c r="G75" s="123"/>
      <c r="P75" s="11">
        <v>61</v>
      </c>
      <c r="Q75" s="11">
        <f t="shared" si="13"/>
        <v>10</v>
      </c>
      <c r="R75" s="11">
        <f t="shared" si="14"/>
        <v>1</v>
      </c>
      <c r="S75" s="12" cm="1">
        <f t="array" ref="S75">INDEX('PatientFollowUp-ConceptMap-1'!$I$15:$N$124,Q75+1,R75)</f>
        <v>0</v>
      </c>
    </row>
    <row r="76" spans="2:19">
      <c r="B76" s="11"/>
      <c r="C76" s="11"/>
      <c r="D76" s="12"/>
      <c r="E76" s="12"/>
      <c r="F76" s="64"/>
      <c r="G76" s="123"/>
      <c r="P76" s="11">
        <v>62</v>
      </c>
      <c r="Q76" s="11">
        <f t="shared" si="13"/>
        <v>10</v>
      </c>
      <c r="R76" s="11">
        <f t="shared" si="14"/>
        <v>2</v>
      </c>
      <c r="S76" s="12" cm="1">
        <f t="array" ref="S76">INDEX('PatientFollowUp-ConceptMap-1'!$I$15:$N$124,Q76+1,R76)</f>
        <v>0</v>
      </c>
    </row>
    <row r="77" spans="2:19">
      <c r="B77" s="11"/>
      <c r="C77" s="11"/>
      <c r="D77" s="12"/>
      <c r="E77" s="12"/>
      <c r="F77" s="64"/>
      <c r="G77" s="123"/>
      <c r="P77" s="11">
        <v>63</v>
      </c>
      <c r="Q77" s="11">
        <f t="shared" si="13"/>
        <v>10</v>
      </c>
      <c r="R77" s="11">
        <f t="shared" si="14"/>
        <v>3</v>
      </c>
      <c r="S77" s="12" cm="1">
        <f t="array" ref="S77">INDEX('PatientFollowUp-ConceptMap-1'!$I$15:$N$124,Q77+1,R77)</f>
        <v>0</v>
      </c>
    </row>
    <row r="78" spans="2:19">
      <c r="B78" s="11"/>
      <c r="C78" s="11"/>
      <c r="D78" s="12"/>
      <c r="E78" s="12"/>
      <c r="F78" s="64"/>
      <c r="G78" s="123"/>
      <c r="P78" s="11">
        <v>64</v>
      </c>
      <c r="Q78" s="11">
        <f t="shared" si="13"/>
        <v>10</v>
      </c>
      <c r="R78" s="11">
        <f t="shared" si="14"/>
        <v>4</v>
      </c>
      <c r="S78" s="12" cm="1">
        <f t="array" ref="S78">INDEX('PatientFollowUp-ConceptMap-1'!$I$15:$N$124,Q78+1,R78)</f>
        <v>0</v>
      </c>
    </row>
    <row r="79" spans="2:19">
      <c r="B79" s="11"/>
      <c r="C79" s="11"/>
      <c r="D79" s="12"/>
      <c r="E79" s="12"/>
      <c r="F79" s="64"/>
      <c r="G79" s="123"/>
      <c r="P79" s="11">
        <v>65</v>
      </c>
      <c r="Q79" s="11">
        <f t="shared" si="13"/>
        <v>10</v>
      </c>
      <c r="R79" s="11">
        <f t="shared" si="14"/>
        <v>5</v>
      </c>
      <c r="S79" s="12" cm="1">
        <f t="array" ref="S79">INDEX('PatientFollowUp-ConceptMap-1'!$I$15:$N$124,Q79+1,R79)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3"/>
      <c r="P81" s="11">
        <v>67</v>
      </c>
      <c r="Q81" s="11">
        <f t="shared" si="15"/>
        <v>11</v>
      </c>
      <c r="R81" s="11">
        <f t="shared" si="16"/>
        <v>1</v>
      </c>
      <c r="S81" s="12" cm="1">
        <f t="array" ref="S81">INDEX('PatientFollowUp-ConceptMap-1'!$I$15:$N$124,Q81+1,R81)</f>
        <v>0</v>
      </c>
    </row>
    <row r="82" spans="2:19">
      <c r="B82" s="11"/>
      <c r="C82" s="11"/>
      <c r="D82" s="12"/>
      <c r="E82" s="12"/>
      <c r="F82" s="64"/>
      <c r="G82" s="123"/>
      <c r="P82" s="11">
        <v>68</v>
      </c>
      <c r="Q82" s="11">
        <f t="shared" si="15"/>
        <v>11</v>
      </c>
      <c r="R82" s="11">
        <f t="shared" si="16"/>
        <v>2</v>
      </c>
      <c r="S82" s="12" cm="1">
        <f t="array" ref="S82">INDEX('PatientFollowUp-ConceptMap-1'!$I$15:$N$124,Q82+1,R82)</f>
        <v>0</v>
      </c>
    </row>
    <row r="83" spans="2:19">
      <c r="B83" s="11"/>
      <c r="C83" s="11"/>
      <c r="D83" s="12"/>
      <c r="E83" s="12"/>
      <c r="F83" s="64"/>
      <c r="G83" s="123"/>
      <c r="P83" s="11">
        <v>69</v>
      </c>
      <c r="Q83" s="11">
        <f t="shared" si="15"/>
        <v>11</v>
      </c>
      <c r="R83" s="11">
        <f t="shared" si="16"/>
        <v>3</v>
      </c>
      <c r="S83" s="12" cm="1">
        <f t="array" ref="S83">INDEX('PatientFollowUp-ConceptMap-1'!$I$15:$N$124,Q83+1,R83)</f>
        <v>0</v>
      </c>
    </row>
    <row r="84" spans="2:19">
      <c r="B84" s="11"/>
      <c r="C84" s="11"/>
      <c r="D84" s="12"/>
      <c r="E84" s="12"/>
      <c r="F84" s="64"/>
      <c r="G84" s="123"/>
      <c r="P84" s="11">
        <v>70</v>
      </c>
      <c r="Q84" s="11">
        <f t="shared" si="15"/>
        <v>11</v>
      </c>
      <c r="R84" s="11">
        <f t="shared" si="16"/>
        <v>4</v>
      </c>
      <c r="S84" s="12" cm="1">
        <f t="array" ref="S84">INDEX('PatientFollowUp-ConceptMap-1'!$I$15:$N$124,Q84+1,R84)</f>
        <v>0</v>
      </c>
    </row>
    <row r="85" spans="2:19">
      <c r="B85" s="11"/>
      <c r="C85" s="11"/>
      <c r="D85" s="12"/>
      <c r="E85" s="12"/>
      <c r="F85" s="64"/>
      <c r="G85" s="123"/>
      <c r="P85" s="11">
        <v>71</v>
      </c>
      <c r="Q85" s="11">
        <f t="shared" si="15"/>
        <v>11</v>
      </c>
      <c r="R85" s="11">
        <f t="shared" si="16"/>
        <v>5</v>
      </c>
      <c r="S85" s="12" cm="1">
        <f t="array" ref="S85">INDEX('PatientFollowUp-ConceptMap-1'!$I$15:$N$124,Q85+1,R85)</f>
        <v>0</v>
      </c>
    </row>
    <row r="86" spans="2:19">
      <c r="B86" s="11"/>
      <c r="C86" s="11"/>
      <c r="D86" s="12"/>
      <c r="E86" s="12"/>
      <c r="F86" s="64"/>
      <c r="G86" s="123"/>
      <c r="P86" s="11">
        <v>72</v>
      </c>
      <c r="Q86" s="11">
        <f t="shared" si="15"/>
        <v>11</v>
      </c>
      <c r="R86" s="11">
        <f t="shared" si="16"/>
        <v>6</v>
      </c>
      <c r="S86" s="12" cm="1">
        <f t="array" ref="S86">INDEX('PatientFollowUp-ConceptMap-1'!$I$15:$N$124,Q86+1,R86)</f>
        <v>0</v>
      </c>
    </row>
    <row r="87" spans="2:19">
      <c r="B87" s="11"/>
      <c r="C87" s="11"/>
      <c r="D87" s="12"/>
      <c r="E87" s="12"/>
      <c r="F87" s="64"/>
      <c r="G87" s="123"/>
      <c r="P87" s="11">
        <v>73</v>
      </c>
      <c r="Q87" s="11">
        <f t="shared" si="15"/>
        <v>12</v>
      </c>
      <c r="R87" s="11">
        <f t="shared" si="16"/>
        <v>1</v>
      </c>
      <c r="S87" s="12" cm="1">
        <f t="array" ref="S87">INDEX('PatientFollowUp-ConceptMap-1'!$I$15:$N$124,Q87+1,R87)</f>
        <v>0</v>
      </c>
    </row>
    <row r="88" spans="2:19">
      <c r="B88" s="11"/>
      <c r="C88" s="11"/>
      <c r="D88" s="12"/>
      <c r="E88" s="12"/>
      <c r="F88" s="64"/>
      <c r="G88" s="123"/>
      <c r="P88" s="11">
        <v>74</v>
      </c>
      <c r="Q88" s="11">
        <f t="shared" si="15"/>
        <v>12</v>
      </c>
      <c r="R88" s="11">
        <f t="shared" si="16"/>
        <v>2</v>
      </c>
      <c r="S88" s="12" cm="1">
        <f t="array" ref="S88">INDEX('PatientFollowUp-ConceptMap-1'!$I$15:$N$124,Q88+1,R88)</f>
        <v>0</v>
      </c>
    </row>
    <row r="89" spans="2:19">
      <c r="B89" s="11"/>
      <c r="C89" s="11"/>
      <c r="D89" s="12"/>
      <c r="E89" s="12"/>
      <c r="F89" s="64"/>
      <c r="G89" s="123"/>
      <c r="P89" s="11">
        <v>75</v>
      </c>
      <c r="Q89" s="11">
        <f t="shared" si="15"/>
        <v>12</v>
      </c>
      <c r="R89" s="11">
        <f t="shared" si="16"/>
        <v>3</v>
      </c>
      <c r="S89" s="12" cm="1">
        <f t="array" ref="S89">INDEX('PatientFollowUp-ConceptMap-1'!$I$15:$N$124,Q89+1,R89)</f>
        <v>0</v>
      </c>
    </row>
    <row r="90" spans="2:19">
      <c r="B90" s="11"/>
      <c r="C90" s="11"/>
      <c r="D90" s="12"/>
      <c r="E90" s="12"/>
      <c r="F90" s="64"/>
      <c r="G90" s="123"/>
      <c r="P90" s="11">
        <v>76</v>
      </c>
      <c r="Q90" s="11">
        <f t="shared" si="15"/>
        <v>12</v>
      </c>
      <c r="R90" s="11">
        <f t="shared" si="16"/>
        <v>4</v>
      </c>
      <c r="S90" s="12" cm="1">
        <f t="array" ref="S90">INDEX('PatientFollowUp-ConceptMap-1'!$I$15:$N$124,Q90+1,R90)</f>
        <v>0</v>
      </c>
    </row>
    <row r="91" spans="2:19">
      <c r="B91" s="11"/>
      <c r="C91" s="11"/>
      <c r="D91" s="12"/>
      <c r="E91" s="12"/>
      <c r="F91" s="64"/>
      <c r="G91" s="123"/>
      <c r="P91" s="11">
        <v>77</v>
      </c>
      <c r="Q91" s="11">
        <f t="shared" si="15"/>
        <v>12</v>
      </c>
      <c r="R91" s="11">
        <f t="shared" si="16"/>
        <v>5</v>
      </c>
      <c r="S91" s="12" cm="1">
        <f t="array" ref="S91">INDEX('PatientFollowUp-ConceptMap-1'!$I$15:$N$124,Q91+1,R91)</f>
        <v>0</v>
      </c>
    </row>
    <row r="92" spans="2:19">
      <c r="B92" s="11"/>
      <c r="C92" s="11"/>
      <c r="D92" s="12"/>
      <c r="E92" s="12"/>
      <c r="F92" s="64"/>
      <c r="G92" s="123"/>
      <c r="P92" s="11">
        <v>78</v>
      </c>
      <c r="Q92" s="11">
        <f t="shared" si="15"/>
        <v>12</v>
      </c>
      <c r="R92" s="11">
        <f t="shared" si="16"/>
        <v>6</v>
      </c>
      <c r="S92" s="12" cm="1">
        <f t="array" ref="S92">INDEX('PatientFollowUp-ConceptMap-1'!$I$15:$N$124,Q92+1,R92)</f>
        <v>0</v>
      </c>
    </row>
    <row r="93" spans="2:19">
      <c r="B93" s="11"/>
      <c r="C93" s="11"/>
      <c r="D93" s="12"/>
      <c r="E93" s="12"/>
      <c r="F93" s="64"/>
      <c r="G93" s="123"/>
      <c r="P93" s="11">
        <v>79</v>
      </c>
      <c r="Q93" s="11">
        <f t="shared" si="15"/>
        <v>13</v>
      </c>
      <c r="R93" s="11">
        <f t="shared" si="16"/>
        <v>1</v>
      </c>
      <c r="S93" s="12" cm="1">
        <f t="array" ref="S93">INDEX('PatientFollowUp-ConceptMap-1'!$I$15:$N$124,Q93+1,R93)</f>
        <v>0</v>
      </c>
    </row>
    <row r="94" spans="2:19">
      <c r="B94" s="11"/>
      <c r="C94" s="11"/>
      <c r="D94" s="12"/>
      <c r="E94" s="12"/>
      <c r="F94" s="64"/>
      <c r="G94" s="123"/>
      <c r="P94" s="11">
        <v>80</v>
      </c>
      <c r="Q94" s="11">
        <f t="shared" si="15"/>
        <v>13</v>
      </c>
      <c r="R94" s="11">
        <f t="shared" si="16"/>
        <v>2</v>
      </c>
      <c r="S94" s="12" cm="1">
        <f t="array" ref="S94">INDEX('PatientFollowUp-ConceptMap-1'!$I$15:$N$124,Q94+1,R94)</f>
        <v>0</v>
      </c>
    </row>
    <row r="95" spans="2:19">
      <c r="B95" s="11"/>
      <c r="C95" s="11"/>
      <c r="D95" s="12"/>
      <c r="E95" s="12"/>
      <c r="F95" s="64"/>
      <c r="G95" s="123"/>
      <c r="P95" s="11">
        <v>81</v>
      </c>
      <c r="Q95" s="11">
        <f t="shared" si="15"/>
        <v>13</v>
      </c>
      <c r="R95" s="11">
        <f t="shared" si="16"/>
        <v>3</v>
      </c>
      <c r="S95" s="12" cm="1">
        <f t="array" ref="S95">INDEX('PatientFollowUp-ConceptMap-1'!$I$15:$N$124,Q95+1,R95)</f>
        <v>0</v>
      </c>
    </row>
    <row r="96" spans="2:19">
      <c r="B96" s="11"/>
      <c r="C96" s="11"/>
      <c r="D96" s="12"/>
      <c r="E96" s="12"/>
      <c r="F96" s="64"/>
      <c r="G96" s="123"/>
      <c r="P96" s="11">
        <v>82</v>
      </c>
      <c r="Q96" s="11">
        <f t="shared" si="15"/>
        <v>13</v>
      </c>
      <c r="R96" s="11">
        <f t="shared" si="16"/>
        <v>4</v>
      </c>
      <c r="S96" s="12" cm="1">
        <f t="array" ref="S96">INDEX('PatientFollowUp-ConceptMap-1'!$I$15:$N$124,Q96+1,R96)</f>
        <v>0</v>
      </c>
    </row>
    <row r="97" spans="2:19">
      <c r="B97" s="11"/>
      <c r="C97" s="11"/>
      <c r="D97" s="12"/>
      <c r="E97" s="12"/>
      <c r="F97" s="64"/>
      <c r="G97" s="123"/>
      <c r="P97" s="11">
        <v>83</v>
      </c>
      <c r="Q97" s="11">
        <f t="shared" si="15"/>
        <v>13</v>
      </c>
      <c r="R97" s="11">
        <f t="shared" si="16"/>
        <v>5</v>
      </c>
      <c r="S97" s="12" cm="1">
        <f t="array" ref="S97">INDEX('PatientFollowUp-ConceptMap-1'!$I$15:$N$124,Q97+1,R97)</f>
        <v>0</v>
      </c>
    </row>
    <row r="98" spans="2:19">
      <c r="B98" s="11"/>
      <c r="C98" s="11"/>
      <c r="D98" s="12"/>
      <c r="E98" s="12"/>
      <c r="F98" s="64"/>
      <c r="G98" s="123"/>
      <c r="P98" s="11">
        <v>84</v>
      </c>
      <c r="Q98" s="11">
        <f t="shared" si="15"/>
        <v>13</v>
      </c>
      <c r="R98" s="11">
        <f t="shared" si="16"/>
        <v>6</v>
      </c>
      <c r="S98" s="12" cm="1">
        <f t="array" ref="S98">INDEX('PatientFollowUp-ConceptMap-1'!$I$15:$N$124,Q98+1,R98)</f>
        <v>0</v>
      </c>
    </row>
    <row r="99" spans="2:19">
      <c r="B99" s="11"/>
      <c r="C99" s="11"/>
      <c r="D99" s="12"/>
      <c r="E99" s="12"/>
      <c r="F99" s="64"/>
      <c r="G99" s="123"/>
      <c r="P99" s="11">
        <v>85</v>
      </c>
      <c r="Q99" s="11">
        <f t="shared" si="15"/>
        <v>14</v>
      </c>
      <c r="R99" s="11">
        <f t="shared" si="16"/>
        <v>1</v>
      </c>
      <c r="S99" s="12" cm="1">
        <f t="array" ref="S99">INDEX('PatientFollowUp-ConceptMap-1'!$I$15:$N$124,Q99+1,R99)</f>
        <v>0</v>
      </c>
    </row>
    <row r="100" spans="2:19">
      <c r="B100" s="11"/>
      <c r="C100" s="11"/>
      <c r="D100" s="12"/>
      <c r="E100" s="12"/>
      <c r="F100" s="64"/>
      <c r="G100" s="123"/>
      <c r="P100" s="11">
        <v>86</v>
      </c>
      <c r="Q100" s="11">
        <f t="shared" si="15"/>
        <v>14</v>
      </c>
      <c r="R100" s="11">
        <f t="shared" si="16"/>
        <v>2</v>
      </c>
      <c r="S100" s="12" cm="1">
        <f t="array" ref="S100">INDEX('PatientFollowUp-ConceptMap-1'!$I$15:$N$124,Q100+1,R100)</f>
        <v>0</v>
      </c>
    </row>
    <row r="101" spans="2:19">
      <c r="B101" s="11"/>
      <c r="C101" s="11"/>
      <c r="D101" s="12"/>
      <c r="E101" s="12"/>
      <c r="F101" s="64"/>
      <c r="G101" s="123"/>
      <c r="P101" s="11">
        <v>87</v>
      </c>
      <c r="Q101" s="11">
        <f t="shared" si="15"/>
        <v>14</v>
      </c>
      <c r="R101" s="11">
        <f t="shared" si="16"/>
        <v>3</v>
      </c>
      <c r="S101" s="12" cm="1">
        <f t="array" ref="S101">INDEX('PatientFollowUp-ConceptMap-1'!$I$15:$N$124,Q101+1,R101)</f>
        <v>0</v>
      </c>
    </row>
    <row r="102" spans="2:19">
      <c r="B102" s="11"/>
      <c r="C102" s="11"/>
      <c r="D102" s="12"/>
      <c r="E102" s="12"/>
      <c r="F102" s="64"/>
      <c r="G102" s="123"/>
      <c r="P102" s="11">
        <v>88</v>
      </c>
      <c r="Q102" s="11">
        <f t="shared" si="15"/>
        <v>14</v>
      </c>
      <c r="R102" s="11">
        <f t="shared" si="16"/>
        <v>4</v>
      </c>
      <c r="S102" s="12" cm="1">
        <f t="array" ref="S102">INDEX('PatientFollowUp-ConceptMap-1'!$I$15:$N$124,Q102+1,R102)</f>
        <v>0</v>
      </c>
    </row>
    <row r="103" spans="2:19">
      <c r="B103" s="11"/>
      <c r="C103" s="11"/>
      <c r="D103" s="12"/>
      <c r="E103" s="12"/>
      <c r="F103" s="64"/>
      <c r="G103" s="123"/>
      <c r="P103" s="11">
        <v>89</v>
      </c>
      <c r="Q103" s="11">
        <f t="shared" si="15"/>
        <v>14</v>
      </c>
      <c r="R103" s="11">
        <f t="shared" si="16"/>
        <v>5</v>
      </c>
      <c r="S103" s="12" cm="1">
        <f t="array" ref="S103">INDEX('PatientFollowUp-ConceptMap-1'!$I$15:$N$124,Q103+1,R103)</f>
        <v>0</v>
      </c>
    </row>
    <row r="104" spans="2:19">
      <c r="B104" s="11"/>
      <c r="C104" s="11"/>
      <c r="D104" s="12"/>
      <c r="E104" s="12"/>
      <c r="F104" s="64"/>
      <c r="G104" s="123"/>
      <c r="P104" s="11">
        <v>90</v>
      </c>
      <c r="Q104" s="11">
        <f t="shared" si="15"/>
        <v>14</v>
      </c>
      <c r="R104" s="11">
        <f t="shared" si="16"/>
        <v>6</v>
      </c>
      <c r="S104" s="12" cm="1">
        <f t="array" ref="S104">INDEX('PatientFollowUp-ConceptMap-1'!$I$15:$N$124,Q104+1,R104)</f>
        <v>0</v>
      </c>
    </row>
    <row r="105" spans="2:19">
      <c r="B105" s="11"/>
      <c r="C105" s="11"/>
      <c r="D105" s="12"/>
      <c r="E105" s="12"/>
      <c r="F105" s="64"/>
      <c r="G105" s="123"/>
      <c r="P105" s="11">
        <v>91</v>
      </c>
      <c r="Q105" s="11">
        <f t="shared" si="15"/>
        <v>15</v>
      </c>
      <c r="R105" s="11">
        <f t="shared" si="16"/>
        <v>1</v>
      </c>
      <c r="S105" s="12" cm="1">
        <f t="array" ref="S105">INDEX('PatientFollowUp-ConceptMap-1'!$I$15:$N$124,Q105+1,R105)</f>
        <v>0</v>
      </c>
    </row>
    <row r="106" spans="2:19">
      <c r="B106" s="11"/>
      <c r="C106" s="11"/>
      <c r="D106" s="12"/>
      <c r="E106" s="12"/>
      <c r="F106" s="64"/>
      <c r="G106" s="123"/>
      <c r="P106" s="11">
        <v>92</v>
      </c>
      <c r="Q106" s="11">
        <f t="shared" si="15"/>
        <v>15</v>
      </c>
      <c r="R106" s="11">
        <f t="shared" si="16"/>
        <v>2</v>
      </c>
      <c r="S106" s="12" cm="1">
        <f t="array" ref="S106">INDEX('PatientFollowUp-ConceptMap-1'!$I$15:$N$124,Q106+1,R106)</f>
        <v>0</v>
      </c>
    </row>
    <row r="107" spans="2:19">
      <c r="B107" s="11"/>
      <c r="C107" s="11"/>
      <c r="D107" s="12"/>
      <c r="E107" s="12"/>
      <c r="F107" s="64"/>
      <c r="G107" s="123"/>
      <c r="P107" s="11">
        <v>93</v>
      </c>
      <c r="Q107" s="11">
        <f t="shared" si="15"/>
        <v>15</v>
      </c>
      <c r="R107" s="11">
        <f t="shared" si="16"/>
        <v>3</v>
      </c>
      <c r="S107" s="12" cm="1">
        <f t="array" ref="S107">INDEX('PatientFollowUp-ConceptMap-1'!$I$15:$N$124,Q107+1,R107)</f>
        <v>0</v>
      </c>
    </row>
    <row r="108" spans="2:19">
      <c r="B108" s="11"/>
      <c r="C108" s="11"/>
      <c r="D108" s="12"/>
      <c r="E108" s="12"/>
      <c r="F108" s="64"/>
      <c r="G108" s="123"/>
      <c r="P108" s="11">
        <v>94</v>
      </c>
      <c r="Q108" s="11">
        <f t="shared" si="15"/>
        <v>15</v>
      </c>
      <c r="R108" s="11">
        <f t="shared" si="16"/>
        <v>4</v>
      </c>
      <c r="S108" s="12" cm="1">
        <f t="array" ref="S108">INDEX('PatientFollowUp-ConceptMap-1'!$I$15:$N$124,Q108+1,R108)</f>
        <v>0</v>
      </c>
    </row>
    <row r="109" spans="2:19">
      <c r="B109" s="11"/>
      <c r="C109" s="11"/>
      <c r="D109" s="12"/>
      <c r="E109" s="12"/>
      <c r="F109" s="64"/>
      <c r="G109" s="123"/>
      <c r="P109" s="11">
        <v>95</v>
      </c>
      <c r="Q109" s="11">
        <f t="shared" si="15"/>
        <v>15</v>
      </c>
      <c r="R109" s="11">
        <f t="shared" si="16"/>
        <v>5</v>
      </c>
      <c r="S109" s="12" cm="1">
        <f t="array" ref="S109">INDEX('PatientFollowUp-ConceptMap-1'!$I$15:$N$124,Q109+1,R109)</f>
        <v>0</v>
      </c>
    </row>
    <row r="110" spans="2:19">
      <c r="B110" s="11"/>
      <c r="C110" s="11"/>
      <c r="D110" s="12"/>
      <c r="E110" s="12"/>
      <c r="F110" s="64"/>
      <c r="G110" s="123"/>
      <c r="P110" s="11">
        <v>96</v>
      </c>
      <c r="Q110" s="11">
        <f t="shared" si="15"/>
        <v>15</v>
      </c>
      <c r="R110" s="11">
        <f t="shared" si="16"/>
        <v>6</v>
      </c>
      <c r="S110" s="12" cm="1">
        <f t="array" ref="S110">INDEX('PatientFollowUp-ConceptMap-1'!$I$15:$N$124,Q110+1,R110)</f>
        <v>0</v>
      </c>
    </row>
    <row r="111" spans="2:19">
      <c r="B111" s="11"/>
      <c r="C111" s="11"/>
      <c r="D111" s="12"/>
      <c r="E111" s="12"/>
      <c r="F111" s="64"/>
      <c r="G111" s="123"/>
      <c r="P111" s="11">
        <v>97</v>
      </c>
      <c r="Q111" s="11">
        <f t="shared" si="15"/>
        <v>16</v>
      </c>
      <c r="R111" s="11">
        <f t="shared" si="16"/>
        <v>1</v>
      </c>
      <c r="S111" s="12" cm="1">
        <f t="array" ref="S111">INDEX('PatientFollowUp-ConceptMap-1'!$I$15:$N$124,Q111+1,R111)</f>
        <v>0</v>
      </c>
    </row>
    <row r="112" spans="2:19">
      <c r="B112" s="11"/>
      <c r="C112" s="11"/>
      <c r="D112" s="12"/>
      <c r="E112" s="12"/>
      <c r="F112" s="64"/>
      <c r="G112" s="123"/>
      <c r="P112" s="11">
        <v>98</v>
      </c>
      <c r="Q112" s="11">
        <f t="shared" si="15"/>
        <v>16</v>
      </c>
      <c r="R112" s="11">
        <f t="shared" si="16"/>
        <v>2</v>
      </c>
      <c r="S112" s="12" cm="1">
        <f t="array" ref="S112">INDEX('PatientFollowUp-ConceptMap-1'!$I$15:$N$124,Q112+1,R112)</f>
        <v>0</v>
      </c>
    </row>
    <row r="113" spans="2:19">
      <c r="B113" s="11"/>
      <c r="C113" s="11"/>
      <c r="D113" s="12"/>
      <c r="E113" s="12"/>
      <c r="F113" s="64"/>
      <c r="G113" s="123"/>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2366</v>
      </c>
      <c r="D3" s="62" t="s">
        <v>1769</v>
      </c>
      <c r="E3" s="117" t="str">
        <f>$C$1&amp;B14</f>
        <v>http://hl7.eu/fhir/ig/idea4rc/StructureDefinition/PatientFollowUpI4rc</v>
      </c>
    </row>
    <row r="4" spans="1:19">
      <c r="B4" s="62" t="s">
        <v>16</v>
      </c>
      <c r="C4" s="28" t="s">
        <v>2366</v>
      </c>
      <c r="D4" s="62" t="s">
        <v>1770</v>
      </c>
      <c r="E4" s="184" t="s">
        <v>2365</v>
      </c>
      <c r="F4" s="185"/>
      <c r="G4" s="185"/>
    </row>
    <row r="5" spans="1:19">
      <c r="B5" s="62" t="s">
        <v>10</v>
      </c>
      <c r="C5" s="7" t="s">
        <v>2367</v>
      </c>
      <c r="D5" s="62"/>
      <c r="E5" s="7"/>
    </row>
    <row r="6" spans="1:19">
      <c r="B6" s="62" t="s">
        <v>18</v>
      </c>
      <c r="C6" s="56"/>
      <c r="D6" s="62" t="s">
        <v>1771</v>
      </c>
      <c r="E6" s="184" t="str">
        <f>E3</f>
        <v>http://hl7.eu/fhir/ig/idea4rc/StructureDefinition/PatientFollowUpI4rc</v>
      </c>
      <c r="F6" s="185"/>
      <c r="G6" s="185"/>
    </row>
    <row r="7" spans="1:19">
      <c r="B7" s="62" t="s">
        <v>15</v>
      </c>
      <c r="C7" s="118"/>
      <c r="D7" s="62" t="s">
        <v>1772</v>
      </c>
      <c r="E7" s="184" t="str">
        <f>C1&amp;"Condition-primaryCancer-eu-i4rc"</f>
        <v>http://hl7.eu/fhir/ig/idea4rc/StructureDefinition/Condition-primaryCancer-eu-i4rc</v>
      </c>
      <c r="F7" s="185"/>
      <c r="G7" s="185"/>
    </row>
    <row r="8" spans="1:19" ht="45" thickBot="1">
      <c r="B8" s="62" t="s">
        <v>1773</v>
      </c>
      <c r="C8" s="7" t="s">
        <v>2367</v>
      </c>
      <c r="D8" s="62"/>
      <c r="E8" s="7"/>
      <c r="I8" s="12" t="s">
        <v>1402</v>
      </c>
      <c r="J8" s="12" t="s">
        <v>1403</v>
      </c>
      <c r="K8" s="12" t="s">
        <v>1404</v>
      </c>
      <c r="L8" s="12" t="s">
        <v>1405</v>
      </c>
      <c r="M8" s="11" t="s">
        <v>1406</v>
      </c>
      <c r="P8" s="49" t="s">
        <v>1441</v>
      </c>
      <c r="Q8" s="49">
        <v>6</v>
      </c>
    </row>
    <row r="9" spans="1:19" ht="30.25" thickBot="1">
      <c r="B9" s="62" t="s">
        <v>1774</v>
      </c>
      <c r="C9" s="12" t="s">
        <v>2368</v>
      </c>
      <c r="D9" s="143"/>
      <c r="E9" s="186"/>
      <c r="F9" s="187"/>
      <c r="G9" s="188"/>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2369</v>
      </c>
      <c r="E14" s="6"/>
      <c r="F14" s="64"/>
      <c r="G14" s="64"/>
      <c r="I14" s="12"/>
      <c r="J14" s="11"/>
      <c r="K14" s="11"/>
      <c r="L14" s="11"/>
      <c r="M14" s="63"/>
      <c r="N14" s="66"/>
    </row>
    <row r="15" spans="1:19" ht="44.25">
      <c r="A15" s="59"/>
      <c r="B15" s="11" t="str">
        <f>PatientFollowUp!B8</f>
        <v>patient</v>
      </c>
      <c r="C15" s="11" t="str">
        <f>PatientFollowUp!C8</f>
        <v>Patient</v>
      </c>
      <c r="D15" s="12" t="s">
        <v>1783</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2" t="s">
        <v>2370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3"/>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1970</v>
      </c>
      <c r="E18" s="12"/>
      <c r="F18" s="64" t="s">
        <v>1407</v>
      </c>
      <c r="G18" s="123" t="s">
        <v>2373</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2374</v>
      </c>
      <c r="E19" s="12"/>
      <c r="F19" s="64" t="s">
        <v>1407</v>
      </c>
      <c r="G19" s="122" t="s">
        <v>1775</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1977</v>
      </c>
      <c r="E20" s="12"/>
      <c r="F20" s="64" t="s">
        <v>1407</v>
      </c>
      <c r="G20" s="122" t="s">
        <v>1775</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3"/>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3"/>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3"/>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3"/>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3"/>
      <c r="P51" s="11">
        <v>37</v>
      </c>
      <c r="Q51" s="11">
        <f t="shared" si="13"/>
        <v>6</v>
      </c>
      <c r="R51" s="11">
        <f t="shared" si="14"/>
        <v>1</v>
      </c>
      <c r="S51" s="12" cm="1">
        <f t="array" ref="S51">INDEX('PatientFollowUp-ConceptMap-2'!$I$15:$N$124,Q51+1,R51)</f>
        <v>0</v>
      </c>
    </row>
    <row r="52" spans="2:19">
      <c r="B52" s="11"/>
      <c r="C52" s="11"/>
      <c r="D52" s="12"/>
      <c r="E52" s="12"/>
      <c r="F52" s="64"/>
      <c r="G52" s="123"/>
      <c r="P52" s="11">
        <v>38</v>
      </c>
      <c r="Q52" s="11">
        <f t="shared" si="13"/>
        <v>6</v>
      </c>
      <c r="R52" s="11">
        <f t="shared" si="14"/>
        <v>2</v>
      </c>
      <c r="S52" s="12" cm="1">
        <f t="array" ref="S52">INDEX('PatientFollowUp-ConceptMap-2'!$I$15:$N$124,Q52+1,R52)</f>
        <v>0</v>
      </c>
    </row>
    <row r="53" spans="2:19">
      <c r="B53" s="11"/>
      <c r="C53" s="11"/>
      <c r="D53" s="12"/>
      <c r="E53" s="12"/>
      <c r="F53" s="64"/>
      <c r="G53" s="123"/>
      <c r="P53" s="11">
        <v>39</v>
      </c>
      <c r="Q53" s="11">
        <f t="shared" si="13"/>
        <v>6</v>
      </c>
      <c r="R53" s="11">
        <f t="shared" si="14"/>
        <v>3</v>
      </c>
      <c r="S53" s="12" cm="1">
        <f t="array" ref="S53">INDEX('PatientFollowUp-ConceptMap-2'!$I$15:$N$124,Q53+1,R53)</f>
        <v>0</v>
      </c>
    </row>
    <row r="54" spans="2:19">
      <c r="B54" s="11"/>
      <c r="C54" s="11"/>
      <c r="D54" s="12"/>
      <c r="E54" s="12"/>
      <c r="F54" s="64"/>
      <c r="G54" s="123"/>
      <c r="P54" s="11">
        <v>40</v>
      </c>
      <c r="Q54" s="11">
        <f t="shared" si="13"/>
        <v>6</v>
      </c>
      <c r="R54" s="11">
        <f t="shared" si="14"/>
        <v>4</v>
      </c>
      <c r="S54" s="12" cm="1">
        <f t="array" ref="S54">INDEX('PatientFollowUp-ConceptMap-2'!$I$15:$N$124,Q54+1,R54)</f>
        <v>0</v>
      </c>
    </row>
    <row r="55" spans="2:19">
      <c r="B55" s="11"/>
      <c r="C55" s="11"/>
      <c r="D55" s="12"/>
      <c r="E55" s="12"/>
      <c r="F55" s="64"/>
      <c r="G55" s="123"/>
      <c r="P55" s="11">
        <v>41</v>
      </c>
      <c r="Q55" s="11">
        <f t="shared" si="13"/>
        <v>6</v>
      </c>
      <c r="R55" s="11">
        <f t="shared" si="14"/>
        <v>5</v>
      </c>
      <c r="S55" s="12" cm="1">
        <f t="array" ref="S55">INDEX('PatientFollowUp-ConceptMap-2'!$I$15:$N$124,Q55+1,R55)</f>
        <v>0</v>
      </c>
    </row>
    <row r="56" spans="2:19">
      <c r="B56" s="11"/>
      <c r="C56" s="11"/>
      <c r="D56" s="12"/>
      <c r="E56" s="12"/>
      <c r="F56" s="64"/>
      <c r="G56" s="123"/>
      <c r="P56" s="11">
        <v>42</v>
      </c>
      <c r="Q56" s="11">
        <f t="shared" si="13"/>
        <v>6</v>
      </c>
      <c r="R56" s="11">
        <f t="shared" si="14"/>
        <v>6</v>
      </c>
      <c r="S56" s="12" cm="1">
        <f t="array" ref="S56">INDEX('PatientFollowUp-ConceptMap-2'!$I$15:$N$124,Q56+1,R56)</f>
        <v>0</v>
      </c>
    </row>
    <row r="57" spans="2:19">
      <c r="B57" s="11"/>
      <c r="C57" s="11"/>
      <c r="D57" s="12"/>
      <c r="E57" s="12"/>
      <c r="F57" s="64"/>
      <c r="G57" s="123"/>
      <c r="P57" s="11">
        <v>43</v>
      </c>
      <c r="Q57" s="11">
        <f t="shared" si="13"/>
        <v>7</v>
      </c>
      <c r="R57" s="11">
        <f t="shared" si="14"/>
        <v>1</v>
      </c>
      <c r="S57" s="12" cm="1">
        <f t="array" ref="S57">INDEX('PatientFollowUp-ConceptMap-2'!$I$15:$N$124,Q57+1,R57)</f>
        <v>0</v>
      </c>
    </row>
    <row r="58" spans="2:19">
      <c r="B58" s="11"/>
      <c r="C58" s="11"/>
      <c r="D58" s="12"/>
      <c r="E58" s="12"/>
      <c r="F58" s="64"/>
      <c r="G58" s="123"/>
      <c r="P58" s="11">
        <v>44</v>
      </c>
      <c r="Q58" s="11">
        <f t="shared" si="13"/>
        <v>7</v>
      </c>
      <c r="R58" s="11">
        <f t="shared" si="14"/>
        <v>2</v>
      </c>
      <c r="S58" s="12" cm="1">
        <f t="array" ref="S58">INDEX('PatientFollowUp-ConceptMap-2'!$I$15:$N$124,Q58+1,R58)</f>
        <v>0</v>
      </c>
    </row>
    <row r="59" spans="2:19">
      <c r="B59" s="11"/>
      <c r="C59" s="11"/>
      <c r="D59" s="12"/>
      <c r="E59" s="12"/>
      <c r="F59" s="64"/>
      <c r="G59" s="123"/>
      <c r="P59" s="11">
        <v>45</v>
      </c>
      <c r="Q59" s="11">
        <f t="shared" si="13"/>
        <v>7</v>
      </c>
      <c r="R59" s="11">
        <f t="shared" si="14"/>
        <v>3</v>
      </c>
      <c r="S59" s="12" cm="1">
        <f t="array" ref="S59">INDEX('PatientFollowUp-ConceptMap-2'!$I$15:$N$124,Q59+1,R59)</f>
        <v>0</v>
      </c>
    </row>
    <row r="60" spans="2:19">
      <c r="B60" s="11"/>
      <c r="C60" s="11"/>
      <c r="D60" s="12"/>
      <c r="E60" s="12"/>
      <c r="F60" s="64"/>
      <c r="G60" s="123"/>
      <c r="P60" s="11">
        <v>46</v>
      </c>
      <c r="Q60" s="11">
        <f t="shared" si="13"/>
        <v>7</v>
      </c>
      <c r="R60" s="11">
        <f t="shared" si="14"/>
        <v>4</v>
      </c>
      <c r="S60" s="12" cm="1">
        <f t="array" ref="S60">INDEX('PatientFollowUp-ConceptMap-2'!$I$15:$N$124,Q60+1,R60)</f>
        <v>0</v>
      </c>
    </row>
    <row r="61" spans="2:19">
      <c r="B61" s="11"/>
      <c r="C61" s="11"/>
      <c r="D61" s="12"/>
      <c r="E61" s="12"/>
      <c r="F61" s="64"/>
      <c r="G61" s="123"/>
      <c r="P61" s="11">
        <v>47</v>
      </c>
      <c r="Q61" s="11">
        <f t="shared" si="13"/>
        <v>7</v>
      </c>
      <c r="R61" s="11">
        <f t="shared" si="14"/>
        <v>5</v>
      </c>
      <c r="S61" s="12" cm="1">
        <f t="array" ref="S61">INDEX('PatientFollowUp-ConceptMap-2'!$I$15:$N$124,Q61+1,R61)</f>
        <v>0</v>
      </c>
    </row>
    <row r="62" spans="2:19">
      <c r="B62" s="11"/>
      <c r="C62" s="11"/>
      <c r="D62" s="12"/>
      <c r="E62" s="12"/>
      <c r="F62" s="64"/>
      <c r="G62" s="123"/>
      <c r="P62" s="11">
        <v>48</v>
      </c>
      <c r="Q62" s="11">
        <f t="shared" si="13"/>
        <v>7</v>
      </c>
      <c r="R62" s="11">
        <f t="shared" si="14"/>
        <v>6</v>
      </c>
      <c r="S62" s="12" cm="1">
        <f t="array" ref="S62">INDEX('PatientFollowUp-ConceptMap-2'!$I$15:$N$124,Q62+1,R62)</f>
        <v>0</v>
      </c>
    </row>
    <row r="63" spans="2:19">
      <c r="B63" s="11"/>
      <c r="C63" s="11"/>
      <c r="D63" s="12"/>
      <c r="E63" s="12"/>
      <c r="F63" s="64"/>
      <c r="G63" s="123"/>
      <c r="P63" s="11">
        <v>49</v>
      </c>
      <c r="Q63" s="11">
        <f t="shared" si="13"/>
        <v>8</v>
      </c>
      <c r="R63" s="11">
        <f t="shared" si="14"/>
        <v>1</v>
      </c>
      <c r="S63" s="12" cm="1">
        <f t="array" ref="S63">INDEX('PatientFollowUp-ConceptMap-2'!$I$15:$N$124,Q63+1,R63)</f>
        <v>0</v>
      </c>
    </row>
    <row r="64" spans="2:19">
      <c r="B64" s="11"/>
      <c r="C64" s="11"/>
      <c r="D64" s="12"/>
      <c r="E64" s="12"/>
      <c r="F64" s="64"/>
      <c r="G64" s="123"/>
      <c r="P64" s="11">
        <v>50</v>
      </c>
      <c r="Q64" s="11">
        <f t="shared" si="13"/>
        <v>8</v>
      </c>
      <c r="R64" s="11">
        <f t="shared" si="14"/>
        <v>2</v>
      </c>
      <c r="S64" s="12" cm="1">
        <f t="array" ref="S64">INDEX('PatientFollowUp-ConceptMap-2'!$I$15:$N$124,Q64+1,R64)</f>
        <v>0</v>
      </c>
    </row>
    <row r="65" spans="2:19">
      <c r="B65" s="11"/>
      <c r="C65" s="11"/>
      <c r="D65" s="12"/>
      <c r="E65" s="12"/>
      <c r="F65" s="64"/>
      <c r="G65" s="123"/>
      <c r="P65" s="11">
        <v>51</v>
      </c>
      <c r="Q65" s="11">
        <f t="shared" si="13"/>
        <v>8</v>
      </c>
      <c r="R65" s="11">
        <f t="shared" si="14"/>
        <v>3</v>
      </c>
      <c r="S65" s="12" cm="1">
        <f t="array" ref="S65">INDEX('PatientFollowUp-ConceptMap-2'!$I$15:$N$124,Q65+1,R65)</f>
        <v>0</v>
      </c>
    </row>
    <row r="66" spans="2:19">
      <c r="B66" s="11"/>
      <c r="C66" s="11"/>
      <c r="D66" s="12"/>
      <c r="E66" s="12"/>
      <c r="F66" s="64"/>
      <c r="G66" s="123"/>
      <c r="P66" s="11">
        <v>52</v>
      </c>
      <c r="Q66" s="11">
        <f t="shared" si="13"/>
        <v>8</v>
      </c>
      <c r="R66" s="11">
        <f t="shared" si="14"/>
        <v>4</v>
      </c>
      <c r="S66" s="12" cm="1">
        <f t="array" ref="S66">INDEX('PatientFollowUp-ConceptMap-2'!$I$15:$N$124,Q66+1,R66)</f>
        <v>0</v>
      </c>
    </row>
    <row r="67" spans="2:19">
      <c r="B67" s="11"/>
      <c r="C67" s="11"/>
      <c r="D67" s="12"/>
      <c r="E67" s="12"/>
      <c r="F67" s="64"/>
      <c r="G67" s="123"/>
      <c r="P67" s="11">
        <v>53</v>
      </c>
      <c r="Q67" s="11">
        <f t="shared" si="13"/>
        <v>8</v>
      </c>
      <c r="R67" s="11">
        <f t="shared" si="14"/>
        <v>5</v>
      </c>
      <c r="S67" s="12" cm="1">
        <f t="array" ref="S67">INDEX('PatientFollowUp-ConceptMap-2'!$I$15:$N$124,Q67+1,R67)</f>
        <v>0</v>
      </c>
    </row>
    <row r="68" spans="2:19">
      <c r="B68" s="11"/>
      <c r="C68" s="11"/>
      <c r="D68" s="12"/>
      <c r="E68" s="12"/>
      <c r="F68" s="64"/>
      <c r="G68" s="123"/>
      <c r="P68" s="11">
        <v>54</v>
      </c>
      <c r="Q68" s="11">
        <f t="shared" si="13"/>
        <v>8</v>
      </c>
      <c r="R68" s="11">
        <f t="shared" si="14"/>
        <v>6</v>
      </c>
      <c r="S68" s="12" cm="1">
        <f t="array" ref="S68">INDEX('PatientFollowUp-ConceptMap-2'!$I$15:$N$124,Q68+1,R68)</f>
        <v>0</v>
      </c>
    </row>
    <row r="69" spans="2:19">
      <c r="B69" s="11"/>
      <c r="C69" s="11"/>
      <c r="D69" s="12"/>
      <c r="E69" s="12"/>
      <c r="F69" s="64"/>
      <c r="G69" s="123"/>
      <c r="P69" s="11">
        <v>55</v>
      </c>
      <c r="Q69" s="11">
        <f t="shared" si="13"/>
        <v>9</v>
      </c>
      <c r="R69" s="11">
        <f t="shared" si="14"/>
        <v>1</v>
      </c>
      <c r="S69" s="12" cm="1">
        <f t="array" ref="S69">INDEX('PatientFollowUp-ConceptMap-2'!$I$15:$N$124,Q69+1,R69)</f>
        <v>0</v>
      </c>
    </row>
    <row r="70" spans="2:19">
      <c r="B70" s="11"/>
      <c r="C70" s="11"/>
      <c r="D70" s="12"/>
      <c r="E70" s="12"/>
      <c r="F70" s="64"/>
      <c r="G70" s="123"/>
      <c r="P70" s="11">
        <v>56</v>
      </c>
      <c r="Q70" s="11">
        <f t="shared" si="13"/>
        <v>9</v>
      </c>
      <c r="R70" s="11">
        <f t="shared" si="14"/>
        <v>2</v>
      </c>
      <c r="S70" s="12" cm="1">
        <f t="array" ref="S70">INDEX('PatientFollowUp-ConceptMap-2'!$I$15:$N$124,Q70+1,R70)</f>
        <v>0</v>
      </c>
    </row>
    <row r="71" spans="2:19">
      <c r="B71" s="11"/>
      <c r="C71" s="11"/>
      <c r="D71" s="12"/>
      <c r="E71" s="12"/>
      <c r="F71" s="64"/>
      <c r="G71" s="123"/>
      <c r="P71" s="11">
        <v>57</v>
      </c>
      <c r="Q71" s="11">
        <f t="shared" si="13"/>
        <v>9</v>
      </c>
      <c r="R71" s="11">
        <f t="shared" si="14"/>
        <v>3</v>
      </c>
      <c r="S71" s="12" cm="1">
        <f t="array" ref="S71">INDEX('PatientFollowUp-ConceptMap-2'!$I$15:$N$124,Q71+1,R71)</f>
        <v>0</v>
      </c>
    </row>
    <row r="72" spans="2:19">
      <c r="B72" s="11"/>
      <c r="C72" s="11"/>
      <c r="D72" s="12"/>
      <c r="E72" s="12"/>
      <c r="F72" s="64"/>
      <c r="G72" s="123"/>
      <c r="P72" s="11">
        <v>58</v>
      </c>
      <c r="Q72" s="11">
        <f t="shared" si="13"/>
        <v>9</v>
      </c>
      <c r="R72" s="11">
        <f t="shared" si="14"/>
        <v>4</v>
      </c>
      <c r="S72" s="12" cm="1">
        <f t="array" ref="S72">INDEX('PatientFollowUp-ConceptMap-2'!$I$15:$N$124,Q72+1,R72)</f>
        <v>0</v>
      </c>
    </row>
    <row r="73" spans="2:19">
      <c r="B73" s="11"/>
      <c r="C73" s="11"/>
      <c r="D73" s="12"/>
      <c r="E73" s="12"/>
      <c r="F73" s="64"/>
      <c r="G73" s="123"/>
      <c r="P73" s="11">
        <v>59</v>
      </c>
      <c r="Q73" s="11">
        <f t="shared" si="13"/>
        <v>9</v>
      </c>
      <c r="R73" s="11">
        <f t="shared" si="14"/>
        <v>5</v>
      </c>
      <c r="S73" s="12" cm="1">
        <f t="array" ref="S73">INDEX('PatientFollowUp-ConceptMap-2'!$I$15:$N$124,Q73+1,R73)</f>
        <v>0</v>
      </c>
    </row>
    <row r="74" spans="2:19">
      <c r="B74" s="11"/>
      <c r="C74" s="11"/>
      <c r="D74" s="12"/>
      <c r="E74" s="12"/>
      <c r="F74" s="64"/>
      <c r="G74" s="123"/>
      <c r="P74" s="11">
        <v>60</v>
      </c>
      <c r="Q74" s="11">
        <f t="shared" si="13"/>
        <v>9</v>
      </c>
      <c r="R74" s="11">
        <f t="shared" si="14"/>
        <v>6</v>
      </c>
      <c r="S74" s="12" cm="1">
        <f t="array" ref="S74">INDEX('PatientFollowUp-ConceptMap-2'!$I$15:$N$124,Q74+1,R74)</f>
        <v>0</v>
      </c>
    </row>
    <row r="75" spans="2:19">
      <c r="B75" s="11"/>
      <c r="C75" s="11"/>
      <c r="D75" s="12"/>
      <c r="E75" s="12"/>
      <c r="F75" s="64"/>
      <c r="G75" s="123"/>
      <c r="P75" s="11">
        <v>61</v>
      </c>
      <c r="Q75" s="11">
        <f t="shared" si="13"/>
        <v>10</v>
      </c>
      <c r="R75" s="11">
        <f t="shared" si="14"/>
        <v>1</v>
      </c>
      <c r="S75" s="12" cm="1">
        <f t="array" ref="S75">INDEX('PatientFollowUp-ConceptMap-2'!$I$15:$N$124,Q75+1,R75)</f>
        <v>0</v>
      </c>
    </row>
    <row r="76" spans="2:19">
      <c r="B76" s="11"/>
      <c r="C76" s="11"/>
      <c r="D76" s="12"/>
      <c r="E76" s="12"/>
      <c r="F76" s="64"/>
      <c r="G76" s="123"/>
      <c r="P76" s="11">
        <v>62</v>
      </c>
      <c r="Q76" s="11">
        <f t="shared" si="13"/>
        <v>10</v>
      </c>
      <c r="R76" s="11">
        <f t="shared" si="14"/>
        <v>2</v>
      </c>
      <c r="S76" s="12" cm="1">
        <f t="array" ref="S76">INDEX('PatientFollowUp-ConceptMap-2'!$I$15:$N$124,Q76+1,R76)</f>
        <v>0</v>
      </c>
    </row>
    <row r="77" spans="2:19">
      <c r="B77" s="11"/>
      <c r="C77" s="11"/>
      <c r="D77" s="12"/>
      <c r="E77" s="12"/>
      <c r="F77" s="64"/>
      <c r="G77" s="123"/>
      <c r="P77" s="11">
        <v>63</v>
      </c>
      <c r="Q77" s="11">
        <f t="shared" si="13"/>
        <v>10</v>
      </c>
      <c r="R77" s="11">
        <f t="shared" si="14"/>
        <v>3</v>
      </c>
      <c r="S77" s="12" cm="1">
        <f t="array" ref="S77">INDEX('PatientFollowUp-ConceptMap-2'!$I$15:$N$124,Q77+1,R77)</f>
        <v>0</v>
      </c>
    </row>
    <row r="78" spans="2:19">
      <c r="B78" s="11"/>
      <c r="C78" s="11"/>
      <c r="D78" s="12"/>
      <c r="E78" s="12"/>
      <c r="F78" s="64"/>
      <c r="G78" s="123"/>
      <c r="P78" s="11">
        <v>64</v>
      </c>
      <c r="Q78" s="11">
        <f t="shared" si="13"/>
        <v>10</v>
      </c>
      <c r="R78" s="11">
        <f t="shared" si="14"/>
        <v>4</v>
      </c>
      <c r="S78" s="12" cm="1">
        <f t="array" ref="S78">INDEX('PatientFollowUp-ConceptMap-2'!$I$15:$N$124,Q78+1,R78)</f>
        <v>0</v>
      </c>
    </row>
    <row r="79" spans="2:19">
      <c r="B79" s="11"/>
      <c r="C79" s="11"/>
      <c r="D79" s="12"/>
      <c r="E79" s="12"/>
      <c r="F79" s="64"/>
      <c r="G79" s="123"/>
      <c r="P79" s="11">
        <v>65</v>
      </c>
      <c r="Q79" s="11">
        <f t="shared" si="13"/>
        <v>10</v>
      </c>
      <c r="R79" s="11">
        <f t="shared" si="14"/>
        <v>5</v>
      </c>
      <c r="S79" s="12" cm="1">
        <f t="array" ref="S79">INDEX('PatientFollowUp-ConceptMap-2'!$I$15:$N$124,Q79+1,R79)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3"/>
      <c r="P81" s="11">
        <v>67</v>
      </c>
      <c r="Q81" s="11">
        <f t="shared" si="15"/>
        <v>11</v>
      </c>
      <c r="R81" s="11">
        <f t="shared" si="16"/>
        <v>1</v>
      </c>
      <c r="S81" s="12" cm="1">
        <f t="array" ref="S81">INDEX('PatientFollowUp-ConceptMap-2'!$I$15:$N$124,Q81+1,R81)</f>
        <v>0</v>
      </c>
    </row>
    <row r="82" spans="2:19">
      <c r="B82" s="11"/>
      <c r="C82" s="11"/>
      <c r="D82" s="12"/>
      <c r="E82" s="12"/>
      <c r="F82" s="64"/>
      <c r="G82" s="123"/>
      <c r="P82" s="11">
        <v>68</v>
      </c>
      <c r="Q82" s="11">
        <f t="shared" si="15"/>
        <v>11</v>
      </c>
      <c r="R82" s="11">
        <f t="shared" si="16"/>
        <v>2</v>
      </c>
      <c r="S82" s="12" cm="1">
        <f t="array" ref="S82">INDEX('PatientFollowUp-ConceptMap-2'!$I$15:$N$124,Q82+1,R82)</f>
        <v>0</v>
      </c>
    </row>
    <row r="83" spans="2:19">
      <c r="B83" s="11"/>
      <c r="C83" s="11"/>
      <c r="D83" s="12"/>
      <c r="E83" s="12"/>
      <c r="F83" s="64"/>
      <c r="G83" s="123"/>
      <c r="P83" s="11">
        <v>69</v>
      </c>
      <c r="Q83" s="11">
        <f t="shared" si="15"/>
        <v>11</v>
      </c>
      <c r="R83" s="11">
        <f t="shared" si="16"/>
        <v>3</v>
      </c>
      <c r="S83" s="12" cm="1">
        <f t="array" ref="S83">INDEX('PatientFollowUp-ConceptMap-2'!$I$15:$N$124,Q83+1,R83)</f>
        <v>0</v>
      </c>
    </row>
    <row r="84" spans="2:19">
      <c r="B84" s="11"/>
      <c r="C84" s="11"/>
      <c r="D84" s="12"/>
      <c r="E84" s="12"/>
      <c r="F84" s="64"/>
      <c r="G84" s="123"/>
      <c r="P84" s="11">
        <v>70</v>
      </c>
      <c r="Q84" s="11">
        <f t="shared" si="15"/>
        <v>11</v>
      </c>
      <c r="R84" s="11">
        <f t="shared" si="16"/>
        <v>4</v>
      </c>
      <c r="S84" s="12" cm="1">
        <f t="array" ref="S84">INDEX('PatientFollowUp-ConceptMap-2'!$I$15:$N$124,Q84+1,R84)</f>
        <v>0</v>
      </c>
    </row>
    <row r="85" spans="2:19">
      <c r="B85" s="11"/>
      <c r="C85" s="11"/>
      <c r="D85" s="12"/>
      <c r="E85" s="12"/>
      <c r="F85" s="64"/>
      <c r="G85" s="123"/>
      <c r="P85" s="11">
        <v>71</v>
      </c>
      <c r="Q85" s="11">
        <f t="shared" si="15"/>
        <v>11</v>
      </c>
      <c r="R85" s="11">
        <f t="shared" si="16"/>
        <v>5</v>
      </c>
      <c r="S85" s="12" cm="1">
        <f t="array" ref="S85">INDEX('PatientFollowUp-ConceptMap-2'!$I$15:$N$124,Q85+1,R85)</f>
        <v>0</v>
      </c>
    </row>
    <row r="86" spans="2:19">
      <c r="B86" s="11"/>
      <c r="C86" s="11"/>
      <c r="D86" s="12"/>
      <c r="E86" s="12"/>
      <c r="F86" s="64"/>
      <c r="G86" s="123"/>
      <c r="P86" s="11">
        <v>72</v>
      </c>
      <c r="Q86" s="11">
        <f t="shared" si="15"/>
        <v>11</v>
      </c>
      <c r="R86" s="11">
        <f t="shared" si="16"/>
        <v>6</v>
      </c>
      <c r="S86" s="12" cm="1">
        <f t="array" ref="S86">INDEX('PatientFollowUp-ConceptMap-2'!$I$15:$N$124,Q86+1,R86)</f>
        <v>0</v>
      </c>
    </row>
    <row r="87" spans="2:19">
      <c r="B87" s="11"/>
      <c r="C87" s="11"/>
      <c r="D87" s="12"/>
      <c r="E87" s="12"/>
      <c r="F87" s="64"/>
      <c r="G87" s="123"/>
      <c r="P87" s="11">
        <v>73</v>
      </c>
      <c r="Q87" s="11">
        <f t="shared" si="15"/>
        <v>12</v>
      </c>
      <c r="R87" s="11">
        <f t="shared" si="16"/>
        <v>1</v>
      </c>
      <c r="S87" s="12" cm="1">
        <f t="array" ref="S87">INDEX('PatientFollowUp-ConceptMap-2'!$I$15:$N$124,Q87+1,R87)</f>
        <v>0</v>
      </c>
    </row>
    <row r="88" spans="2:19">
      <c r="B88" s="11"/>
      <c r="C88" s="11"/>
      <c r="D88" s="12"/>
      <c r="E88" s="12"/>
      <c r="F88" s="64"/>
      <c r="G88" s="123"/>
      <c r="P88" s="11">
        <v>74</v>
      </c>
      <c r="Q88" s="11">
        <f t="shared" si="15"/>
        <v>12</v>
      </c>
      <c r="R88" s="11">
        <f t="shared" si="16"/>
        <v>2</v>
      </c>
      <c r="S88" s="12" cm="1">
        <f t="array" ref="S88">INDEX('PatientFollowUp-ConceptMap-2'!$I$15:$N$124,Q88+1,R88)</f>
        <v>0</v>
      </c>
    </row>
    <row r="89" spans="2:19">
      <c r="B89" s="11"/>
      <c r="C89" s="11"/>
      <c r="D89" s="12"/>
      <c r="E89" s="12"/>
      <c r="F89" s="64"/>
      <c r="G89" s="123"/>
      <c r="P89" s="11">
        <v>75</v>
      </c>
      <c r="Q89" s="11">
        <f t="shared" si="15"/>
        <v>12</v>
      </c>
      <c r="R89" s="11">
        <f t="shared" si="16"/>
        <v>3</v>
      </c>
      <c r="S89" s="12" cm="1">
        <f t="array" ref="S89">INDEX('PatientFollowUp-ConceptMap-2'!$I$15:$N$124,Q89+1,R89)</f>
        <v>0</v>
      </c>
    </row>
    <row r="90" spans="2:19">
      <c r="B90" s="11"/>
      <c r="C90" s="11"/>
      <c r="D90" s="12"/>
      <c r="E90" s="12"/>
      <c r="F90" s="64"/>
      <c r="G90" s="123"/>
      <c r="P90" s="11">
        <v>76</v>
      </c>
      <c r="Q90" s="11">
        <f t="shared" si="15"/>
        <v>12</v>
      </c>
      <c r="R90" s="11">
        <f t="shared" si="16"/>
        <v>4</v>
      </c>
      <c r="S90" s="12" cm="1">
        <f t="array" ref="S90">INDEX('PatientFollowUp-ConceptMap-2'!$I$15:$N$124,Q90+1,R90)</f>
        <v>0</v>
      </c>
    </row>
    <row r="91" spans="2:19">
      <c r="B91" s="11"/>
      <c r="C91" s="11"/>
      <c r="D91" s="12"/>
      <c r="E91" s="12"/>
      <c r="F91" s="64"/>
      <c r="G91" s="123"/>
      <c r="P91" s="11">
        <v>77</v>
      </c>
      <c r="Q91" s="11">
        <f t="shared" si="15"/>
        <v>12</v>
      </c>
      <c r="R91" s="11">
        <f t="shared" si="16"/>
        <v>5</v>
      </c>
      <c r="S91" s="12" cm="1">
        <f t="array" ref="S91">INDEX('PatientFollowUp-ConceptMap-2'!$I$15:$N$124,Q91+1,R91)</f>
        <v>0</v>
      </c>
    </row>
    <row r="92" spans="2:19">
      <c r="B92" s="11"/>
      <c r="C92" s="11"/>
      <c r="D92" s="12"/>
      <c r="E92" s="12"/>
      <c r="F92" s="64"/>
      <c r="G92" s="123"/>
      <c r="P92" s="11">
        <v>78</v>
      </c>
      <c r="Q92" s="11">
        <f t="shared" si="15"/>
        <v>12</v>
      </c>
      <c r="R92" s="11">
        <f t="shared" si="16"/>
        <v>6</v>
      </c>
      <c r="S92" s="12" cm="1">
        <f t="array" ref="S92">INDEX('PatientFollowUp-ConceptMap-2'!$I$15:$N$124,Q92+1,R92)</f>
        <v>0</v>
      </c>
    </row>
    <row r="93" spans="2:19">
      <c r="B93" s="11"/>
      <c r="C93" s="11"/>
      <c r="D93" s="12"/>
      <c r="E93" s="12"/>
      <c r="F93" s="64"/>
      <c r="G93" s="123"/>
      <c r="P93" s="11">
        <v>79</v>
      </c>
      <c r="Q93" s="11">
        <f t="shared" si="15"/>
        <v>13</v>
      </c>
      <c r="R93" s="11">
        <f t="shared" si="16"/>
        <v>1</v>
      </c>
      <c r="S93" s="12" cm="1">
        <f t="array" ref="S93">INDEX('PatientFollowUp-ConceptMap-2'!$I$15:$N$124,Q93+1,R93)</f>
        <v>0</v>
      </c>
    </row>
    <row r="94" spans="2:19">
      <c r="B94" s="11"/>
      <c r="C94" s="11"/>
      <c r="D94" s="12"/>
      <c r="E94" s="12"/>
      <c r="F94" s="64"/>
      <c r="G94" s="123"/>
      <c r="P94" s="11">
        <v>80</v>
      </c>
      <c r="Q94" s="11">
        <f t="shared" si="15"/>
        <v>13</v>
      </c>
      <c r="R94" s="11">
        <f t="shared" si="16"/>
        <v>2</v>
      </c>
      <c r="S94" s="12" cm="1">
        <f t="array" ref="S94">INDEX('PatientFollowUp-ConceptMap-2'!$I$15:$N$124,Q94+1,R94)</f>
        <v>0</v>
      </c>
    </row>
    <row r="95" spans="2:19">
      <c r="B95" s="11"/>
      <c r="C95" s="11"/>
      <c r="D95" s="12"/>
      <c r="E95" s="12"/>
      <c r="F95" s="64"/>
      <c r="G95" s="123"/>
      <c r="P95" s="11">
        <v>81</v>
      </c>
      <c r="Q95" s="11">
        <f t="shared" si="15"/>
        <v>13</v>
      </c>
      <c r="R95" s="11">
        <f t="shared" si="16"/>
        <v>3</v>
      </c>
      <c r="S95" s="12" cm="1">
        <f t="array" ref="S95">INDEX('PatientFollowUp-ConceptMap-2'!$I$15:$N$124,Q95+1,R95)</f>
        <v>0</v>
      </c>
    </row>
    <row r="96" spans="2:19">
      <c r="B96" s="11"/>
      <c r="C96" s="11"/>
      <c r="D96" s="12"/>
      <c r="E96" s="12"/>
      <c r="F96" s="64"/>
      <c r="G96" s="123"/>
      <c r="P96" s="11">
        <v>82</v>
      </c>
      <c r="Q96" s="11">
        <f t="shared" si="15"/>
        <v>13</v>
      </c>
      <c r="R96" s="11">
        <f t="shared" si="16"/>
        <v>4</v>
      </c>
      <c r="S96" s="12" cm="1">
        <f t="array" ref="S96">INDEX('PatientFollowUp-ConceptMap-2'!$I$15:$N$124,Q96+1,R96)</f>
        <v>0</v>
      </c>
    </row>
    <row r="97" spans="2:19">
      <c r="B97" s="11"/>
      <c r="C97" s="11"/>
      <c r="D97" s="12"/>
      <c r="E97" s="12"/>
      <c r="F97" s="64"/>
      <c r="G97" s="123"/>
      <c r="P97" s="11">
        <v>83</v>
      </c>
      <c r="Q97" s="11">
        <f t="shared" si="15"/>
        <v>13</v>
      </c>
      <c r="R97" s="11">
        <f t="shared" si="16"/>
        <v>5</v>
      </c>
      <c r="S97" s="12" cm="1">
        <f t="array" ref="S97">INDEX('PatientFollowUp-ConceptMap-2'!$I$15:$N$124,Q97+1,R97)</f>
        <v>0</v>
      </c>
    </row>
    <row r="98" spans="2:19">
      <c r="B98" s="11"/>
      <c r="C98" s="11"/>
      <c r="D98" s="12"/>
      <c r="E98" s="12"/>
      <c r="F98" s="64"/>
      <c r="G98" s="123"/>
      <c r="P98" s="11">
        <v>84</v>
      </c>
      <c r="Q98" s="11">
        <f t="shared" si="15"/>
        <v>13</v>
      </c>
      <c r="R98" s="11">
        <f t="shared" si="16"/>
        <v>6</v>
      </c>
      <c r="S98" s="12" cm="1">
        <f t="array" ref="S98">INDEX('PatientFollowUp-ConceptMap-2'!$I$15:$N$124,Q98+1,R98)</f>
        <v>0</v>
      </c>
    </row>
    <row r="99" spans="2:19">
      <c r="B99" s="11"/>
      <c r="C99" s="11"/>
      <c r="D99" s="12"/>
      <c r="E99" s="12"/>
      <c r="F99" s="64"/>
      <c r="G99" s="123"/>
      <c r="P99" s="11">
        <v>85</v>
      </c>
      <c r="Q99" s="11">
        <f t="shared" si="15"/>
        <v>14</v>
      </c>
      <c r="R99" s="11">
        <f t="shared" si="16"/>
        <v>1</v>
      </c>
      <c r="S99" s="12" cm="1">
        <f t="array" ref="S99">INDEX('PatientFollowUp-ConceptMap-2'!$I$15:$N$124,Q99+1,R99)</f>
        <v>0</v>
      </c>
    </row>
    <row r="100" spans="2:19">
      <c r="B100" s="11"/>
      <c r="C100" s="11"/>
      <c r="D100" s="12"/>
      <c r="E100" s="12"/>
      <c r="F100" s="64"/>
      <c r="G100" s="123"/>
      <c r="P100" s="11">
        <v>86</v>
      </c>
      <c r="Q100" s="11">
        <f t="shared" si="15"/>
        <v>14</v>
      </c>
      <c r="R100" s="11">
        <f t="shared" si="16"/>
        <v>2</v>
      </c>
      <c r="S100" s="12" cm="1">
        <f t="array" ref="S100">INDEX('PatientFollowUp-ConceptMap-2'!$I$15:$N$124,Q100+1,R100)</f>
        <v>0</v>
      </c>
    </row>
    <row r="101" spans="2:19">
      <c r="B101" s="11"/>
      <c r="C101" s="11"/>
      <c r="D101" s="12"/>
      <c r="E101" s="12"/>
      <c r="F101" s="64"/>
      <c r="G101" s="123"/>
      <c r="P101" s="11">
        <v>87</v>
      </c>
      <c r="Q101" s="11">
        <f t="shared" si="15"/>
        <v>14</v>
      </c>
      <c r="R101" s="11">
        <f t="shared" si="16"/>
        <v>3</v>
      </c>
      <c r="S101" s="12" cm="1">
        <f t="array" ref="S101">INDEX('PatientFollowUp-ConceptMap-2'!$I$15:$N$124,Q101+1,R101)</f>
        <v>0</v>
      </c>
    </row>
    <row r="102" spans="2:19">
      <c r="B102" s="11"/>
      <c r="C102" s="11"/>
      <c r="D102" s="12"/>
      <c r="E102" s="12"/>
      <c r="F102" s="64"/>
      <c r="G102" s="123"/>
      <c r="P102" s="11">
        <v>88</v>
      </c>
      <c r="Q102" s="11">
        <f t="shared" si="15"/>
        <v>14</v>
      </c>
      <c r="R102" s="11">
        <f t="shared" si="16"/>
        <v>4</v>
      </c>
      <c r="S102" s="12" cm="1">
        <f t="array" ref="S102">INDEX('PatientFollowUp-ConceptMap-2'!$I$15:$N$124,Q102+1,R102)</f>
        <v>0</v>
      </c>
    </row>
    <row r="103" spans="2:19">
      <c r="B103" s="11"/>
      <c r="C103" s="11"/>
      <c r="D103" s="12"/>
      <c r="E103" s="12"/>
      <c r="F103" s="64"/>
      <c r="G103" s="123"/>
      <c r="P103" s="11">
        <v>89</v>
      </c>
      <c r="Q103" s="11">
        <f t="shared" si="15"/>
        <v>14</v>
      </c>
      <c r="R103" s="11">
        <f t="shared" si="16"/>
        <v>5</v>
      </c>
      <c r="S103" s="12" cm="1">
        <f t="array" ref="S103">INDEX('PatientFollowUp-ConceptMap-2'!$I$15:$N$124,Q103+1,R103)</f>
        <v>0</v>
      </c>
    </row>
    <row r="104" spans="2:19">
      <c r="B104" s="11"/>
      <c r="C104" s="11"/>
      <c r="D104" s="12"/>
      <c r="E104" s="12"/>
      <c r="F104" s="64"/>
      <c r="G104" s="123"/>
      <c r="P104" s="11">
        <v>90</v>
      </c>
      <c r="Q104" s="11">
        <f t="shared" si="15"/>
        <v>14</v>
      </c>
      <c r="R104" s="11">
        <f t="shared" si="16"/>
        <v>6</v>
      </c>
      <c r="S104" s="12" cm="1">
        <f t="array" ref="S104">INDEX('PatientFollowUp-ConceptMap-2'!$I$15:$N$124,Q104+1,R104)</f>
        <v>0</v>
      </c>
    </row>
    <row r="105" spans="2:19">
      <c r="B105" s="11"/>
      <c r="C105" s="11"/>
      <c r="D105" s="12"/>
      <c r="E105" s="12"/>
      <c r="F105" s="64"/>
      <c r="G105" s="123"/>
      <c r="P105" s="11">
        <v>91</v>
      </c>
      <c r="Q105" s="11">
        <f t="shared" si="15"/>
        <v>15</v>
      </c>
      <c r="R105" s="11">
        <f t="shared" si="16"/>
        <v>1</v>
      </c>
      <c r="S105" s="12" cm="1">
        <f t="array" ref="S105">INDEX('PatientFollowUp-ConceptMap-2'!$I$15:$N$124,Q105+1,R105)</f>
        <v>0</v>
      </c>
    </row>
    <row r="106" spans="2:19">
      <c r="B106" s="11"/>
      <c r="C106" s="11"/>
      <c r="D106" s="12"/>
      <c r="E106" s="12"/>
      <c r="F106" s="64"/>
      <c r="G106" s="123"/>
      <c r="P106" s="11">
        <v>92</v>
      </c>
      <c r="Q106" s="11">
        <f t="shared" si="15"/>
        <v>15</v>
      </c>
      <c r="R106" s="11">
        <f t="shared" si="16"/>
        <v>2</v>
      </c>
      <c r="S106" s="12" cm="1">
        <f t="array" ref="S106">INDEX('PatientFollowUp-ConceptMap-2'!$I$15:$N$124,Q106+1,R106)</f>
        <v>0</v>
      </c>
    </row>
    <row r="107" spans="2:19">
      <c r="B107" s="11"/>
      <c r="C107" s="11"/>
      <c r="D107" s="12"/>
      <c r="E107" s="12"/>
      <c r="F107" s="64"/>
      <c r="G107" s="123"/>
      <c r="P107" s="11">
        <v>93</v>
      </c>
      <c r="Q107" s="11">
        <f t="shared" si="15"/>
        <v>15</v>
      </c>
      <c r="R107" s="11">
        <f t="shared" si="16"/>
        <v>3</v>
      </c>
      <c r="S107" s="12" cm="1">
        <f t="array" ref="S107">INDEX('PatientFollowUp-ConceptMap-2'!$I$15:$N$124,Q107+1,R107)</f>
        <v>0</v>
      </c>
    </row>
    <row r="108" spans="2:19">
      <c r="B108" s="11"/>
      <c r="C108" s="11"/>
      <c r="D108" s="12"/>
      <c r="E108" s="12"/>
      <c r="F108" s="64"/>
      <c r="G108" s="123"/>
      <c r="P108" s="11">
        <v>94</v>
      </c>
      <c r="Q108" s="11">
        <f t="shared" si="15"/>
        <v>15</v>
      </c>
      <c r="R108" s="11">
        <f t="shared" si="16"/>
        <v>4</v>
      </c>
      <c r="S108" s="12" cm="1">
        <f t="array" ref="S108">INDEX('PatientFollowUp-ConceptMap-2'!$I$15:$N$124,Q108+1,R108)</f>
        <v>0</v>
      </c>
    </row>
    <row r="109" spans="2:19">
      <c r="B109" s="11"/>
      <c r="C109" s="11"/>
      <c r="D109" s="12"/>
      <c r="E109" s="12"/>
      <c r="F109" s="64"/>
      <c r="G109" s="123"/>
      <c r="P109" s="11">
        <v>95</v>
      </c>
      <c r="Q109" s="11">
        <f t="shared" si="15"/>
        <v>15</v>
      </c>
      <c r="R109" s="11">
        <f t="shared" si="16"/>
        <v>5</v>
      </c>
      <c r="S109" s="12" cm="1">
        <f t="array" ref="S109">INDEX('PatientFollowUp-ConceptMap-2'!$I$15:$N$124,Q109+1,R109)</f>
        <v>0</v>
      </c>
    </row>
    <row r="110" spans="2:19">
      <c r="B110" s="11"/>
      <c r="C110" s="11"/>
      <c r="D110" s="12"/>
      <c r="E110" s="12"/>
      <c r="F110" s="64"/>
      <c r="G110" s="123"/>
      <c r="P110" s="11">
        <v>96</v>
      </c>
      <c r="Q110" s="11">
        <f t="shared" si="15"/>
        <v>15</v>
      </c>
      <c r="R110" s="11">
        <f t="shared" si="16"/>
        <v>6</v>
      </c>
      <c r="S110" s="12" cm="1">
        <f t="array" ref="S110">INDEX('PatientFollowUp-ConceptMap-2'!$I$15:$N$124,Q110+1,R110)</f>
        <v>0</v>
      </c>
    </row>
    <row r="111" spans="2:19">
      <c r="B111" s="11"/>
      <c r="C111" s="11"/>
      <c r="D111" s="12"/>
      <c r="E111" s="12"/>
      <c r="F111" s="64"/>
      <c r="G111" s="123"/>
      <c r="P111" s="11">
        <v>97</v>
      </c>
      <c r="Q111" s="11">
        <f t="shared" si="15"/>
        <v>16</v>
      </c>
      <c r="R111" s="11">
        <f t="shared" si="16"/>
        <v>1</v>
      </c>
      <c r="S111" s="12" cm="1">
        <f t="array" ref="S111">INDEX('PatientFollowUp-ConceptMap-2'!$I$15:$N$124,Q111+1,R111)</f>
        <v>0</v>
      </c>
    </row>
    <row r="112" spans="2:19">
      <c r="B112" s="11"/>
      <c r="C112" s="11"/>
      <c r="D112" s="12"/>
      <c r="E112" s="12"/>
      <c r="F112" s="64"/>
      <c r="G112" s="123"/>
      <c r="P112" s="11">
        <v>98</v>
      </c>
      <c r="Q112" s="11">
        <f t="shared" si="15"/>
        <v>16</v>
      </c>
      <c r="R112" s="11">
        <f t="shared" si="16"/>
        <v>2</v>
      </c>
      <c r="S112" s="12" cm="1">
        <f t="array" ref="S112">INDEX('PatientFollowUp-ConceptMap-2'!$I$15:$N$124,Q112+1,R112)</f>
        <v>0</v>
      </c>
    </row>
    <row r="113" spans="2:19">
      <c r="B113" s="11"/>
      <c r="C113" s="11"/>
      <c r="D113" s="12"/>
      <c r="E113" s="12"/>
      <c r="F113" s="64"/>
      <c r="G113" s="123"/>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"&amp;'PatientFollowUp-ConceptMap-1'!C4</f>
        <v>Instance: followup2FHIR</v>
      </c>
    </row>
    <row r="5" spans="2:7">
      <c r="B5" s="65" t="s">
        <v>1447</v>
      </c>
    </row>
    <row r="6" spans="2:7">
      <c r="B6" s="65" t="s">
        <v>1438</v>
      </c>
    </row>
    <row r="7" spans="2:7">
      <c r="B7" s="65" t="s">
        <v>1776</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1"/>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1"/>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2348</v>
      </c>
      <c r="J4" s="16" t="str">
        <f>CONCATENATE("Logical: ",B4)</f>
        <v>Logical: TreatmentResponseI4rc</v>
      </c>
    </row>
    <row r="5" spans="1:12" ht="15.5" thickBot="1">
      <c r="A5" s="14" t="s">
        <v>16</v>
      </c>
      <c r="B5" s="45" t="s">
        <v>2279</v>
      </c>
      <c r="J5" s="16" t="str">
        <f>CONCATENATE("Id: ",B5)</f>
        <v>Id: TreatmentResponse</v>
      </c>
    </row>
    <row r="6" spans="1:12" ht="15.5" thickBot="1">
      <c r="A6" s="14" t="s">
        <v>10</v>
      </c>
      <c r="B6" s="45" t="s">
        <v>2281</v>
      </c>
      <c r="J6" s="17" t="str">
        <f>CONCATENATE("Title: ##34#",B6,"##34#")</f>
        <v>Title: ##34#Treatment Response##34#</v>
      </c>
    </row>
    <row r="7" spans="1:12">
      <c r="A7" s="26" t="s">
        <v>2</v>
      </c>
      <c r="B7" s="45" t="s">
        <v>2281</v>
      </c>
      <c r="C7" s="9" t="s">
        <v>3</v>
      </c>
      <c r="D7" s="1" t="s">
        <v>4</v>
      </c>
      <c r="E7" s="3" t="s">
        <v>5</v>
      </c>
      <c r="F7" s="3" t="s">
        <v>6</v>
      </c>
      <c r="G7" s="3" t="s">
        <v>7</v>
      </c>
      <c r="H7" s="105" t="s">
        <v>1610</v>
      </c>
      <c r="J7" s="17" t="str">
        <f>CONCATENATE("Description: "," ##334#",B7,"##334#",)</f>
        <v>Description:  ##334#Treatment Response##334#</v>
      </c>
    </row>
    <row r="8" spans="1:12" ht="59">
      <c r="A8" s="100">
        <v>0</v>
      </c>
      <c r="B8" s="11" t="s">
        <v>2282</v>
      </c>
      <c r="C8" s="11" t="s">
        <v>2283</v>
      </c>
      <c r="D8" s="11" t="s">
        <v>1921</v>
      </c>
      <c r="E8" s="11">
        <v>1</v>
      </c>
      <c r="F8" s="11">
        <v>1</v>
      </c>
      <c r="G8" s="118" t="s">
        <v>1965</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2280</v>
      </c>
      <c r="C9" s="11" t="s">
        <v>2032</v>
      </c>
      <c r="D9" s="11" t="s">
        <v>2284</v>
      </c>
      <c r="E9" s="11">
        <v>1</v>
      </c>
      <c r="F9" s="11">
        <v>1</v>
      </c>
      <c r="G9" s="119" t="s">
        <v>1764</v>
      </c>
      <c r="H9" s="12" t="s">
        <v>2285</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2289</v>
      </c>
      <c r="C10" s="11" t="s">
        <v>2286</v>
      </c>
      <c r="D10" s="11" t="s">
        <v>2287</v>
      </c>
      <c r="E10" s="11">
        <v>1</v>
      </c>
      <c r="F10" s="11">
        <v>1</v>
      </c>
      <c r="G10" s="11" t="s">
        <v>1764</v>
      </c>
      <c r="H10" s="12" t="s">
        <v>2288</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19"/>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2290</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2291</v>
      </c>
      <c r="D3" s="62" t="s">
        <v>1769</v>
      </c>
      <c r="E3" s="117" t="str">
        <f>$C$1&amp;B14</f>
        <v>http://hl7.eu/fhir/ig/idea4rc/StructureDefinition/TreatmentResponseI4rc</v>
      </c>
    </row>
    <row r="4" spans="1:19">
      <c r="B4" s="62" t="s">
        <v>16</v>
      </c>
      <c r="C4" s="28" t="s">
        <v>2291</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http://hl7.eu/fhir/ig/idea4rc/StructureDefinition/TreatmentResponseI4rc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2182</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3"/>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3"/>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3"/>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3"/>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3"/>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3"/>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3"/>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3"/>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3"/>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3"/>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3"/>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3"/>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3"/>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3"/>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3"/>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3"/>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3"/>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3"/>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3"/>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3"/>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3"/>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3"/>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3"/>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3"/>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3"/>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3"/>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3"/>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3"/>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3"/>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3"/>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3"/>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3"/>
      <c r="P50" s="11">
        <v>36</v>
      </c>
      <c r="Q50" s="11">
        <f t="shared" si="5"/>
        <v>5</v>
      </c>
      <c r="R50" s="11">
        <f t="shared" si="6"/>
        <v>6</v>
      </c>
      <c r="S50" s="12" t="str" cm="1">
        <f t="array" ref="S50">INDEX('TreatmentRespon-ConceptMap-1'!$I$15:$N$124,Q50+1,R50)</f>
        <v/>
      </c>
    </row>
    <row r="51" spans="2:19">
      <c r="B51" s="11"/>
      <c r="C51" s="11"/>
      <c r="D51" s="12"/>
      <c r="E51" s="12"/>
      <c r="F51" s="64"/>
      <c r="G51" s="123"/>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3"/>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3"/>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3"/>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3"/>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3"/>
      <c r="P56" s="11">
        <v>42</v>
      </c>
      <c r="Q56" s="11">
        <f t="shared" si="5"/>
        <v>6</v>
      </c>
      <c r="R56" s="11">
        <f t="shared" si="6"/>
        <v>6</v>
      </c>
      <c r="S56" s="12" t="str" cm="1">
        <f t="array" ref="S56">INDEX('TreatmentRespon-ConceptMap-1'!$I$15:$N$124,Q56+1,R56)</f>
        <v/>
      </c>
    </row>
    <row r="57" spans="2:19">
      <c r="B57" s="11"/>
      <c r="C57" s="11"/>
      <c r="D57" s="12"/>
      <c r="E57" s="12"/>
      <c r="F57" s="64"/>
      <c r="G57" s="123"/>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3"/>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3"/>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3"/>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3"/>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3"/>
      <c r="P62" s="11">
        <v>48</v>
      </c>
      <c r="Q62" s="11">
        <f t="shared" si="5"/>
        <v>7</v>
      </c>
      <c r="R62" s="11">
        <f t="shared" si="6"/>
        <v>6</v>
      </c>
      <c r="S62" s="12" t="str" cm="1">
        <f t="array" ref="S62">INDEX('TreatmentRespon-ConceptMap-1'!$I$15:$N$124,Q62+1,R62)</f>
        <v/>
      </c>
    </row>
    <row r="63" spans="2:19">
      <c r="B63" s="11"/>
      <c r="C63" s="11"/>
      <c r="D63" s="12"/>
      <c r="E63" s="12"/>
      <c r="F63" s="64"/>
      <c r="G63" s="123"/>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3"/>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3"/>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3"/>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3"/>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3"/>
      <c r="P68" s="11">
        <v>54</v>
      </c>
      <c r="Q68" s="11">
        <f t="shared" si="5"/>
        <v>8</v>
      </c>
      <c r="R68" s="11">
        <f t="shared" si="6"/>
        <v>6</v>
      </c>
      <c r="S68" s="12" t="str" cm="1">
        <f t="array" ref="S68">INDEX('TreatmentRespon-ConceptMap-1'!$I$15:$N$124,Q68+1,R68)</f>
        <v/>
      </c>
    </row>
    <row r="69" spans="2:19">
      <c r="B69" s="11"/>
      <c r="C69" s="11"/>
      <c r="D69" s="12"/>
      <c r="E69" s="12"/>
      <c r="F69" s="64"/>
      <c r="G69" s="123"/>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3"/>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3"/>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3"/>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3"/>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3"/>
      <c r="P74" s="11">
        <v>60</v>
      </c>
      <c r="Q74" s="11">
        <f t="shared" si="5"/>
        <v>9</v>
      </c>
      <c r="R74" s="11">
        <f t="shared" si="6"/>
        <v>6</v>
      </c>
      <c r="S74" s="12" t="str" cm="1">
        <f t="array" ref="S74">INDEX('TreatmentRespon-ConceptMap-1'!$I$15:$N$124,Q74+1,R74)</f>
        <v/>
      </c>
    </row>
    <row r="75" spans="2:19">
      <c r="B75" s="11"/>
      <c r="C75" s="11"/>
      <c r="D75" s="12"/>
      <c r="E75" s="12"/>
      <c r="F75" s="64"/>
      <c r="G75" s="123"/>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3"/>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3"/>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3"/>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3"/>
      <c r="P80" s="11">
        <v>66</v>
      </c>
      <c r="Q80" s="11">
        <f t="shared" si="9"/>
        <v>10</v>
      </c>
      <c r="R80" s="11">
        <f t="shared" si="10"/>
        <v>6</v>
      </c>
      <c r="S80" s="12" t="str" cm="1">
        <f t="array" ref="S80">INDEX('TreatmentRespon-ConceptMap-1'!$I$15:$N$124,Q80+1,R80)</f>
        <v/>
      </c>
    </row>
    <row r="81" spans="2:19">
      <c r="B81" s="11"/>
      <c r="C81" s="11"/>
      <c r="D81" s="12"/>
      <c r="E81" s="12"/>
      <c r="F81" s="64"/>
      <c r="G81" s="123"/>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3"/>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3"/>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3"/>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3"/>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3"/>
      <c r="P86" s="11">
        <v>72</v>
      </c>
      <c r="Q86" s="11">
        <f t="shared" si="9"/>
        <v>11</v>
      </c>
      <c r="R86" s="11">
        <f t="shared" si="10"/>
        <v>6</v>
      </c>
      <c r="S86" s="12" t="str" cm="1">
        <f t="array" ref="S86">INDEX('TreatmentRespon-ConceptMap-1'!$I$15:$N$124,Q86+1,R86)</f>
        <v/>
      </c>
    </row>
    <row r="87" spans="2:19">
      <c r="B87" s="11"/>
      <c r="C87" s="11"/>
      <c r="D87" s="12"/>
      <c r="E87" s="12"/>
      <c r="F87" s="64"/>
      <c r="G87" s="123"/>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3"/>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3"/>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3"/>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3"/>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3"/>
      <c r="P92" s="11">
        <v>78</v>
      </c>
      <c r="Q92" s="11">
        <f t="shared" si="9"/>
        <v>12</v>
      </c>
      <c r="R92" s="11">
        <f t="shared" si="10"/>
        <v>6</v>
      </c>
      <c r="S92" s="12" t="str" cm="1">
        <f t="array" ref="S92">INDEX('TreatmentRespon-ConceptMap-1'!$I$15:$N$124,Q92+1,R92)</f>
        <v/>
      </c>
    </row>
    <row r="93" spans="2:19">
      <c r="B93" s="11"/>
      <c r="C93" s="11"/>
      <c r="D93" s="12"/>
      <c r="E93" s="12"/>
      <c r="F93" s="64"/>
      <c r="G93" s="123"/>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3"/>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3"/>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3"/>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3"/>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3"/>
      <c r="P98" s="11">
        <v>84</v>
      </c>
      <c r="Q98" s="11">
        <f t="shared" si="9"/>
        <v>13</v>
      </c>
      <c r="R98" s="11">
        <f t="shared" si="10"/>
        <v>6</v>
      </c>
      <c r="S98" s="12" t="str" cm="1">
        <f t="array" ref="S98">INDEX('TreatmentRespon-ConceptMap-1'!$I$15:$N$124,Q98+1,R98)</f>
        <v/>
      </c>
    </row>
    <row r="99" spans="2:19">
      <c r="B99" s="11"/>
      <c r="C99" s="11"/>
      <c r="D99" s="12"/>
      <c r="E99" s="12"/>
      <c r="F99" s="64"/>
      <c r="G99" s="123"/>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3"/>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INDEX('TreatmentRespon-ConceptMap-1'!$I$15:$N$124,Q104+1,R104)</f>
        <v/>
      </c>
    </row>
    <row r="105" spans="2:19">
      <c r="B105" s="11"/>
      <c r="C105" s="11"/>
      <c r="D105" s="12"/>
      <c r="E105" s="12"/>
      <c r="F105" s="64"/>
      <c r="G105" s="123"/>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3"/>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INDEX('TreatmentRespon-ConceptMap-1'!$I$15:$N$124,Q110+1,R110)</f>
        <v/>
      </c>
    </row>
    <row r="111" spans="2:19">
      <c r="B111" s="11"/>
      <c r="C111" s="11"/>
      <c r="D111" s="12"/>
      <c r="E111" s="12"/>
      <c r="F111" s="64"/>
      <c r="G111" s="123"/>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3"/>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2292</v>
      </c>
    </row>
    <row r="3" spans="2:7">
      <c r="B3" s="24" t="s">
        <v>20</v>
      </c>
    </row>
    <row r="4" spans="2:7">
      <c r="B4" s="65" t="str">
        <f>"Instance: "&amp;'TreatmentRespon-ConceptMap-1'!C4</f>
        <v>Instance: treatmentResponse2FHIR</v>
      </c>
    </row>
    <row r="5" spans="2:7">
      <c r="B5" s="65" t="s">
        <v>1447</v>
      </c>
    </row>
    <row r="6" spans="2:7">
      <c r="B6" s="65" t="s">
        <v>1438</v>
      </c>
    </row>
    <row r="7" spans="2:7">
      <c r="B7" s="65" t="s">
        <v>1776</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1"/>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2346</v>
      </c>
      <c r="J4" s="16" t="str">
        <f>CONCATENATE("Logical: ",B4)</f>
        <v>Logical: AdverseEventI4rc</v>
      </c>
    </row>
    <row r="5" spans="1:12" ht="15.5" thickBot="1">
      <c r="A5" s="14" t="s">
        <v>16</v>
      </c>
      <c r="B5" s="45" t="s">
        <v>553</v>
      </c>
      <c r="J5" s="16" t="str">
        <f>CONCATENATE("Id: ",B5)</f>
        <v>Id: AdverseEvent</v>
      </c>
    </row>
    <row r="6" spans="1:12" ht="15.5" thickBot="1">
      <c r="A6" s="14" t="s">
        <v>10</v>
      </c>
      <c r="B6" s="45" t="s">
        <v>2306</v>
      </c>
      <c r="J6" s="17" t="str">
        <f>CONCATENATE("Title: ##34#",B6,"##34#")</f>
        <v>Title: ##34#Adverse Event##34#</v>
      </c>
    </row>
    <row r="7" spans="1:12">
      <c r="A7" s="26" t="s">
        <v>2</v>
      </c>
      <c r="B7" s="45" t="s">
        <v>2306</v>
      </c>
      <c r="C7" s="9" t="s">
        <v>3</v>
      </c>
      <c r="D7" s="1" t="s">
        <v>4</v>
      </c>
      <c r="E7" s="3" t="s">
        <v>5</v>
      </c>
      <c r="F7" s="3" t="s">
        <v>6</v>
      </c>
      <c r="G7" s="3" t="s">
        <v>7</v>
      </c>
      <c r="H7" s="105" t="s">
        <v>1610</v>
      </c>
      <c r="J7" s="17" t="str">
        <f>CONCATENATE("Description: "," ##334#",B7,"##334#",)</f>
        <v>Description:  ##334#Adverse Event##334#</v>
      </c>
    </row>
    <row r="8" spans="1:12" ht="59">
      <c r="A8" s="100">
        <v>0</v>
      </c>
      <c r="B8" s="11" t="s">
        <v>1913</v>
      </c>
      <c r="C8" s="11" t="s">
        <v>2016</v>
      </c>
      <c r="D8" s="11" t="s">
        <v>1872</v>
      </c>
      <c r="E8" s="11">
        <v>1</v>
      </c>
      <c r="F8" s="11">
        <v>1</v>
      </c>
      <c r="G8" s="11" t="s">
        <v>1969</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2307</v>
      </c>
      <c r="C9" s="11" t="s">
        <v>2293</v>
      </c>
      <c r="D9" s="11" t="s">
        <v>2294</v>
      </c>
      <c r="E9" s="11">
        <v>1</v>
      </c>
      <c r="F9" s="11">
        <v>1</v>
      </c>
      <c r="G9" s="11" t="s">
        <v>1764</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2295</v>
      </c>
      <c r="C10" s="11" t="s">
        <v>2296</v>
      </c>
      <c r="D10" s="11" t="s">
        <v>2297</v>
      </c>
      <c r="E10" s="11">
        <v>1</v>
      </c>
      <c r="F10" s="11">
        <v>1</v>
      </c>
      <c r="G10" s="6" t="s">
        <v>1764</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2308</v>
      </c>
      <c r="C11" s="11" t="s">
        <v>2298</v>
      </c>
      <c r="D11" s="11" t="s">
        <v>2299</v>
      </c>
      <c r="E11" s="11">
        <v>1</v>
      </c>
      <c r="F11" s="11">
        <v>1</v>
      </c>
      <c r="G11" s="6" t="s">
        <v>2311</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2309</v>
      </c>
      <c r="C12" s="11" t="s">
        <v>2300</v>
      </c>
      <c r="D12" s="11" t="s">
        <v>2301</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2310</v>
      </c>
      <c r="C13" s="11" t="s">
        <v>2302</v>
      </c>
      <c r="D13" s="11" t="s">
        <v>2303</v>
      </c>
      <c r="E13" s="11">
        <v>1</v>
      </c>
      <c r="F13" s="11">
        <v>1</v>
      </c>
      <c r="G13" s="11" t="s">
        <v>1764</v>
      </c>
      <c r="H13" s="103" t="s">
        <v>2304</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2305</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4" customWidth="1"/>
    <col min="7" max="7" width="29.54296875" customWidth="1"/>
    <col min="8" max="8" width="54.90625" customWidth="1"/>
  </cols>
  <sheetData>
    <row r="1" spans="1:7" ht="15.5" thickBot="1">
      <c r="C1" s="152" t="str">
        <f>AdverseEvent!J1</f>
        <v>//===================================================</v>
      </c>
    </row>
    <row r="2" spans="1:7" ht="16.75" thickBot="1">
      <c r="C2" s="24" t="str">
        <f>AdverseEvent!J2</f>
        <v>//  Logical Model</v>
      </c>
      <c r="G2" s="29" t="s">
        <v>2312</v>
      </c>
    </row>
    <row r="3" spans="1:7">
      <c r="C3" s="24" t="str">
        <f>AdverseEvent!J3</f>
        <v>//===================================================</v>
      </c>
    </row>
    <row r="4" spans="1:7">
      <c r="C4" s="153" t="str">
        <f>AdverseEvent!J4</f>
        <v>Logical: AdverseEventI4rc</v>
      </c>
    </row>
    <row r="5" spans="1:7">
      <c r="C5" s="153" t="str">
        <f>AdverseEvent!J5</f>
        <v>Id: AdverseEvent</v>
      </c>
    </row>
    <row r="6" spans="1:7">
      <c r="C6" s="153" t="str">
        <f>AdverseEvent!J6</f>
        <v>Title: ##34#Adverse Event##34#</v>
      </c>
    </row>
    <row r="7" spans="1:7">
      <c r="C7" s="153" t="str">
        <f>AdverseEvent!J7</f>
        <v>Description:  ##334#Adverse Event##334#</v>
      </c>
    </row>
    <row r="8" spans="1:7" ht="29.5">
      <c r="A8" s="155"/>
      <c r="C8" s="154" t="str">
        <f>IF(AdverseEvent!J8="*  ..  ##34###34# ##334###334#","//--- END",AdverseEvent!J8)</f>
        <v>* episodeEventReference 1..1 http://hl7.eu/fhir/ig/idea4rc/StructureDefinition/EpisodeEvent ##34#Episode Event reference##34# ##334#EpisodeEvent element containing the data regarding the patient's cancer##334#</v>
      </c>
    </row>
    <row r="9" spans="1:7" ht="29.5">
      <c r="A9" s="155"/>
      <c r="C9" s="154"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5"/>
      <c r="C10" s="154" t="str">
        <f>IF(AdverseEvent!J10="*  ..  ##34###34# ##334###334#","//--- END",AdverseEvent!J10)</f>
        <v>* occurredAt 1..1 CodeableConcept ##34#Occurred at##34# ##334#specifies which phase (baseline, progression) of the disease the adverse event is related to##334#</v>
      </c>
    </row>
    <row r="11" spans="1:7" ht="29.5">
      <c r="C11" s="154" t="str">
        <f>IF(AdverseEvent!J11="*  ..  ##34###34# ##334###334#","//--- END",AdverseEvent!J11)</f>
        <v>* relatedTo 1..1 Reference ##34#Adverse event related to##34# ##334#specifies which treatment the adverse event is related to##334#</v>
      </c>
    </row>
    <row r="12" spans="1:7">
      <c r="C12" s="154" t="str">
        <f>IF(AdverseEvent!J12="*  ..  ##34###34# ##334###334#","//--- END",AdverseEvent!J12)</f>
        <v>* eventStartingDate 1..1 date ##34#Adverse event starting date  ##34# ##334#specifies when adverse events begins##334#</v>
      </c>
    </row>
    <row r="13" spans="1:7" ht="29.5">
      <c r="C13" s="154" t="str">
        <f>IF(AdverseEvent!J13="*  ..  ##34###34# ##334###334#","//--- END",AdverseEvent!J13)</f>
        <v>* eventDuration 1..1 CodeableConcept ##34#Adverse event duration##34# ##334#specifies the duration of the adverse event##334#</v>
      </c>
    </row>
    <row r="14" spans="1:7">
      <c r="C14" s="154" t="str">
        <f>IF(AdverseEvent!J14="*  ..  ##34###34# ##334###334#","//--- END",AdverseEvent!J14)</f>
        <v>* referstothepatientsfirstadverseevent 1..1 BackboneElement ##34#M##34# ##334#M##334#</v>
      </c>
    </row>
    <row r="15" spans="1:7">
      <c r="C15" s="154" t="str">
        <f>IF(AdverseEvent!J15="*  ..  ##34###34# ##334###334#","//--- END",AdverseEvent!J15)</f>
        <v>//--- END</v>
      </c>
    </row>
    <row r="16" spans="1:7">
      <c r="C16" s="154" t="str">
        <f>IF(AdverseEvent!J16="*  ..  ##34###34# ##334###334#","//--- END",AdverseEvent!J16)</f>
        <v>//--- END</v>
      </c>
    </row>
    <row r="17" spans="3:3">
      <c r="C17" s="154" t="str">
        <f>IF(AdverseEvent!J17="*  ..  ##34###34# ##334###334#","//--- END",AdverseEvent!J17)</f>
        <v>//--- END</v>
      </c>
    </row>
    <row r="18" spans="3:3">
      <c r="C18" s="154" t="str">
        <f>IF(AdverseEvent!J18="*  ..  ##34###34# ##334###334#","//--- END",AdverseEvent!J18)</f>
        <v>//--- END</v>
      </c>
    </row>
    <row r="19" spans="3:3">
      <c r="C19" s="154" t="str">
        <f>IF(AdverseEvent!J19="*  ..  ##34###34# ##334###334#","//--- END",AdverseEvent!J19)</f>
        <v>//--- END</v>
      </c>
    </row>
    <row r="20" spans="3:3">
      <c r="C20" s="154" t="str">
        <f>IF(AdverseEvent!J20="*  ..  ##34###34# ##334###334#","//--- END",AdverseEvent!J20)</f>
        <v>//--- END</v>
      </c>
    </row>
    <row r="21" spans="3:3">
      <c r="C21" s="154" t="str">
        <f>IF(AdverseEvent!J21="*  ..  ##34###34# ##334###334#","//--- END",AdverseEvent!J21)</f>
        <v>//--- END</v>
      </c>
    </row>
    <row r="22" spans="3:3">
      <c r="C22" s="154" t="str">
        <f>IF(AdverseEvent!J22="*  ..  ##34###34# ##334###334#","//--- END",AdverseEvent!J22)</f>
        <v>//--- END</v>
      </c>
    </row>
    <row r="23" spans="3:3">
      <c r="C23" s="154" t="str">
        <f>IF(AdverseEvent!J23="*  ..  ##34###34# ##334###334#","//--- END",AdverseEvent!J23)</f>
        <v>//--- END</v>
      </c>
    </row>
    <row r="24" spans="3:3">
      <c r="C24" s="154" t="str">
        <f>IF(AdverseEvent!J24="*  ..  ##34###34# ##334###334#","//--- END",AdverseEvent!J24)</f>
        <v>//--- END</v>
      </c>
    </row>
    <row r="31" spans="3:3">
      <c r="C31" s="152" t="s">
        <v>1613</v>
      </c>
    </row>
    <row r="32" spans="3:3">
      <c r="C32" s="24" t="s">
        <v>1651</v>
      </c>
    </row>
    <row r="33" spans="3:3">
      <c r="C33" s="24" t="s">
        <v>1613</v>
      </c>
    </row>
    <row r="34" spans="3:3">
      <c r="C34" s="154" t="str">
        <f>IF(AdverseEvent!L8="*  ..  ##34###34# ##334###334#","//--- END",AdverseEvent!L8)</f>
        <v/>
      </c>
    </row>
    <row r="35" spans="3:3">
      <c r="C35" s="154" t="str">
        <f>IF(AdverseEvent!L9="*  ..  ##34###34# ##334###334#","//--- END",AdverseEvent!L9)</f>
        <v/>
      </c>
    </row>
    <row r="36" spans="3:3">
      <c r="C36" s="154" t="str">
        <f>IF(AdverseEvent!L10="*  ..  ##34###34# ##334###334#","//--- END",AdverseEvent!L10)</f>
        <v/>
      </c>
    </row>
    <row r="37" spans="3:3">
      <c r="C37" s="154" t="str">
        <f>IF(AdverseEvent!L11="*  ..  ##34###34# ##334###334#","//--- END",AdverseEvent!L11)</f>
        <v/>
      </c>
    </row>
    <row r="38" spans="3:3">
      <c r="C38" s="154" t="str">
        <f>IF(AdverseEvent!L12="*  ..  ##34###34# ##334###334#","//--- END",AdverseEvent!L12)</f>
        <v/>
      </c>
    </row>
    <row r="39" spans="3:3" ht="44.25">
      <c r="C39" s="154" t="str">
        <f>IF(AdverseEvent!L13="*  ..  ##34###34# ##334###334#","//--- END",AdverseEvent!L13)</f>
        <v>* eventDuration ^comment = ##334#Less than one week; More than one week but  less than a month; More than a month but less than 3 months; More than 3 months; Unknown.
Custom##334#</v>
      </c>
    </row>
    <row r="40" spans="3:3">
      <c r="C40" s="154" t="str">
        <f>IF(AdverseEvent!L14="*  ..  ##34###34# ##334###334#","//--- END",AdverseEvent!L14)</f>
        <v/>
      </c>
    </row>
    <row r="41" spans="3:3">
      <c r="C41" s="154" t="str">
        <f>IF(AdverseEvent!L15="*  ..  ##34###34# ##334###334#","//--- END",AdverseEvent!L15)</f>
        <v>//--- END</v>
      </c>
    </row>
    <row r="42" spans="3:3">
      <c r="C42" s="154" t="str">
        <f>IF(AdverseEvent!L16="*  ..  ##34###34# ##334###334#","//--- END",AdverseEvent!L16)</f>
        <v>//--- END</v>
      </c>
    </row>
    <row r="43" spans="3:3">
      <c r="C43" s="154"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2291</v>
      </c>
      <c r="D3" s="62" t="s">
        <v>1769</v>
      </c>
      <c r="E3" s="117" t="str">
        <f>$C$1&amp;B14</f>
        <v>http://hl7.eu/fhir/ig/idea4rc/StructureDefinition/AdverseEventI4rc</v>
      </c>
    </row>
    <row r="4" spans="1:19">
      <c r="B4" s="62" t="s">
        <v>16</v>
      </c>
      <c r="C4" s="28" t="s">
        <v>2291</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http://hl7.eu/fhir/ig/idea4rc/StructureDefinition/AdverseEventI4rc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2182</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3"/>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3"/>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3"/>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3"/>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3"/>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3"/>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3"/>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3"/>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3"/>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3"/>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3"/>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3"/>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3"/>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3"/>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3"/>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3"/>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3"/>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3"/>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3"/>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3"/>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3"/>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3"/>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3"/>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3"/>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3"/>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3"/>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3"/>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3"/>
      <c r="P46" s="11">
        <v>32</v>
      </c>
      <c r="Q46" s="11">
        <f t="shared" si="5"/>
        <v>5</v>
      </c>
      <c r="R46" s="11">
        <f t="shared" si="6"/>
        <v>2</v>
      </c>
      <c r="S46" s="12" t="str" cm="1">
        <f t="array" ref="S46">INDEX('AdverseEvent-ConceptMap-1'!$I$15:$N$124,Q46+1,R46)</f>
        <v>* group[=].element[=].display = ##34###34#</v>
      </c>
    </row>
    <row r="47" spans="1:19">
      <c r="B47" s="11"/>
      <c r="C47" s="11"/>
      <c r="D47" s="12"/>
      <c r="E47" s="12"/>
      <c r="F47" s="64"/>
      <c r="G47" s="123"/>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3"/>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3"/>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3"/>
      <c r="P50" s="11">
        <v>36</v>
      </c>
      <c r="Q50" s="11">
        <f t="shared" si="5"/>
        <v>5</v>
      </c>
      <c r="R50" s="11">
        <f t="shared" si="6"/>
        <v>6</v>
      </c>
      <c r="S50" s="12" t="str" cm="1">
        <f t="array" ref="S50">INDEX('AdverseEvent-ConceptMap-1'!$I$15:$N$124,Q50+1,R50)</f>
        <v/>
      </c>
    </row>
    <row r="51" spans="2:19">
      <c r="B51" s="11"/>
      <c r="C51" s="11"/>
      <c r="D51" s="12"/>
      <c r="E51" s="12"/>
      <c r="F51" s="64"/>
      <c r="G51" s="123"/>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3"/>
      <c r="P52" s="11">
        <v>38</v>
      </c>
      <c r="Q52" s="11">
        <f t="shared" si="5"/>
        <v>6</v>
      </c>
      <c r="R52" s="11">
        <f t="shared" si="6"/>
        <v>2</v>
      </c>
      <c r="S52" s="12" t="str" cm="1">
        <f t="array" ref="S52">INDEX('AdverseEvent-ConceptMap-1'!$I$15:$N$124,Q52+1,R52)</f>
        <v>* group[=].element[=].display = ##34###34#</v>
      </c>
    </row>
    <row r="53" spans="2:19">
      <c r="B53" s="11"/>
      <c r="C53" s="11"/>
      <c r="D53" s="12"/>
      <c r="E53" s="12"/>
      <c r="F53" s="64"/>
      <c r="G53" s="123"/>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3"/>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3"/>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3"/>
      <c r="P56" s="11">
        <v>42</v>
      </c>
      <c r="Q56" s="11">
        <f t="shared" si="5"/>
        <v>6</v>
      </c>
      <c r="R56" s="11">
        <f t="shared" si="6"/>
        <v>6</v>
      </c>
      <c r="S56" s="12" t="str" cm="1">
        <f t="array" ref="S56">INDEX('AdverseEvent-ConceptMap-1'!$I$15:$N$124,Q56+1,R56)</f>
        <v/>
      </c>
    </row>
    <row r="57" spans="2:19">
      <c r="B57" s="11"/>
      <c r="C57" s="11"/>
      <c r="D57" s="12"/>
      <c r="E57" s="12"/>
      <c r="F57" s="64"/>
      <c r="G57" s="123"/>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3"/>
      <c r="P58" s="11">
        <v>44</v>
      </c>
      <c r="Q58" s="11">
        <f t="shared" si="5"/>
        <v>7</v>
      </c>
      <c r="R58" s="11">
        <f t="shared" si="6"/>
        <v>2</v>
      </c>
      <c r="S58" s="12" t="str" cm="1">
        <f t="array" ref="S58">INDEX('AdverseEvent-ConceptMap-1'!$I$15:$N$124,Q58+1,R58)</f>
        <v>* group[=].element[=].display = ##34###34#</v>
      </c>
    </row>
    <row r="59" spans="2:19">
      <c r="B59" s="11"/>
      <c r="C59" s="11"/>
      <c r="D59" s="12"/>
      <c r="E59" s="12"/>
      <c r="F59" s="64"/>
      <c r="G59" s="123"/>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3"/>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3"/>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3"/>
      <c r="P62" s="11">
        <v>48</v>
      </c>
      <c r="Q62" s="11">
        <f t="shared" si="5"/>
        <v>7</v>
      </c>
      <c r="R62" s="11">
        <f t="shared" si="6"/>
        <v>6</v>
      </c>
      <c r="S62" s="12" t="str" cm="1">
        <f t="array" ref="S62">INDEX('AdverseEvent-ConceptMap-1'!$I$15:$N$124,Q62+1,R62)</f>
        <v/>
      </c>
    </row>
    <row r="63" spans="2:19">
      <c r="B63" s="11"/>
      <c r="C63" s="11"/>
      <c r="D63" s="12"/>
      <c r="E63" s="12"/>
      <c r="F63" s="64"/>
      <c r="G63" s="123"/>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3"/>
      <c r="P64" s="11">
        <v>50</v>
      </c>
      <c r="Q64" s="11">
        <f t="shared" si="5"/>
        <v>8</v>
      </c>
      <c r="R64" s="11">
        <f t="shared" si="6"/>
        <v>2</v>
      </c>
      <c r="S64" s="12" t="str" cm="1">
        <f t="array" ref="S64">INDEX('AdverseEvent-ConceptMap-1'!$I$15:$N$124,Q64+1,R64)</f>
        <v>* group[=].element[=].display = ##34###34#</v>
      </c>
    </row>
    <row r="65" spans="2:19">
      <c r="B65" s="11"/>
      <c r="C65" s="11"/>
      <c r="D65" s="12"/>
      <c r="E65" s="12"/>
      <c r="F65" s="64"/>
      <c r="G65" s="123"/>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3"/>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3"/>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3"/>
      <c r="P68" s="11">
        <v>54</v>
      </c>
      <c r="Q68" s="11">
        <f t="shared" si="5"/>
        <v>8</v>
      </c>
      <c r="R68" s="11">
        <f t="shared" si="6"/>
        <v>6</v>
      </c>
      <c r="S68" s="12" t="str" cm="1">
        <f t="array" ref="S68">INDEX('AdverseEvent-ConceptMap-1'!$I$15:$N$124,Q68+1,R68)</f>
        <v/>
      </c>
    </row>
    <row r="69" spans="2:19">
      <c r="B69" s="11"/>
      <c r="C69" s="11"/>
      <c r="D69" s="12"/>
      <c r="E69" s="12"/>
      <c r="F69" s="64"/>
      <c r="G69" s="123"/>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3"/>
      <c r="P70" s="11">
        <v>56</v>
      </c>
      <c r="Q70" s="11">
        <f t="shared" si="5"/>
        <v>9</v>
      </c>
      <c r="R70" s="11">
        <f t="shared" si="6"/>
        <v>2</v>
      </c>
      <c r="S70" s="12" t="str" cm="1">
        <f t="array" ref="S70">INDEX('AdverseEvent-ConceptMap-1'!$I$15:$N$124,Q70+1,R70)</f>
        <v>* group[=].element[=].display = ##34###34#</v>
      </c>
    </row>
    <row r="71" spans="2:19">
      <c r="B71" s="11"/>
      <c r="C71" s="11"/>
      <c r="D71" s="12"/>
      <c r="E71" s="12"/>
      <c r="F71" s="64"/>
      <c r="G71" s="123"/>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3"/>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3"/>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3"/>
      <c r="P74" s="11">
        <v>60</v>
      </c>
      <c r="Q74" s="11">
        <f t="shared" si="5"/>
        <v>9</v>
      </c>
      <c r="R74" s="11">
        <f t="shared" si="6"/>
        <v>6</v>
      </c>
      <c r="S74" s="12" t="str" cm="1">
        <f t="array" ref="S74">INDEX('AdverseEvent-ConceptMap-1'!$I$15:$N$124,Q74+1,R74)</f>
        <v/>
      </c>
    </row>
    <row r="75" spans="2:19">
      <c r="B75" s="11"/>
      <c r="C75" s="11"/>
      <c r="D75" s="12"/>
      <c r="E75" s="12"/>
      <c r="F75" s="64"/>
      <c r="G75" s="123"/>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3"/>
      <c r="P76" s="11">
        <v>62</v>
      </c>
      <c r="Q76" s="11">
        <f t="shared" si="5"/>
        <v>10</v>
      </c>
      <c r="R76" s="11">
        <f t="shared" si="6"/>
        <v>2</v>
      </c>
      <c r="S76" s="12" t="str" cm="1">
        <f t="array" ref="S76">INDEX('AdverseEvent-ConceptMap-1'!$I$15:$N$124,Q76+1,R76)</f>
        <v>* group[=].element[=].display = ##34###34#</v>
      </c>
    </row>
    <row r="77" spans="2:19">
      <c r="B77" s="11"/>
      <c r="C77" s="11"/>
      <c r="D77" s="12"/>
      <c r="E77" s="12"/>
      <c r="F77" s="64"/>
      <c r="G77" s="123"/>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3"/>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3"/>
      <c r="P80" s="11">
        <v>66</v>
      </c>
      <c r="Q80" s="11">
        <f t="shared" si="9"/>
        <v>10</v>
      </c>
      <c r="R80" s="11">
        <f t="shared" si="10"/>
        <v>6</v>
      </c>
      <c r="S80" s="12" t="str" cm="1">
        <f t="array" ref="S80">INDEX('AdverseEvent-ConceptMap-1'!$I$15:$N$124,Q80+1,R80)</f>
        <v/>
      </c>
    </row>
    <row r="81" spans="2:19">
      <c r="B81" s="11"/>
      <c r="C81" s="11"/>
      <c r="D81" s="12"/>
      <c r="E81" s="12"/>
      <c r="F81" s="64"/>
      <c r="G81" s="123"/>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3"/>
      <c r="P82" s="11">
        <v>68</v>
      </c>
      <c r="Q82" s="11">
        <f t="shared" si="9"/>
        <v>11</v>
      </c>
      <c r="R82" s="11">
        <f t="shared" si="10"/>
        <v>2</v>
      </c>
      <c r="S82" s="12" t="str" cm="1">
        <f t="array" ref="S82">INDEX('AdverseEvent-ConceptMap-1'!$I$15:$N$124,Q82+1,R82)</f>
        <v>* group[=].element[=].display = ##34###34#</v>
      </c>
    </row>
    <row r="83" spans="2:19">
      <c r="B83" s="11"/>
      <c r="C83" s="11"/>
      <c r="D83" s="12"/>
      <c r="E83" s="12"/>
      <c r="F83" s="64"/>
      <c r="G83" s="123"/>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3"/>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3"/>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3"/>
      <c r="P86" s="11">
        <v>72</v>
      </c>
      <c r="Q86" s="11">
        <f t="shared" si="9"/>
        <v>11</v>
      </c>
      <c r="R86" s="11">
        <f t="shared" si="10"/>
        <v>6</v>
      </c>
      <c r="S86" s="12" t="str" cm="1">
        <f t="array" ref="S86">INDEX('AdverseEvent-ConceptMap-1'!$I$15:$N$124,Q86+1,R86)</f>
        <v/>
      </c>
    </row>
    <row r="87" spans="2:19">
      <c r="B87" s="11"/>
      <c r="C87" s="11"/>
      <c r="D87" s="12"/>
      <c r="E87" s="12"/>
      <c r="F87" s="64"/>
      <c r="G87" s="123"/>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3"/>
      <c r="P88" s="11">
        <v>74</v>
      </c>
      <c r="Q88" s="11">
        <f t="shared" si="9"/>
        <v>12</v>
      </c>
      <c r="R88" s="11">
        <f t="shared" si="10"/>
        <v>2</v>
      </c>
      <c r="S88" s="12" t="str" cm="1">
        <f t="array" ref="S88">INDEX('AdverseEvent-ConceptMap-1'!$I$15:$N$124,Q88+1,R88)</f>
        <v>* group[=].element[=].display = ##34###34#</v>
      </c>
    </row>
    <row r="89" spans="2:19">
      <c r="B89" s="11"/>
      <c r="C89" s="11"/>
      <c r="D89" s="12"/>
      <c r="E89" s="12"/>
      <c r="F89" s="64"/>
      <c r="G89" s="123"/>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3"/>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3"/>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3"/>
      <c r="P92" s="11">
        <v>78</v>
      </c>
      <c r="Q92" s="11">
        <f t="shared" si="9"/>
        <v>12</v>
      </c>
      <c r="R92" s="11">
        <f t="shared" si="10"/>
        <v>6</v>
      </c>
      <c r="S92" s="12" t="str" cm="1">
        <f t="array" ref="S92">INDEX('AdverseEvent-ConceptMap-1'!$I$15:$N$124,Q92+1,R92)</f>
        <v/>
      </c>
    </row>
    <row r="93" spans="2:19">
      <c r="B93" s="11"/>
      <c r="C93" s="11"/>
      <c r="D93" s="12"/>
      <c r="E93" s="12"/>
      <c r="F93" s="64"/>
      <c r="G93" s="123"/>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3"/>
      <c r="P94" s="11">
        <v>80</v>
      </c>
      <c r="Q94" s="11">
        <f t="shared" si="9"/>
        <v>13</v>
      </c>
      <c r="R94" s="11">
        <f t="shared" si="10"/>
        <v>2</v>
      </c>
      <c r="S94" s="12" t="str" cm="1">
        <f t="array" ref="S94">INDEX('AdverseEvent-ConceptMap-1'!$I$15:$N$124,Q94+1,R94)</f>
        <v>* group[=].element[=].display = ##34###34#</v>
      </c>
    </row>
    <row r="95" spans="2:19">
      <c r="B95" s="11"/>
      <c r="C95" s="11"/>
      <c r="D95" s="12"/>
      <c r="E95" s="12"/>
      <c r="F95" s="64"/>
      <c r="G95" s="123"/>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3"/>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3"/>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3"/>
      <c r="P98" s="11">
        <v>84</v>
      </c>
      <c r="Q98" s="11">
        <f t="shared" si="9"/>
        <v>13</v>
      </c>
      <c r="R98" s="11">
        <f t="shared" si="10"/>
        <v>6</v>
      </c>
      <c r="S98" s="12" t="str" cm="1">
        <f t="array" ref="S98">INDEX('AdverseEvent-ConceptMap-1'!$I$15:$N$124,Q98+1,R98)</f>
        <v/>
      </c>
    </row>
    <row r="99" spans="2:19">
      <c r="B99" s="11"/>
      <c r="C99" s="11"/>
      <c r="D99" s="12"/>
      <c r="E99" s="12"/>
      <c r="F99" s="64"/>
      <c r="G99" s="123"/>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3"/>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INDEX('AdverseEvent-ConceptMap-1'!$I$15:$N$124,Q104+1,R104)</f>
        <v/>
      </c>
    </row>
    <row r="105" spans="2:19">
      <c r="B105" s="11"/>
      <c r="C105" s="11"/>
      <c r="D105" s="12"/>
      <c r="E105" s="12"/>
      <c r="F105" s="64"/>
      <c r="G105" s="123"/>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3"/>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INDEX('AdverseEvent-ConceptMap-1'!$I$15:$N$124,Q110+1,R110)</f>
        <v/>
      </c>
    </row>
    <row r="111" spans="2:19">
      <c r="B111" s="11"/>
      <c r="C111" s="11"/>
      <c r="D111" s="12"/>
      <c r="E111" s="12"/>
      <c r="F111" s="64"/>
      <c r="G111" s="123"/>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3"/>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"&amp;'AdverseEvent-ConceptMap-1'!C4</f>
        <v>Instance: treatmentResponse2FHIR</v>
      </c>
    </row>
    <row r="5" spans="2:7">
      <c r="B5" s="65" t="s">
        <v>1447</v>
      </c>
    </row>
    <row r="6" spans="2:7">
      <c r="B6" s="65" t="s">
        <v>1438</v>
      </c>
    </row>
    <row r="7" spans="2:7">
      <c r="B7" s="65" t="s">
        <v>1776</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1"/>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2347</v>
      </c>
      <c r="J4" s="16" t="str">
        <f>CONCATENATE("Logical: ",B4)</f>
        <v>Logical: GeneticTestExpressionI4rc</v>
      </c>
    </row>
    <row r="5" spans="1:12" ht="15.5" thickBot="1">
      <c r="A5" s="14" t="s">
        <v>16</v>
      </c>
      <c r="B5" s="45" t="s">
        <v>2314</v>
      </c>
      <c r="J5" s="16" t="str">
        <f>CONCATENATE("Id: ",B5)</f>
        <v>Id: GeneticTestExpression</v>
      </c>
    </row>
    <row r="6" spans="1:12" ht="15.5" thickBot="1">
      <c r="A6" s="14" t="s">
        <v>10</v>
      </c>
      <c r="B6" s="45" t="s">
        <v>2315</v>
      </c>
      <c r="J6" s="17" t="str">
        <f>CONCATENATE("Title: ##34#",B6,"##34#")</f>
        <v>Title: ##34#Genetic Test Expression##34#</v>
      </c>
    </row>
    <row r="7" spans="1:12">
      <c r="A7" s="26" t="s">
        <v>2</v>
      </c>
      <c r="B7" s="149" t="s">
        <v>2315</v>
      </c>
      <c r="C7" s="9" t="s">
        <v>3</v>
      </c>
      <c r="D7" s="1" t="s">
        <v>4</v>
      </c>
      <c r="E7" s="3" t="s">
        <v>5</v>
      </c>
      <c r="F7" s="3" t="s">
        <v>6</v>
      </c>
      <c r="G7" s="3" t="s">
        <v>7</v>
      </c>
      <c r="H7" s="105" t="s">
        <v>1610</v>
      </c>
      <c r="J7" s="17" t="str">
        <f>CONCATENATE("Description: "," ##334#",B7,"##334#",)</f>
        <v>Description:  ##334#Genetic Test Expression##334#</v>
      </c>
    </row>
    <row r="8" spans="1:12" ht="59">
      <c r="A8" s="100">
        <v>0</v>
      </c>
      <c r="B8" s="11" t="s">
        <v>1913</v>
      </c>
      <c r="C8" s="151" t="s">
        <v>1920</v>
      </c>
      <c r="D8" s="11" t="s">
        <v>1872</v>
      </c>
      <c r="E8" s="11">
        <v>1</v>
      </c>
      <c r="F8" s="11">
        <v>1</v>
      </c>
      <c r="G8" s="11" t="s">
        <v>1969</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2316</v>
      </c>
      <c r="C9" s="151" t="s">
        <v>1920</v>
      </c>
      <c r="D9" s="11" t="s">
        <v>2317</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2318</v>
      </c>
      <c r="C10" s="151" t="s">
        <v>1920</v>
      </c>
      <c r="D10" s="11" t="s">
        <v>2319</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2320</v>
      </c>
      <c r="C11" s="151" t="s">
        <v>1920</v>
      </c>
      <c r="D11" s="11" t="s">
        <v>2321</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2322</v>
      </c>
      <c r="C12" s="151" t="s">
        <v>1920</v>
      </c>
      <c r="D12" s="11" t="s">
        <v>2323</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2324</v>
      </c>
      <c r="C13" s="151" t="s">
        <v>1920</v>
      </c>
      <c r="D13" s="11" t="s">
        <v>2325</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2326</v>
      </c>
      <c r="C14" s="151" t="s">
        <v>1920</v>
      </c>
      <c r="D14" s="11" t="s">
        <v>2327</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2328</v>
      </c>
      <c r="C15" s="151" t="s">
        <v>1920</v>
      </c>
      <c r="D15" s="11" t="s">
        <v>2329</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2330</v>
      </c>
      <c r="C16" s="151" t="s">
        <v>1920</v>
      </c>
      <c r="D16" s="11" t="s">
        <v>2331</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2332</v>
      </c>
      <c r="C17" s="151" t="s">
        <v>1920</v>
      </c>
      <c r="D17" s="11" t="s">
        <v>2333</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2334</v>
      </c>
      <c r="C18" s="151" t="s">
        <v>1920</v>
      </c>
      <c r="D18" s="11" t="s">
        <v>2335</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2336</v>
      </c>
      <c r="C19" s="151" t="s">
        <v>1920</v>
      </c>
      <c r="D19" s="11" t="s">
        <v>2337</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2338</v>
      </c>
      <c r="C20" s="151" t="s">
        <v>1920</v>
      </c>
      <c r="D20" s="11" t="s">
        <v>2339</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2340</v>
      </c>
      <c r="C21" s="151" t="s">
        <v>1920</v>
      </c>
      <c r="D21" s="11" t="s">
        <v>2341</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2342</v>
      </c>
      <c r="C22" s="151" t="s">
        <v>1920</v>
      </c>
      <c r="D22" s="11" t="s">
        <v>2343</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4" customWidth="1"/>
    <col min="7" max="7" width="29.54296875" customWidth="1"/>
    <col min="8" max="8" width="54.90625" customWidth="1"/>
  </cols>
  <sheetData>
    <row r="1" spans="3:7" ht="15.5" thickBot="1">
      <c r="C1" s="152" t="str">
        <f>GeneticTestExpression!J1</f>
        <v>//===================================================</v>
      </c>
    </row>
    <row r="2" spans="3:7" ht="16.75" thickBot="1">
      <c r="C2" s="24" t="str">
        <f>GeneticTestExpression!J2</f>
        <v>//  Logical Model</v>
      </c>
      <c r="G2" s="29" t="s">
        <v>2344</v>
      </c>
    </row>
    <row r="3" spans="3:7">
      <c r="C3" s="24" t="str">
        <f>GeneticTestExpression!J3</f>
        <v>//===================================================</v>
      </c>
    </row>
    <row r="4" spans="3:7">
      <c r="C4" s="153" t="str">
        <f>GeneticTestExpression!J4</f>
        <v>Logical: GeneticTestExpressionI4rc</v>
      </c>
    </row>
    <row r="5" spans="3:7">
      <c r="C5" s="153" t="str">
        <f>GeneticTestExpression!J5</f>
        <v>Id: GeneticTestExpression</v>
      </c>
    </row>
    <row r="6" spans="3:7">
      <c r="C6" s="153" t="str">
        <f>GeneticTestExpression!J6</f>
        <v>Title: ##34#Genetic Test Expression##34#</v>
      </c>
    </row>
    <row r="7" spans="3:7">
      <c r="C7" s="153" t="str">
        <f>GeneticTestExpression!J7</f>
        <v>Description:  ##334#Genetic Test Expression##334#</v>
      </c>
    </row>
    <row r="8" spans="3:7" ht="29.5">
      <c r="C8" s="154"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4" t="str">
        <f>IF(GeneticTestExpression!J9="*  ..  ##34###34# ##334###334#","//--- END",GeneticTestExpression!J9)</f>
        <v>* geneExpressionAnalysisPerformed 0..1 boolean ##34#Cancer Episode Reference##34# ##334#Clarifies whether a gene expression analysis is performed##334#</v>
      </c>
    </row>
    <row r="10" spans="3:7">
      <c r="C10" s="154" t="str">
        <f>IF(GeneticTestExpression!J10="*  ..  ##34###34# ##334###334#","//--- END",GeneticTestExpression!J10)</f>
        <v>* dateOfGeneExpression 0..1 date ##34#Cancer Episode Reference##34# ##334#Date of the gene expression analysis##334#</v>
      </c>
    </row>
    <row r="11" spans="3:7" ht="29.5">
      <c r="C11" s="154" t="str">
        <f>IF(GeneticTestExpression!J11="*  ..  ##34###34# ##334###334#","//--- END",GeneticTestExpression!J11)</f>
        <v>* geneMutationAnalysisPerformed 0..1 boolean ##34#Cancer Episode Reference##34# ##334#Clarifies whether a gene mutation analysis is performed##334#</v>
      </c>
    </row>
    <row r="12" spans="3:7">
      <c r="C12" s="154" t="str">
        <f>IF(GeneticTestExpression!J12="*  ..  ##34###34# ##334###334#","//--- END",GeneticTestExpression!J12)</f>
        <v>* dateOfGeneMutation 0..1 date ##34#Cancer Episode Reference##34# ##334#Date of the gene mutation analysis##334#</v>
      </c>
    </row>
    <row r="13" spans="3:7" ht="29.5">
      <c r="C13" s="154" t="str">
        <f>IF(GeneticTestExpression!J13="*  ..  ##34###34# ##334###334#","//--- END",GeneticTestExpression!J13)</f>
        <v>* testsForChromosomeTranslocationsPerformed 0..1 boolean ##34#Cancer Episode Reference##34# ##334#Clarifies whether a tests for chromosome translocations is performed##334#</v>
      </c>
    </row>
    <row r="14" spans="3:7">
      <c r="C14" s="154" t="str">
        <f>IF(GeneticTestExpression!J14="*  ..  ##34###34# ##334###334#","//--- END",GeneticTestExpression!J14)</f>
        <v>* dateOfTraslocation 0..1 date ##34#Cancer Episode Reference##34# ##334#Date of the Chromosome translocation test##334#</v>
      </c>
    </row>
    <row r="15" spans="3:7" ht="29.5">
      <c r="C15" s="154" t="str">
        <f>IF(GeneticTestExpression!J15="*  ..  ##34###34# ##334###334#","//--- END",GeneticTestExpression!J15)</f>
        <v>* nextGenerationSequencingNgsPerformed 0..1 boolean ##34#Cancer Episode Reference##34# ##334#Clarifies whether a NGS analysis is performed##334#</v>
      </c>
    </row>
    <row r="16" spans="3:7">
      <c r="C16" s="154" t="str">
        <f>IF(GeneticTestExpression!J16="*  ..  ##34###34# ##334###334#","//--- END",GeneticTestExpression!J16)</f>
        <v>* dateOfNgs 0..1 date ##34#Cancer Episode Reference##34# ##334#Date of the NGS analysis##334#</v>
      </c>
    </row>
    <row r="17" spans="3:3" ht="29.5">
      <c r="C17" s="154" t="str">
        <f>IF(GeneticTestExpression!J17="*  ..  ##34###34# ##334###334#","//--- END",GeneticTestExpression!J17)</f>
        <v>* polymeraseChainReactionPcrTestPerformed 0..1 boolean ##34#Cancer Episode Reference##34# ##334#Clarifies whether a PCR analysis is performed##334#</v>
      </c>
    </row>
    <row r="18" spans="3:3">
      <c r="C18" s="154" t="str">
        <f>IF(GeneticTestExpression!J18="*  ..  ##34###34# ##334###334#","//--- END",GeneticTestExpression!J18)</f>
        <v>* dateOfPcr 0..1 date ##34#Cancer Episode Reference##34# ##334#Date of the PCR analysis##334#</v>
      </c>
    </row>
    <row r="19" spans="3:3" ht="29.5">
      <c r="C19" s="154" t="str">
        <f>IF(GeneticTestExpression!J19="*  ..  ##34###34# ##334###334#","//--- END",GeneticTestExpression!J19)</f>
        <v>* immunohistochemistryPerformed 0..1 boolean ##34#Cancer Episode Reference##34# ##334#Clarifies whether a immunohiostochemestry analysis is performed##334#</v>
      </c>
    </row>
    <row r="20" spans="3:3" ht="29.5">
      <c r="C20" s="154" t="str">
        <f>IF(GeneticTestExpression!J20="*  ..  ##34###34# ##334###334#","//--- END",GeneticTestExpression!J20)</f>
        <v>* dateOfImmunohistochemistry 0..1 date ##34#Cancer Episode Reference##34# ##334#Date of the immunohiostochemestry analysis##334#</v>
      </c>
    </row>
    <row r="21" spans="3:3" ht="29.5">
      <c r="C21" s="154" t="str">
        <f>IF(GeneticTestExpression!J21="*  ..  ##34###34# ##334###334#","//--- END",GeneticTestExpression!J21)</f>
        <v>* circulatingTumourDnaCtdnaPerformed 0..1 boolean ##34#Cancer Episode Reference##34# ##334#Clarifies whether a ctDNA analysis is performed##334#</v>
      </c>
    </row>
    <row r="22" spans="3:3">
      <c r="C22" s="154" t="str">
        <f>IF(GeneticTestExpression!J22="*  ..  ##34###34# ##334###334#","//--- END",GeneticTestExpression!J22)</f>
        <v>* dateOfCtdna 0..1 date ##34#Cancer Episode Reference##34# ##334#Date of the ctDNA analysis##334#</v>
      </c>
    </row>
    <row r="23" spans="3:3">
      <c r="C23" s="154" t="str">
        <f>IF(GeneticTestExpression!J23="*  ..  ##34###34# ##334###334#","//--- END",GeneticTestExpression!J23)</f>
        <v>//--- END</v>
      </c>
    </row>
    <row r="24" spans="3:3">
      <c r="C24" s="154" t="str">
        <f>IF(GeneticTestExpression!J24="*  ..  ##34###34# ##334###334#","//--- END",GeneticTestExpression!J24)</f>
        <v>//--- END</v>
      </c>
    </row>
    <row r="25" spans="3:3">
      <c r="C25" s="154" t="str">
        <f>IF(GeneticTestExpression!J25="*  ..  ##34###34# ##334###334#","//--- END",GeneticTestExpression!J25)</f>
        <v>//--- END</v>
      </c>
    </row>
    <row r="26" spans="3:3">
      <c r="C26" s="154" t="str">
        <f>IF(GeneticTestExpression!J26="*  ..  ##34###34# ##334###334#","//--- END",GeneticTestExpression!J26)</f>
        <v>//--- END</v>
      </c>
    </row>
    <row r="27" spans="3:3">
      <c r="C27" s="154" t="str">
        <f>IF(GeneticTestExpression!J27="*  ..  ##34###34# ##334###334#","//--- END",GeneticTestExpression!J27)</f>
        <v>//--- END</v>
      </c>
    </row>
    <row r="31" spans="3:3">
      <c r="C31" s="152" t="s">
        <v>1613</v>
      </c>
    </row>
    <row r="32" spans="3:3">
      <c r="C32" s="24" t="s">
        <v>1651</v>
      </c>
    </row>
    <row r="33" spans="3:3">
      <c r="C33" s="24" t="s">
        <v>1613</v>
      </c>
    </row>
    <row r="34" spans="3:3">
      <c r="C34" s="154" t="str">
        <f>IF(GeneticTestExpression!L8="*  ..  ##34###34# ##334###334#","//--- END",GeneticTestExpression!L8)</f>
        <v/>
      </c>
    </row>
    <row r="35" spans="3:3">
      <c r="C35" s="154" t="str">
        <f>IF(GeneticTestExpression!L9="*  ..  ##34###34# ##334###334#","//--- END",GeneticTestExpression!L9)</f>
        <v/>
      </c>
    </row>
    <row r="36" spans="3:3">
      <c r="C36" s="154" t="str">
        <f>IF(GeneticTestExpression!L10="*  ..  ##34###34# ##334###334#","//--- END",GeneticTestExpression!L10)</f>
        <v/>
      </c>
    </row>
    <row r="37" spans="3:3">
      <c r="C37" s="154" t="str">
        <f>IF(GeneticTestExpression!L11="*  ..  ##34###34# ##334###334#","//--- END",GeneticTestExpression!L11)</f>
        <v/>
      </c>
    </row>
    <row r="38" spans="3:3">
      <c r="C38" s="154" t="str">
        <f>IF(GeneticTestExpression!L12="*  ..  ##34###34# ##334###334#","//--- END",GeneticTestExpression!L12)</f>
        <v/>
      </c>
    </row>
    <row r="39" spans="3:3">
      <c r="C39" s="154" t="str">
        <f>IF(GeneticTestExpression!L13="*  ..  ##34###34# ##334###334#","//--- END",GeneticTestExpression!L13)</f>
        <v/>
      </c>
    </row>
    <row r="40" spans="3:3">
      <c r="C40" s="154" t="str">
        <f>IF(GeneticTestExpression!L14="*  ..  ##34###34# ##334###334#","//--- END",GeneticTestExpression!L14)</f>
        <v/>
      </c>
    </row>
    <row r="41" spans="3:3">
      <c r="C41" s="154" t="str">
        <f>IF(GeneticTestExpression!L15="*  ..  ##34###34# ##334###334#","//--- END",GeneticTestExpression!L15)</f>
        <v/>
      </c>
    </row>
    <row r="42" spans="3:3">
      <c r="C42" s="154" t="str">
        <f>IF(GeneticTestExpression!L16="*  ..  ##34###34# ##334###334#","//--- END",GeneticTestExpression!L16)</f>
        <v/>
      </c>
    </row>
    <row r="43" spans="3:3">
      <c r="C43" s="154" t="str">
        <f>IF(GeneticTestExpression!L17="*  ..  ##34###34# ##334###334#","//--- END",GeneticTestExpression!L17)</f>
        <v/>
      </c>
    </row>
    <row r="44" spans="3:3">
      <c r="C44" s="154" t="str">
        <f>IF(GeneticTestExpression!L18="*  ..  ##34###34# ##334###334#","//--- END",GeneticTestExpression!L18)</f>
        <v/>
      </c>
    </row>
    <row r="45" spans="3:3">
      <c r="C45" s="154" t="str">
        <f>IF(GeneticTestExpression!L19="*  ..  ##34###34# ##334###334#","//--- END",GeneticTestExpression!L19)</f>
        <v/>
      </c>
    </row>
    <row r="46" spans="3:3">
      <c r="C46" s="154" t="str">
        <f>IF(GeneticTestExpression!L20="*  ..  ##34###34# ##334###334#","//--- END",GeneticTestExpression!L20)</f>
        <v/>
      </c>
    </row>
    <row r="47" spans="3:3">
      <c r="C47" s="154" t="str">
        <f>IF(GeneticTestExpression!L21="*  ..  ##34###34# ##334###334#","//--- END",GeneticTestExpression!L21)</f>
        <v/>
      </c>
    </row>
    <row r="48" spans="3:3">
      <c r="C48" s="154" t="str">
        <f>IF(GeneticTestExpression!L22="*  ..  ##34###34# ##334###334#","//--- END",GeneticTestExpression!L22)</f>
        <v/>
      </c>
    </row>
    <row r="49" spans="3:3">
      <c r="C49" s="154" t="str">
        <f>IF(GeneticTestExpression!L23="*  ..  ##34###34# ##334###334#","//--- END",GeneticTestExpression!L23)</f>
        <v>//--- END</v>
      </c>
    </row>
    <row r="50" spans="3:3">
      <c r="C50" s="154" t="str">
        <f>IF(GeneticTestExpression!L24="*  ..  ##34###34# ##334###334#","//--- END",GeneticTestExpression!L24)</f>
        <v>//--- END</v>
      </c>
    </row>
    <row r="51" spans="3:3">
      <c r="C51" s="154" t="str">
        <f>IF(GeneticTestExpression!L25="*  ..  ##34###34# ##334###334#","//--- END",GeneticTestExpression!L25)</f>
        <v>//--- END</v>
      </c>
    </row>
    <row r="52" spans="3:3">
      <c r="C52" s="154" t="str">
        <f>IF(GeneticTestExpression!L26="*  ..  ##34###34# ##334###334#","//--- END",GeneticTestExpression!L26)</f>
        <v>//--- END</v>
      </c>
    </row>
    <row r="53" spans="3:3">
      <c r="C53" s="154" t="str">
        <f>IF(GeneticTestExpression!L27="*  ..  ##34###34# ##334###334#","//--- END",GeneticTestExpression!L27)</f>
        <v>//--- END</v>
      </c>
    </row>
    <row r="54" spans="3:3">
      <c r="C54" s="154"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2291</v>
      </c>
      <c r="D3" s="62" t="s">
        <v>1769</v>
      </c>
      <c r="E3" s="117" t="str">
        <f>$C$1&amp;B14</f>
        <v>http://hl7.eu/fhir/ig/idea4rc/StructureDefinition/GeneticTestExpressionI4rc</v>
      </c>
    </row>
    <row r="4" spans="1:19">
      <c r="B4" s="62" t="s">
        <v>16</v>
      </c>
      <c r="C4" s="28" t="s">
        <v>2291</v>
      </c>
      <c r="D4" s="62" t="s">
        <v>1770</v>
      </c>
      <c r="E4" s="184" t="s">
        <v>2242</v>
      </c>
      <c r="F4" s="185"/>
      <c r="G4" s="185"/>
    </row>
    <row r="5" spans="1:19">
      <c r="B5" s="62" t="s">
        <v>10</v>
      </c>
      <c r="C5" s="7" t="s">
        <v>2199</v>
      </c>
      <c r="D5" s="62"/>
      <c r="E5" s="7"/>
    </row>
    <row r="6" spans="1:19">
      <c r="B6" s="62" t="s">
        <v>18</v>
      </c>
      <c r="C6" s="56"/>
      <c r="D6" s="62" t="s">
        <v>1771</v>
      </c>
      <c r="E6" s="184" t="str">
        <f>E3</f>
        <v>http://hl7.eu/fhir/ig/idea4rc/StructureDefinition/GeneticTestExpressionI4rc</v>
      </c>
      <c r="F6" s="185"/>
      <c r="G6" s="185"/>
    </row>
    <row r="7" spans="1:19">
      <c r="B7" s="62" t="s">
        <v>15</v>
      </c>
      <c r="C7" s="118"/>
      <c r="D7" s="62" t="s">
        <v>1772</v>
      </c>
      <c r="E7" s="184" t="str">
        <f>E4</f>
        <v>http://hl7.eu/fhir/ig/idea4rc/StructureDefinition/Procedure-radiotheraphy-eu-i4rc</v>
      </c>
      <c r="F7" s="185"/>
      <c r="G7" s="185"/>
    </row>
    <row r="8" spans="1:19" ht="45" thickBot="1">
      <c r="B8" s="62" t="s">
        <v>1773</v>
      </c>
      <c r="C8" s="7" t="s">
        <v>2199</v>
      </c>
      <c r="D8" s="62"/>
      <c r="E8" s="7"/>
      <c r="I8" s="12" t="s">
        <v>1402</v>
      </c>
      <c r="J8" s="12" t="s">
        <v>1403</v>
      </c>
      <c r="K8" s="12" t="s">
        <v>1404</v>
      </c>
      <c r="L8" s="12" t="s">
        <v>1405</v>
      </c>
      <c r="M8" s="11" t="s">
        <v>1406</v>
      </c>
      <c r="P8" s="49" t="s">
        <v>1441</v>
      </c>
      <c r="Q8" s="49">
        <v>6</v>
      </c>
    </row>
    <row r="9" spans="1:19" ht="30.25" thickBot="1">
      <c r="B9" s="62" t="s">
        <v>1774</v>
      </c>
      <c r="C9" s="12" t="s">
        <v>2200</v>
      </c>
      <c r="D9" s="143"/>
      <c r="E9" s="186"/>
      <c r="F9" s="187"/>
      <c r="G9" s="18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2182</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3"/>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3"/>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3"/>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3"/>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3"/>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3"/>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3"/>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3"/>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3"/>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3"/>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3"/>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3"/>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3"/>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3"/>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3"/>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3"/>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3"/>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3"/>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3"/>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3"/>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3"/>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3"/>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3"/>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3"/>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3"/>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3"/>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3"/>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3"/>
      <c r="P46" s="11">
        <v>32</v>
      </c>
      <c r="Q46" s="11">
        <f t="shared" si="5"/>
        <v>5</v>
      </c>
      <c r="R46" s="11">
        <f t="shared" si="6"/>
        <v>2</v>
      </c>
      <c r="S46" s="12" t="str" cm="1">
        <f t="array" ref="S46">INDEX('GeneticTestExp-ConceptMap-1'!$I$15:$N$124,Q46+1,R46)</f>
        <v>* group[=].element[=].display = ##34###34#</v>
      </c>
    </row>
    <row r="47" spans="1:19">
      <c r="B47" s="11"/>
      <c r="C47" s="11"/>
      <c r="D47" s="12"/>
      <c r="E47" s="12"/>
      <c r="F47" s="64"/>
      <c r="G47" s="123"/>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3"/>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3"/>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3"/>
      <c r="P50" s="11">
        <v>36</v>
      </c>
      <c r="Q50" s="11">
        <f t="shared" si="5"/>
        <v>5</v>
      </c>
      <c r="R50" s="11">
        <f t="shared" si="6"/>
        <v>6</v>
      </c>
      <c r="S50" s="12" t="str" cm="1">
        <f t="array" ref="S50">INDEX('GeneticTestExp-ConceptMap-1'!$I$15:$N$124,Q50+1,R50)</f>
        <v/>
      </c>
    </row>
    <row r="51" spans="2:19">
      <c r="B51" s="11"/>
      <c r="C51" s="11"/>
      <c r="D51" s="12"/>
      <c r="E51" s="12"/>
      <c r="F51" s="64"/>
      <c r="G51" s="123"/>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3"/>
      <c r="P52" s="11">
        <v>38</v>
      </c>
      <c r="Q52" s="11">
        <f t="shared" si="5"/>
        <v>6</v>
      </c>
      <c r="R52" s="11">
        <f t="shared" si="6"/>
        <v>2</v>
      </c>
      <c r="S52" s="12" t="str" cm="1">
        <f t="array" ref="S52">INDEX('GeneticTestExp-ConceptMap-1'!$I$15:$N$124,Q52+1,R52)</f>
        <v>* group[=].element[=].display = ##34###34#</v>
      </c>
    </row>
    <row r="53" spans="2:19">
      <c r="B53" s="11"/>
      <c r="C53" s="11"/>
      <c r="D53" s="12"/>
      <c r="E53" s="12"/>
      <c r="F53" s="64"/>
      <c r="G53" s="123"/>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3"/>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3"/>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3"/>
      <c r="P56" s="11">
        <v>42</v>
      </c>
      <c r="Q56" s="11">
        <f t="shared" si="5"/>
        <v>6</v>
      </c>
      <c r="R56" s="11">
        <f t="shared" si="6"/>
        <v>6</v>
      </c>
      <c r="S56" s="12" t="str" cm="1">
        <f t="array" ref="S56">INDEX('GeneticTestExp-ConceptMap-1'!$I$15:$N$124,Q56+1,R56)</f>
        <v/>
      </c>
    </row>
    <row r="57" spans="2:19">
      <c r="B57" s="11"/>
      <c r="C57" s="11"/>
      <c r="D57" s="12"/>
      <c r="E57" s="12"/>
      <c r="F57" s="64"/>
      <c r="G57" s="123"/>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3"/>
      <c r="P58" s="11">
        <v>44</v>
      </c>
      <c r="Q58" s="11">
        <f t="shared" si="5"/>
        <v>7</v>
      </c>
      <c r="R58" s="11">
        <f t="shared" si="6"/>
        <v>2</v>
      </c>
      <c r="S58" s="12" t="str" cm="1">
        <f t="array" ref="S58">INDEX('GeneticTestExp-ConceptMap-1'!$I$15:$N$124,Q58+1,R58)</f>
        <v>* group[=].element[=].display = ##34###34#</v>
      </c>
    </row>
    <row r="59" spans="2:19">
      <c r="B59" s="11"/>
      <c r="C59" s="11"/>
      <c r="D59" s="12"/>
      <c r="E59" s="12"/>
      <c r="F59" s="64"/>
      <c r="G59" s="123"/>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3"/>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3"/>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3"/>
      <c r="P62" s="11">
        <v>48</v>
      </c>
      <c r="Q62" s="11">
        <f t="shared" si="5"/>
        <v>7</v>
      </c>
      <c r="R62" s="11">
        <f t="shared" si="6"/>
        <v>6</v>
      </c>
      <c r="S62" s="12" t="str" cm="1">
        <f t="array" ref="S62">INDEX('GeneticTestExp-ConceptMap-1'!$I$15:$N$124,Q62+1,R62)</f>
        <v/>
      </c>
    </row>
    <row r="63" spans="2:19">
      <c r="B63" s="11"/>
      <c r="C63" s="11"/>
      <c r="D63" s="12"/>
      <c r="E63" s="12"/>
      <c r="F63" s="64"/>
      <c r="G63" s="123"/>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3"/>
      <c r="P64" s="11">
        <v>50</v>
      </c>
      <c r="Q64" s="11">
        <f t="shared" si="5"/>
        <v>8</v>
      </c>
      <c r="R64" s="11">
        <f t="shared" si="6"/>
        <v>2</v>
      </c>
      <c r="S64" s="12" t="str" cm="1">
        <f t="array" ref="S64">INDEX('GeneticTestExp-ConceptMap-1'!$I$15:$N$124,Q64+1,R64)</f>
        <v>* group[=].element[=].display = ##34###34#</v>
      </c>
    </row>
    <row r="65" spans="2:19">
      <c r="B65" s="11"/>
      <c r="C65" s="11"/>
      <c r="D65" s="12"/>
      <c r="E65" s="12"/>
      <c r="F65" s="64"/>
      <c r="G65" s="123"/>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3"/>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3"/>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3"/>
      <c r="P68" s="11">
        <v>54</v>
      </c>
      <c r="Q68" s="11">
        <f t="shared" si="5"/>
        <v>8</v>
      </c>
      <c r="R68" s="11">
        <f t="shared" si="6"/>
        <v>6</v>
      </c>
      <c r="S68" s="12" t="str" cm="1">
        <f t="array" ref="S68">INDEX('GeneticTestExp-ConceptMap-1'!$I$15:$N$124,Q68+1,R68)</f>
        <v/>
      </c>
    </row>
    <row r="69" spans="2:19">
      <c r="B69" s="11"/>
      <c r="C69" s="11"/>
      <c r="D69" s="12"/>
      <c r="E69" s="12"/>
      <c r="F69" s="64"/>
      <c r="G69" s="123"/>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3"/>
      <c r="P70" s="11">
        <v>56</v>
      </c>
      <c r="Q70" s="11">
        <f t="shared" si="5"/>
        <v>9</v>
      </c>
      <c r="R70" s="11">
        <f t="shared" si="6"/>
        <v>2</v>
      </c>
      <c r="S70" s="12" t="str" cm="1">
        <f t="array" ref="S70">INDEX('GeneticTestExp-ConceptMap-1'!$I$15:$N$124,Q70+1,R70)</f>
        <v>* group[=].element[=].display = ##34###34#</v>
      </c>
    </row>
    <row r="71" spans="2:19">
      <c r="B71" s="11"/>
      <c r="C71" s="11"/>
      <c r="D71" s="12"/>
      <c r="E71" s="12"/>
      <c r="F71" s="64"/>
      <c r="G71" s="123"/>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3"/>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3"/>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3"/>
      <c r="P74" s="11">
        <v>60</v>
      </c>
      <c r="Q74" s="11">
        <f t="shared" si="5"/>
        <v>9</v>
      </c>
      <c r="R74" s="11">
        <f t="shared" si="6"/>
        <v>6</v>
      </c>
      <c r="S74" s="12" t="str" cm="1">
        <f t="array" ref="S74">INDEX('GeneticTestExp-ConceptMap-1'!$I$15:$N$124,Q74+1,R74)</f>
        <v/>
      </c>
    </row>
    <row r="75" spans="2:19">
      <c r="B75" s="11"/>
      <c r="C75" s="11"/>
      <c r="D75" s="12"/>
      <c r="E75" s="12"/>
      <c r="F75" s="64"/>
      <c r="G75" s="123"/>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3"/>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3"/>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3"/>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3"/>
      <c r="P80" s="11">
        <v>66</v>
      </c>
      <c r="Q80" s="11">
        <f t="shared" si="9"/>
        <v>10</v>
      </c>
      <c r="R80" s="11">
        <f t="shared" si="10"/>
        <v>6</v>
      </c>
      <c r="S80" s="12" t="str" cm="1">
        <f t="array" ref="S80">INDEX('GeneticTestExp-ConceptMap-1'!$I$15:$N$124,Q80+1,R80)</f>
        <v/>
      </c>
    </row>
    <row r="81" spans="2:19">
      <c r="B81" s="11"/>
      <c r="C81" s="11"/>
      <c r="D81" s="12"/>
      <c r="E81" s="12"/>
      <c r="F81" s="64"/>
      <c r="G81" s="123"/>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3"/>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3"/>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3"/>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3"/>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3"/>
      <c r="P86" s="11">
        <v>72</v>
      </c>
      <c r="Q86" s="11">
        <f t="shared" si="9"/>
        <v>11</v>
      </c>
      <c r="R86" s="11">
        <f t="shared" si="10"/>
        <v>6</v>
      </c>
      <c r="S86" s="12" t="str" cm="1">
        <f t="array" ref="S86">INDEX('GeneticTestExp-ConceptMap-1'!$I$15:$N$124,Q86+1,R86)</f>
        <v/>
      </c>
    </row>
    <row r="87" spans="2:19">
      <c r="B87" s="11"/>
      <c r="C87" s="11"/>
      <c r="D87" s="12"/>
      <c r="E87" s="12"/>
      <c r="F87" s="64"/>
      <c r="G87" s="123"/>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3"/>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3"/>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3"/>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3"/>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3"/>
      <c r="P92" s="11">
        <v>78</v>
      </c>
      <c r="Q92" s="11">
        <f t="shared" si="9"/>
        <v>12</v>
      </c>
      <c r="R92" s="11">
        <f t="shared" si="10"/>
        <v>6</v>
      </c>
      <c r="S92" s="12" t="str" cm="1">
        <f t="array" ref="S92">INDEX('GeneticTestExp-ConceptMap-1'!$I$15:$N$124,Q92+1,R92)</f>
        <v/>
      </c>
    </row>
    <row r="93" spans="2:19">
      <c r="B93" s="11"/>
      <c r="C93" s="11"/>
      <c r="D93" s="12"/>
      <c r="E93" s="12"/>
      <c r="F93" s="64"/>
      <c r="G93" s="123"/>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3"/>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3"/>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3"/>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3"/>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3"/>
      <c r="P98" s="11">
        <v>84</v>
      </c>
      <c r="Q98" s="11">
        <f t="shared" si="9"/>
        <v>13</v>
      </c>
      <c r="R98" s="11">
        <f t="shared" si="10"/>
        <v>6</v>
      </c>
      <c r="S98" s="12" t="str" cm="1">
        <f t="array" ref="S98">INDEX('GeneticTestExp-ConceptMap-1'!$I$15:$N$124,Q98+1,R98)</f>
        <v/>
      </c>
    </row>
    <row r="99" spans="2:19">
      <c r="B99" s="11"/>
      <c r="C99" s="11"/>
      <c r="D99" s="12"/>
      <c r="E99" s="12"/>
      <c r="F99" s="64"/>
      <c r="G99" s="123"/>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3"/>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INDEX('GeneticTestExp-ConceptMap-1'!$I$15:$N$124,Q104+1,R104)</f>
        <v/>
      </c>
    </row>
    <row r="105" spans="2:19">
      <c r="B105" s="11"/>
      <c r="C105" s="11"/>
      <c r="D105" s="12"/>
      <c r="E105" s="12"/>
      <c r="F105" s="64"/>
      <c r="G105" s="123"/>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3"/>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INDEX('GeneticTestExp-ConceptMap-1'!$I$15:$N$124,Q110+1,R110)</f>
        <v/>
      </c>
    </row>
    <row r="111" spans="2:19">
      <c r="B111" s="11"/>
      <c r="C111" s="11"/>
      <c r="D111" s="12"/>
      <c r="E111" s="12"/>
      <c r="F111" s="64"/>
      <c r="G111" s="123"/>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3"/>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"&amp;'GeneticTestExp-ConceptMap-1'!C4</f>
        <v>Instance: treatmentResponse2FHIR</v>
      </c>
    </row>
    <row r="5" spans="2:7">
      <c r="B5" s="65" t="s">
        <v>1447</v>
      </c>
    </row>
    <row r="6" spans="2:7">
      <c r="B6" s="65" t="s">
        <v>1438</v>
      </c>
    </row>
    <row r="7" spans="2:7">
      <c r="B7" s="65" t="s">
        <v>1776</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1"/>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80</vt:i4>
      </vt:variant>
    </vt:vector>
  </HeadingPairs>
  <TitlesOfParts>
    <vt:vector size="80"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2023-11-07T15:11:24Z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