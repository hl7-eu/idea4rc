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5E39A547-D4F7-464E-A20C-98D4C5134BE2}" xr6:coauthVersionLast="47" xr6:coauthVersionMax="47" xr10:uidLastSave="{00000000-0000-0000-0000-000000000000}"/>
  <bookViews>
    <workbookView xWindow="-90" yWindow="-21710" windowWidth="38620" windowHeight="21100" tabRatio="819" firstSheet="47" activeTab="51"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Subject!$A$7:$O$43</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 i="217" l="1"/>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8" i="166"/>
  <c r="C89" i="166"/>
  <c r="C90" i="166"/>
  <c r="C91"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R10" i="164"/>
  <c r="R11" i="164"/>
  <c r="R12" i="164"/>
  <c r="R15" i="164"/>
  <c r="R16" i="164"/>
  <c r="R17" i="164"/>
  <c r="R18" i="164"/>
  <c r="R19" i="164"/>
  <c r="R20" i="164"/>
  <c r="R21" i="164"/>
  <c r="R22" i="164"/>
  <c r="R23" i="164"/>
  <c r="R24" i="164"/>
  <c r="R25" i="164"/>
  <c r="R26" i="164"/>
  <c r="R27" i="164"/>
  <c r="R28" i="164"/>
  <c r="R29" i="164"/>
  <c r="R30" i="164"/>
  <c r="R31" i="164"/>
  <c r="R32" i="164"/>
  <c r="R33" i="164"/>
  <c r="R34" i="164"/>
  <c r="R35" i="164"/>
  <c r="R36" i="164"/>
  <c r="R37" i="164"/>
  <c r="R38" i="164"/>
  <c r="R39" i="164"/>
  <c r="R40" i="164"/>
  <c r="R41" i="164"/>
  <c r="R42" i="164"/>
  <c r="R43" i="164"/>
  <c r="R44" i="164"/>
  <c r="P10" i="164"/>
  <c r="P11" i="164"/>
  <c r="P12" i="164"/>
  <c r="P15" i="164"/>
  <c r="P16" i="164"/>
  <c r="P17" i="164"/>
  <c r="P18" i="164"/>
  <c r="P19" i="164"/>
  <c r="P20" i="164"/>
  <c r="P21" i="164"/>
  <c r="P22" i="164"/>
  <c r="P23" i="164"/>
  <c r="P24" i="164"/>
  <c r="P25" i="164"/>
  <c r="P26" i="164"/>
  <c r="P27" i="164"/>
  <c r="P28" i="164"/>
  <c r="P29" i="164"/>
  <c r="P30" i="164"/>
  <c r="P31" i="164"/>
  <c r="P32" i="164"/>
  <c r="P33" i="164"/>
  <c r="P34" i="164"/>
  <c r="P35" i="164"/>
  <c r="P36" i="164"/>
  <c r="P37" i="164"/>
  <c r="P38" i="164"/>
  <c r="P39" i="164"/>
  <c r="P40" i="164"/>
  <c r="P41" i="164"/>
  <c r="P42" i="164"/>
  <c r="P43" i="164"/>
  <c r="P44" i="164"/>
  <c r="N10" i="164"/>
  <c r="N11" i="164"/>
  <c r="N12" i="164"/>
  <c r="N15" i="164"/>
  <c r="N16" i="164"/>
  <c r="N17" i="164"/>
  <c r="N18" i="164"/>
  <c r="N19" i="164"/>
  <c r="N20" i="164"/>
  <c r="N21" i="164"/>
  <c r="N22" i="164"/>
  <c r="N23" i="164"/>
  <c r="N24" i="164"/>
  <c r="N25" i="164"/>
  <c r="N26" i="164"/>
  <c r="N27" i="164"/>
  <c r="N28" i="164"/>
  <c r="N29" i="164"/>
  <c r="L9" i="164"/>
  <c r="R9" i="164" s="1"/>
  <c r="L10" i="164"/>
  <c r="L11" i="164"/>
  <c r="L12" i="164"/>
  <c r="L13" i="164"/>
  <c r="N13" i="164" s="1"/>
  <c r="L14" i="164"/>
  <c r="R14" i="164" s="1"/>
  <c r="C93" i="166" s="1"/>
  <c r="L15" i="164"/>
  <c r="L16" i="164"/>
  <c r="L17" i="164"/>
  <c r="L18" i="164"/>
  <c r="L19" i="164"/>
  <c r="L20" i="164"/>
  <c r="L21" i="164"/>
  <c r="L22" i="164"/>
  <c r="L23" i="164"/>
  <c r="L24" i="164"/>
  <c r="L25" i="164"/>
  <c r="L26" i="164"/>
  <c r="L27" i="164"/>
  <c r="L28" i="164"/>
  <c r="L29" i="164"/>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2"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R9" i="172"/>
  <c r="R10" i="172"/>
  <c r="R11" i="172"/>
  <c r="R12" i="172"/>
  <c r="R13" i="172"/>
  <c r="R14" i="172"/>
  <c r="R15" i="172"/>
  <c r="R16" i="172"/>
  <c r="R17" i="172"/>
  <c r="R18" i="172"/>
  <c r="R19" i="172"/>
  <c r="R20" i="172"/>
  <c r="R21" i="172"/>
  <c r="R22" i="172"/>
  <c r="R23" i="172"/>
  <c r="R24" i="172"/>
  <c r="R25" i="172"/>
  <c r="R26" i="172"/>
  <c r="R27" i="172"/>
  <c r="R28" i="172"/>
  <c r="R29" i="172"/>
  <c r="R30" i="172"/>
  <c r="R31" i="172"/>
  <c r="R32" i="172"/>
  <c r="R33" i="172"/>
  <c r="R34" i="172"/>
  <c r="R35" i="172"/>
  <c r="R36" i="172"/>
  <c r="R37" i="172"/>
  <c r="R38" i="172"/>
  <c r="R39" i="172"/>
  <c r="R40" i="172"/>
  <c r="R41" i="172"/>
  <c r="R42" i="172"/>
  <c r="R43" i="172"/>
  <c r="R44" i="172"/>
  <c r="R45" i="172"/>
  <c r="R46" i="172"/>
  <c r="R47" i="172"/>
  <c r="R48" i="172"/>
  <c r="R49" i="172"/>
  <c r="R50" i="172"/>
  <c r="R51" i="172"/>
  <c r="R52" i="172"/>
  <c r="R53" i="172"/>
  <c r="R54" i="172"/>
  <c r="R55" i="172"/>
  <c r="R56" i="172"/>
  <c r="R57" i="172"/>
  <c r="R58" i="172"/>
  <c r="R59" i="172"/>
  <c r="R60" i="172"/>
  <c r="R61" i="172"/>
  <c r="R62" i="172"/>
  <c r="R63" i="172"/>
  <c r="R64" i="172"/>
  <c r="R65" i="172"/>
  <c r="P9" i="172"/>
  <c r="P10" i="172"/>
  <c r="P11" i="172"/>
  <c r="P12" i="172"/>
  <c r="P13" i="172"/>
  <c r="P14" i="172"/>
  <c r="P15" i="172"/>
  <c r="P16" i="172"/>
  <c r="P17" i="172"/>
  <c r="P18" i="172"/>
  <c r="P19" i="172"/>
  <c r="P20" i="172"/>
  <c r="P21" i="172"/>
  <c r="P22" i="172"/>
  <c r="P23" i="172"/>
  <c r="P24" i="172"/>
  <c r="P25" i="172"/>
  <c r="P26" i="172"/>
  <c r="P27" i="172"/>
  <c r="P28" i="172"/>
  <c r="P29" i="172"/>
  <c r="P30" i="172"/>
  <c r="P31" i="172"/>
  <c r="P32" i="172"/>
  <c r="P33" i="172"/>
  <c r="P34" i="172"/>
  <c r="P35" i="172"/>
  <c r="P36" i="172"/>
  <c r="P37" i="172"/>
  <c r="P38" i="172"/>
  <c r="P39" i="172"/>
  <c r="P40" i="172"/>
  <c r="P41" i="172"/>
  <c r="P42" i="172"/>
  <c r="P43" i="172"/>
  <c r="P44" i="172"/>
  <c r="P45" i="172"/>
  <c r="P46" i="172"/>
  <c r="P47" i="172"/>
  <c r="P48" i="172"/>
  <c r="P49" i="172"/>
  <c r="P50" i="172"/>
  <c r="P51" i="172"/>
  <c r="P52" i="172"/>
  <c r="P53" i="172"/>
  <c r="P54" i="172"/>
  <c r="P55" i="172"/>
  <c r="P56" i="172"/>
  <c r="P57" i="172"/>
  <c r="P58" i="172"/>
  <c r="P59" i="172"/>
  <c r="P60" i="172"/>
  <c r="P61" i="172"/>
  <c r="P62" i="172"/>
  <c r="P63" i="172"/>
  <c r="P64" i="172"/>
  <c r="P65" i="172"/>
  <c r="N9" i="172"/>
  <c r="N10" i="172"/>
  <c r="N11" i="172"/>
  <c r="N12" i="172"/>
  <c r="N13" i="172"/>
  <c r="N14" i="172"/>
  <c r="N15" i="172"/>
  <c r="N16" i="172"/>
  <c r="N17" i="172"/>
  <c r="N18" i="172"/>
  <c r="N19" i="172"/>
  <c r="N20" i="172"/>
  <c r="N21" i="172"/>
  <c r="N22" i="172"/>
  <c r="N23" i="172"/>
  <c r="N24" i="172"/>
  <c r="N25" i="172"/>
  <c r="N26" i="172"/>
  <c r="N27" i="172"/>
  <c r="N28" i="172"/>
  <c r="N29"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3" i="172"/>
  <c r="N54"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L26" i="172"/>
  <c r="L27" i="172"/>
  <c r="L28" i="172"/>
  <c r="L29" i="172"/>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L54" i="172"/>
  <c r="L55" i="172"/>
  <c r="L56" i="172"/>
  <c r="L57" i="172"/>
  <c r="L58" i="172"/>
  <c r="L59" i="172"/>
  <c r="L60" i="172"/>
  <c r="L61" i="172"/>
  <c r="L62" i="172"/>
  <c r="B463" i="181"/>
  <c r="B457" i="181"/>
  <c r="B458" i="181"/>
  <c r="B459" i="181"/>
  <c r="B460" i="181"/>
  <c r="B461" i="181"/>
  <c r="B462" i="181"/>
  <c r="B446" i="181"/>
  <c r="B447" i="181"/>
  <c r="B448" i="181"/>
  <c r="B449" i="181"/>
  <c r="B443" i="181"/>
  <c r="B444" i="181"/>
  <c r="B445" i="181"/>
  <c r="B424" i="181"/>
  <c r="B425" i="181"/>
  <c r="B426" i="181"/>
  <c r="B427" i="181"/>
  <c r="B428" i="181"/>
  <c r="B429" i="181"/>
  <c r="B430" i="181"/>
  <c r="B431" i="181"/>
  <c r="B432" i="181"/>
  <c r="B433" i="181"/>
  <c r="B434" i="181"/>
  <c r="B435" i="181"/>
  <c r="B436" i="181"/>
  <c r="B437" i="181"/>
  <c r="B401" i="181"/>
  <c r="B402" i="181"/>
  <c r="B403" i="181"/>
  <c r="B404" i="181"/>
  <c r="B405" i="181"/>
  <c r="B406" i="181"/>
  <c r="B407" i="181"/>
  <c r="B408" i="181"/>
  <c r="B409" i="181"/>
  <c r="B410" i="181"/>
  <c r="B411" i="181"/>
  <c r="B412" i="181"/>
  <c r="B413" i="181"/>
  <c r="B414" i="181"/>
  <c r="B415" i="181"/>
  <c r="B195" i="181"/>
  <c r="B196" i="181"/>
  <c r="B197" i="181"/>
  <c r="B198" i="181"/>
  <c r="B199" i="181"/>
  <c r="B200" i="181"/>
  <c r="B201" i="181"/>
  <c r="B202" i="181"/>
  <c r="B203" i="181"/>
  <c r="B204" i="181"/>
  <c r="B205" i="181"/>
  <c r="B206" i="181"/>
  <c r="B207" i="181"/>
  <c r="B208" i="181"/>
  <c r="B209" i="181"/>
  <c r="B210"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B323" i="18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75" i="181"/>
  <c r="B376" i="181"/>
  <c r="B377" i="181"/>
  <c r="B378" i="181"/>
  <c r="B379" i="181"/>
  <c r="B380" i="181"/>
  <c r="B381" i="181"/>
  <c r="B382" i="181"/>
  <c r="B383" i="181"/>
  <c r="B384" i="181"/>
  <c r="B385" i="181"/>
  <c r="B386" i="181"/>
  <c r="B387" i="181"/>
  <c r="B388" i="181"/>
  <c r="B389" i="181"/>
  <c r="B390" i="181"/>
  <c r="B391" i="181"/>
  <c r="B392" i="181"/>
  <c r="B393" i="181"/>
  <c r="B394" i="181"/>
  <c r="B181" i="181"/>
  <c r="B182" i="181"/>
  <c r="B183" i="181"/>
  <c r="B184" i="181"/>
  <c r="B185" i="181"/>
  <c r="B186" i="181"/>
  <c r="B187" i="181"/>
  <c r="B18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35" i="181"/>
  <c r="B136" i="181"/>
  <c r="B103" i="181"/>
  <c r="B104" i="181"/>
  <c r="B105" i="181"/>
  <c r="B106" i="181"/>
  <c r="B107" i="181"/>
  <c r="B108" i="181"/>
  <c r="B109" i="181"/>
  <c r="B110" i="181"/>
  <c r="B111" i="181"/>
  <c r="B112" i="181"/>
  <c r="B113" i="181"/>
  <c r="B114" i="181"/>
  <c r="B115" i="181"/>
  <c r="B116" i="181"/>
  <c r="B117" i="181"/>
  <c r="B118" i="181"/>
  <c r="B119" i="181"/>
  <c r="B120" i="181"/>
  <c r="B121" i="181"/>
  <c r="B122" i="181"/>
  <c r="B123" i="181"/>
  <c r="B124" i="181"/>
  <c r="B125" i="181"/>
  <c r="B126" i="181"/>
  <c r="B127" i="181"/>
  <c r="B128" i="181"/>
  <c r="B129" i="181"/>
  <c r="B130" i="181"/>
  <c r="B131" i="181"/>
  <c r="B132" i="181"/>
  <c r="B133" i="181"/>
  <c r="B134"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82" i="181"/>
  <c r="B83" i="181"/>
  <c r="B84" i="181"/>
  <c r="B85" i="181"/>
  <c r="B86" i="181"/>
  <c r="B87" i="181"/>
  <c r="B88" i="181"/>
  <c r="B89" i="181"/>
  <c r="B90" i="181"/>
  <c r="B91" i="181"/>
  <c r="B92" i="181"/>
  <c r="B93" i="181"/>
  <c r="B94" i="181"/>
  <c r="B95" i="181"/>
  <c r="B96" i="181"/>
  <c r="B97" i="181"/>
  <c r="B98" i="181"/>
  <c r="B99" i="181"/>
  <c r="B100" i="181"/>
  <c r="B101" i="181"/>
  <c r="B102" i="181"/>
  <c r="Q32" i="185"/>
  <c r="R32" i="185"/>
  <c r="S32" i="185" a="1"/>
  <c r="S32" i="185"/>
  <c r="Q33" i="185"/>
  <c r="R33" i="185"/>
  <c r="S33" i="185" a="1"/>
  <c r="S33" i="185"/>
  <c r="Q34" i="185"/>
  <c r="R34" i="185"/>
  <c r="S34" i="185" a="1"/>
  <c r="S34" i="185"/>
  <c r="Q35" i="185"/>
  <c r="R35" i="185"/>
  <c r="S35" i="185" a="1"/>
  <c r="S35" i="185"/>
  <c r="Q36" i="185"/>
  <c r="R36" i="185"/>
  <c r="S36" i="185" a="1"/>
  <c r="S36" i="185"/>
  <c r="Q37" i="185"/>
  <c r="R37" i="185"/>
  <c r="S37" i="185" a="1"/>
  <c r="S37" i="185"/>
  <c r="Q38" i="185"/>
  <c r="R38" i="185"/>
  <c r="S38" i="185" a="1"/>
  <c r="S38" i="185"/>
  <c r="Q39" i="185"/>
  <c r="R39" i="185"/>
  <c r="S39" i="185" a="1"/>
  <c r="S39" i="185"/>
  <c r="Q40" i="185"/>
  <c r="R40" i="185"/>
  <c r="S40" i="185" a="1"/>
  <c r="S40" i="185"/>
  <c r="Q41" i="185"/>
  <c r="R41" i="185"/>
  <c r="S41" i="185" a="1"/>
  <c r="S41" i="185"/>
  <c r="Q42" i="185"/>
  <c r="R42" i="185"/>
  <c r="S42" i="185" a="1"/>
  <c r="S42" i="185"/>
  <c r="Q43" i="185"/>
  <c r="R43" i="185"/>
  <c r="S43" i="185" a="1"/>
  <c r="S43" i="185"/>
  <c r="Q44" i="185"/>
  <c r="R44" i="185"/>
  <c r="S44" i="185" a="1"/>
  <c r="S44" i="185"/>
  <c r="Q45" i="185"/>
  <c r="R45" i="185"/>
  <c r="S45" i="185" a="1"/>
  <c r="S45" i="185"/>
  <c r="Q16" i="185"/>
  <c r="S16" i="185" s="1" a="1"/>
  <c r="S16" i="185" s="1"/>
  <c r="R16" i="185"/>
  <c r="Q17" i="185"/>
  <c r="S17" i="185" s="1" a="1"/>
  <c r="S17" i="185" s="1"/>
  <c r="R17" i="185"/>
  <c r="Q18" i="185"/>
  <c r="S18" i="185" s="1" a="1"/>
  <c r="S18" i="185" s="1"/>
  <c r="R18" i="185"/>
  <c r="Q19" i="185"/>
  <c r="S19" i="185" s="1" a="1"/>
  <c r="S19" i="185" s="1"/>
  <c r="R19" i="185"/>
  <c r="Q20" i="185"/>
  <c r="S20" i="185" s="1" a="1"/>
  <c r="S20" i="185" s="1"/>
  <c r="R20" i="185"/>
  <c r="Q21" i="185"/>
  <c r="S21" i="185" s="1" a="1"/>
  <c r="S21" i="185" s="1"/>
  <c r="R21" i="185"/>
  <c r="Q22" i="185"/>
  <c r="S22" i="185" s="1" a="1"/>
  <c r="S22" i="185" s="1"/>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B31" i="185"/>
  <c r="B32" i="185"/>
  <c r="B15" i="185"/>
  <c r="C15" i="185"/>
  <c r="C16" i="185"/>
  <c r="B16" i="185"/>
  <c r="Q29" i="180"/>
  <c r="S29" i="180" s="1" a="1"/>
  <c r="S29" i="180" s="1"/>
  <c r="R29" i="180"/>
  <c r="Q30" i="180"/>
  <c r="R30" i="180"/>
  <c r="S30" i="180" a="1"/>
  <c r="S30" i="180"/>
  <c r="Q31" i="180"/>
  <c r="S31" i="180" s="1" a="1"/>
  <c r="S31" i="180" s="1"/>
  <c r="R31" i="180"/>
  <c r="Q32" i="180"/>
  <c r="R32" i="180"/>
  <c r="S32" i="180" a="1"/>
  <c r="S32" i="180"/>
  <c r="Q33" i="180"/>
  <c r="S33" i="180" s="1" a="1"/>
  <c r="S33" i="180" s="1"/>
  <c r="R33" i="180"/>
  <c r="Q34" i="180"/>
  <c r="R34" i="180"/>
  <c r="S34" i="180" a="1"/>
  <c r="S34" i="180"/>
  <c r="Q35" i="180"/>
  <c r="S35" i="180" s="1" a="1"/>
  <c r="S35" i="180" s="1"/>
  <c r="R35" i="180"/>
  <c r="Q36" i="180"/>
  <c r="R36" i="180"/>
  <c r="S36" i="180" a="1"/>
  <c r="S36" i="180"/>
  <c r="Q37" i="180"/>
  <c r="S37" i="180" s="1" a="1"/>
  <c r="S37" i="180" s="1"/>
  <c r="R37" i="180"/>
  <c r="Q38" i="180"/>
  <c r="R38" i="180"/>
  <c r="S38" i="180" a="1"/>
  <c r="S38" i="180"/>
  <c r="Q39" i="180"/>
  <c r="S39" i="180" s="1" a="1"/>
  <c r="S39" i="180" s="1"/>
  <c r="R39" i="180"/>
  <c r="Q40" i="180"/>
  <c r="R40" i="180"/>
  <c r="S40" i="180" a="1"/>
  <c r="S40" i="180"/>
  <c r="Q41" i="180"/>
  <c r="S41" i="180" s="1" a="1"/>
  <c r="S41" i="180" s="1"/>
  <c r="R41" i="180"/>
  <c r="Q42" i="180"/>
  <c r="R42" i="180"/>
  <c r="S42" i="180" a="1"/>
  <c r="S42" i="180"/>
  <c r="Q43" i="180"/>
  <c r="S43" i="180" s="1" a="1"/>
  <c r="S43" i="180" s="1"/>
  <c r="R43" i="180"/>
  <c r="Q44" i="180"/>
  <c r="R44" i="180"/>
  <c r="S44" i="180" a="1"/>
  <c r="S44" i="180"/>
  <c r="Q45" i="180"/>
  <c r="S45" i="180" s="1" a="1"/>
  <c r="S45" i="180" s="1"/>
  <c r="R45" i="180"/>
  <c r="Q46" i="180"/>
  <c r="R46" i="180"/>
  <c r="S46" i="180" a="1"/>
  <c r="S46" i="180"/>
  <c r="Q47" i="180"/>
  <c r="S47" i="180" s="1" a="1"/>
  <c r="S47" i="180" s="1"/>
  <c r="R47" i="180"/>
  <c r="Q48" i="180"/>
  <c r="R48" i="180"/>
  <c r="S48" i="180" a="1"/>
  <c r="S48" i="180"/>
  <c r="Q49" i="180"/>
  <c r="S49" i="180" s="1" a="1"/>
  <c r="S49" i="180" s="1"/>
  <c r="R49" i="180"/>
  <c r="Q50" i="180"/>
  <c r="R50" i="180"/>
  <c r="S50" i="180" a="1"/>
  <c r="S50" i="180"/>
  <c r="Q51" i="180"/>
  <c r="S51" i="180" s="1" a="1"/>
  <c r="S51" i="180" s="1"/>
  <c r="R51" i="180"/>
  <c r="Q52" i="180"/>
  <c r="R52" i="180"/>
  <c r="S52" i="180" a="1"/>
  <c r="S52" i="180"/>
  <c r="Q53" i="180"/>
  <c r="S53" i="180" s="1" a="1"/>
  <c r="S53" i="180" s="1"/>
  <c r="R53" i="180"/>
  <c r="Q54" i="180"/>
  <c r="R54" i="180"/>
  <c r="S54" i="180" a="1"/>
  <c r="S54" i="180"/>
  <c r="Q55" i="180"/>
  <c r="S55" i="180" s="1" a="1"/>
  <c r="S55" i="180" s="1"/>
  <c r="R55" i="180"/>
  <c r="Q56" i="180"/>
  <c r="R56" i="180"/>
  <c r="S56" i="180" a="1"/>
  <c r="S56" i="180"/>
  <c r="Q57" i="180"/>
  <c r="S57" i="180" s="1" a="1"/>
  <c r="S57" i="180" s="1"/>
  <c r="R57" i="180"/>
  <c r="Q58" i="180"/>
  <c r="R58" i="180"/>
  <c r="S58" i="180" a="1"/>
  <c r="S58" i="180"/>
  <c r="Q59" i="180"/>
  <c r="S59" i="180" s="1" a="1"/>
  <c r="S59" i="180" s="1"/>
  <c r="R59" i="180"/>
  <c r="Q60" i="180"/>
  <c r="R60" i="180"/>
  <c r="S60" i="180" a="1"/>
  <c r="S60" i="180"/>
  <c r="Q61" i="180"/>
  <c r="S61" i="180" s="1" a="1"/>
  <c r="S61" i="180" s="1"/>
  <c r="R61" i="180"/>
  <c r="Q62" i="180"/>
  <c r="R62" i="180"/>
  <c r="S62" i="180" a="1"/>
  <c r="S62" i="180"/>
  <c r="Q63" i="180"/>
  <c r="S63" i="180" s="1" a="1"/>
  <c r="S63" i="180" s="1"/>
  <c r="R63" i="180"/>
  <c r="Q64" i="180"/>
  <c r="R64" i="180"/>
  <c r="S64" i="180" a="1"/>
  <c r="S64" i="180"/>
  <c r="Q65" i="180"/>
  <c r="S65" i="180" s="1" a="1"/>
  <c r="S65" i="180" s="1"/>
  <c r="R65" i="180"/>
  <c r="Q66" i="180"/>
  <c r="R66" i="180"/>
  <c r="S66" i="180" a="1"/>
  <c r="S66" i="180"/>
  <c r="Q67" i="180"/>
  <c r="S67" i="180" s="1" a="1"/>
  <c r="S67" i="180" s="1"/>
  <c r="R67" i="180"/>
  <c r="Q68" i="180"/>
  <c r="R68" i="180"/>
  <c r="S68" i="180" a="1"/>
  <c r="S68" i="180"/>
  <c r="Q69" i="180"/>
  <c r="S69" i="180" s="1" a="1"/>
  <c r="S69" i="180" s="1"/>
  <c r="R69" i="180"/>
  <c r="Q70" i="180"/>
  <c r="R70" i="180"/>
  <c r="S70" i="180" a="1"/>
  <c r="S70" i="180"/>
  <c r="Q71" i="180"/>
  <c r="S71" i="180" s="1" a="1"/>
  <c r="S71" i="180" s="1"/>
  <c r="R71" i="180"/>
  <c r="Q72" i="180"/>
  <c r="R72" i="180"/>
  <c r="S72" i="180" a="1"/>
  <c r="S72" i="180"/>
  <c r="Q73" i="180"/>
  <c r="S73" i="180" s="1" a="1"/>
  <c r="S73" i="180" s="1"/>
  <c r="R73" i="180"/>
  <c r="Q74" i="180"/>
  <c r="R74" i="180"/>
  <c r="S74" i="180" a="1"/>
  <c r="S74" i="180"/>
  <c r="Q75" i="180"/>
  <c r="S75" i="180" s="1" a="1"/>
  <c r="S75" i="180" s="1"/>
  <c r="R75" i="180"/>
  <c r="Q76" i="180"/>
  <c r="R76" i="180"/>
  <c r="S76" i="180" a="1"/>
  <c r="S76" i="180"/>
  <c r="Q77" i="180"/>
  <c r="S77" i="180" s="1" a="1"/>
  <c r="S77" i="180" s="1"/>
  <c r="R77" i="180"/>
  <c r="Q78" i="180"/>
  <c r="R78" i="180"/>
  <c r="S78" i="180" a="1"/>
  <c r="S78" i="180"/>
  <c r="Q79" i="180"/>
  <c r="S79" i="180" s="1" a="1"/>
  <c r="S79" i="180" s="1"/>
  <c r="R79" i="180"/>
  <c r="Q80" i="180"/>
  <c r="R80" i="180"/>
  <c r="S80" i="180" a="1"/>
  <c r="S80" i="180"/>
  <c r="Q81" i="180"/>
  <c r="S81" i="180" s="1" a="1"/>
  <c r="S81" i="180" s="1"/>
  <c r="R81" i="180"/>
  <c r="Q82" i="180"/>
  <c r="R82" i="180"/>
  <c r="S82" i="180" a="1"/>
  <c r="S82" i="180"/>
  <c r="Q83" i="180"/>
  <c r="S83" i="180" s="1" a="1"/>
  <c r="S83" i="180" s="1"/>
  <c r="R83" i="180"/>
  <c r="Q84" i="180"/>
  <c r="R84" i="180"/>
  <c r="S84" i="180" a="1"/>
  <c r="S84" i="180"/>
  <c r="Q85" i="180"/>
  <c r="S85" i="180" s="1" a="1"/>
  <c r="S85" i="180" s="1"/>
  <c r="R85" i="180"/>
  <c r="Q86" i="180"/>
  <c r="R86" i="180"/>
  <c r="S86" i="180" a="1"/>
  <c r="S86" i="180"/>
  <c r="Q87" i="180"/>
  <c r="S87" i="180" s="1" a="1"/>
  <c r="S87" i="180" s="1"/>
  <c r="R87" i="180"/>
  <c r="Q88" i="180"/>
  <c r="R88" i="180"/>
  <c r="S88" i="180" a="1"/>
  <c r="S88" i="180"/>
  <c r="Q89" i="180"/>
  <c r="S89" i="180" s="1" a="1"/>
  <c r="S89" i="180" s="1"/>
  <c r="R89" i="180"/>
  <c r="Q90" i="180"/>
  <c r="R90" i="180"/>
  <c r="S90" i="180" a="1"/>
  <c r="S90" i="180"/>
  <c r="Q91" i="180"/>
  <c r="S91" i="180" s="1" a="1"/>
  <c r="S91" i="180" s="1"/>
  <c r="R91" i="180"/>
  <c r="Q92" i="180"/>
  <c r="R92" i="180"/>
  <c r="S92" i="180" a="1"/>
  <c r="S92" i="180"/>
  <c r="Q93" i="180"/>
  <c r="S93" i="180" s="1" a="1"/>
  <c r="S93" i="180" s="1"/>
  <c r="R93" i="180"/>
  <c r="Q94" i="180"/>
  <c r="R94" i="180"/>
  <c r="S94" i="180" a="1"/>
  <c r="S94" i="180"/>
  <c r="Q95" i="180"/>
  <c r="S95" i="180" s="1" a="1"/>
  <c r="S95" i="180" s="1"/>
  <c r="R95" i="180"/>
  <c r="Q96" i="180"/>
  <c r="R96" i="180"/>
  <c r="S96" i="180" a="1"/>
  <c r="S96" i="180"/>
  <c r="Q97" i="180"/>
  <c r="S97" i="180" s="1" a="1"/>
  <c r="S97" i="180" s="1"/>
  <c r="R97" i="180"/>
  <c r="Q98" i="180"/>
  <c r="R98" i="180"/>
  <c r="S98" i="180" a="1"/>
  <c r="S98" i="180"/>
  <c r="Q99" i="180"/>
  <c r="S99" i="180" s="1" a="1"/>
  <c r="S99" i="180" s="1"/>
  <c r="R99" i="180"/>
  <c r="Q100" i="180"/>
  <c r="R100" i="180"/>
  <c r="S100" i="180" a="1"/>
  <c r="S100" i="180"/>
  <c r="Q101" i="180"/>
  <c r="S101" i="180" s="1" a="1"/>
  <c r="S101" i="180" s="1"/>
  <c r="R101" i="180"/>
  <c r="Q102" i="180"/>
  <c r="R102" i="180"/>
  <c r="S102" i="180" a="1"/>
  <c r="S102" i="180"/>
  <c r="Q103" i="180"/>
  <c r="S103" i="180" s="1" a="1"/>
  <c r="S103" i="180" s="1"/>
  <c r="R103" i="180"/>
  <c r="Q104" i="180"/>
  <c r="R104" i="180"/>
  <c r="S104" i="180" a="1"/>
  <c r="S104" i="180"/>
  <c r="Q105" i="180"/>
  <c r="S105" i="180" s="1" a="1"/>
  <c r="S105" i="180" s="1"/>
  <c r="R105" i="180"/>
  <c r="Q106" i="180"/>
  <c r="R106" i="180"/>
  <c r="S106" i="180" a="1"/>
  <c r="S106" i="180"/>
  <c r="Q107" i="180"/>
  <c r="S107" i="180" s="1" a="1"/>
  <c r="S107" i="180" s="1"/>
  <c r="R107" i="180"/>
  <c r="Q108" i="180"/>
  <c r="R108" i="180"/>
  <c r="S108" i="180" a="1"/>
  <c r="S108" i="180"/>
  <c r="Q109" i="180"/>
  <c r="S109" i="180" s="1" a="1"/>
  <c r="S109" i="180" s="1"/>
  <c r="R109" i="180"/>
  <c r="Q110" i="180"/>
  <c r="R110" i="180"/>
  <c r="S110" i="180" a="1"/>
  <c r="S110" i="180"/>
  <c r="Q111" i="180"/>
  <c r="S111" i="180" s="1" a="1"/>
  <c r="S111" i="180" s="1"/>
  <c r="R111" i="180"/>
  <c r="Q112" i="180"/>
  <c r="R112" i="180"/>
  <c r="S112" i="180" a="1"/>
  <c r="S112" i="180"/>
  <c r="Q113" i="180"/>
  <c r="S113" i="180" s="1" a="1"/>
  <c r="S113" i="180" s="1"/>
  <c r="R113" i="180"/>
  <c r="Q114" i="180"/>
  <c r="R114" i="180"/>
  <c r="S114" i="180" a="1"/>
  <c r="S114" i="180"/>
  <c r="Q115" i="180"/>
  <c r="S115" i="180" s="1" a="1"/>
  <c r="S115" i="180" s="1"/>
  <c r="R115" i="180"/>
  <c r="Q116" i="180"/>
  <c r="R116" i="180"/>
  <c r="S116" i="180" a="1"/>
  <c r="S116" i="180"/>
  <c r="Q117" i="180"/>
  <c r="S117" i="180" s="1" a="1"/>
  <c r="S117" i="180" s="1"/>
  <c r="R117" i="180"/>
  <c r="Q118" i="180"/>
  <c r="R118" i="180"/>
  <c r="S118" i="180" a="1"/>
  <c r="S118" i="180"/>
  <c r="Q119" i="180"/>
  <c r="S119" i="180" s="1" a="1"/>
  <c r="S119" i="180" s="1"/>
  <c r="R119" i="180"/>
  <c r="Q120" i="180"/>
  <c r="R120" i="180"/>
  <c r="S120" i="180" a="1"/>
  <c r="S120" i="180"/>
  <c r="Q121" i="180"/>
  <c r="S121" i="180" s="1" a="1"/>
  <c r="S121" i="180" s="1"/>
  <c r="R121" i="180"/>
  <c r="Q122" i="180"/>
  <c r="R122" i="180"/>
  <c r="S122" i="180" a="1"/>
  <c r="S122" i="180"/>
  <c r="Q123" i="180"/>
  <c r="S123" i="180" s="1" a="1"/>
  <c r="S123" i="180" s="1"/>
  <c r="R123" i="180"/>
  <c r="Q124" i="180"/>
  <c r="R124" i="180"/>
  <c r="S124" i="180" a="1"/>
  <c r="S124" i="180"/>
  <c r="Q125" i="180"/>
  <c r="S125" i="180" s="1" a="1"/>
  <c r="S125" i="180" s="1"/>
  <c r="R125" i="180"/>
  <c r="Q126" i="180"/>
  <c r="R126" i="180"/>
  <c r="S126" i="180" a="1"/>
  <c r="S126" i="180"/>
  <c r="Q127" i="180"/>
  <c r="S127" i="180" s="1" a="1"/>
  <c r="S127" i="180" s="1"/>
  <c r="R127" i="180"/>
  <c r="Q128" i="180"/>
  <c r="R128" i="180"/>
  <c r="S128" i="180" a="1"/>
  <c r="S128" i="180"/>
  <c r="Q129" i="180"/>
  <c r="S129" i="180" s="1" a="1"/>
  <c r="S129" i="180" s="1"/>
  <c r="R129" i="180"/>
  <c r="Q130" i="180"/>
  <c r="R130" i="180"/>
  <c r="S130" i="180" a="1"/>
  <c r="S130" i="180"/>
  <c r="Q131" i="180"/>
  <c r="S131" i="180" s="1" a="1"/>
  <c r="S131" i="180" s="1"/>
  <c r="R131" i="180"/>
  <c r="Q132" i="180"/>
  <c r="R132" i="180"/>
  <c r="S132" i="180" a="1"/>
  <c r="S132" i="180"/>
  <c r="Q27" i="180"/>
  <c r="S27" i="180" s="1" a="1"/>
  <c r="S27" i="180" s="1"/>
  <c r="R27" i="180"/>
  <c r="Q28" i="180"/>
  <c r="S28" i="180" s="1" a="1"/>
  <c r="S28" i="180" s="1"/>
  <c r="R28" i="180"/>
  <c r="Q16" i="180"/>
  <c r="S16" i="180" s="1" a="1"/>
  <c r="S16" i="180" s="1"/>
  <c r="R16" i="180"/>
  <c r="Q17" i="180"/>
  <c r="S17" i="180" s="1" a="1"/>
  <c r="S17" i="180" s="1"/>
  <c r="R17" i="180"/>
  <c r="Q18" i="180"/>
  <c r="S18" i="180" s="1" a="1"/>
  <c r="S18" i="180" s="1"/>
  <c r="R18" i="180"/>
  <c r="Q19" i="180"/>
  <c r="S19" i="180" s="1" a="1"/>
  <c r="S19" i="180" s="1"/>
  <c r="R19" i="180"/>
  <c r="Q20" i="180"/>
  <c r="S20" i="180" s="1" a="1"/>
  <c r="S20" i="180" s="1"/>
  <c r="R20" i="180"/>
  <c r="Q21" i="180"/>
  <c r="S21" i="180" s="1" a="1"/>
  <c r="S21" i="180" s="1"/>
  <c r="R21" i="180"/>
  <c r="Q22" i="180"/>
  <c r="S22" i="180" s="1" a="1"/>
  <c r="S22" i="180" s="1"/>
  <c r="R22" i="180"/>
  <c r="Q23" i="180"/>
  <c r="S23" i="180" s="1" a="1"/>
  <c r="S23" i="180" s="1"/>
  <c r="R23" i="180"/>
  <c r="Q24" i="180"/>
  <c r="S24" i="180" s="1" a="1"/>
  <c r="S24" i="180" s="1"/>
  <c r="R24" i="180"/>
  <c r="Q25" i="180"/>
  <c r="S25" i="180" s="1" a="1"/>
  <c r="S25" i="180" s="1"/>
  <c r="R25" i="180"/>
  <c r="Q26" i="180"/>
  <c r="S26" i="180" s="1" a="1"/>
  <c r="S26" i="180" s="1"/>
  <c r="R26" i="180"/>
  <c r="I27" i="180"/>
  <c r="J27" i="180"/>
  <c r="K27" i="180"/>
  <c r="L27" i="180"/>
  <c r="M27" i="180"/>
  <c r="N27" i="180"/>
  <c r="I28" i="180"/>
  <c r="J28" i="180"/>
  <c r="K28" i="180"/>
  <c r="L28" i="180"/>
  <c r="M28" i="180"/>
  <c r="N28" i="180"/>
  <c r="I29" i="180"/>
  <c r="J29" i="180"/>
  <c r="K29" i="180"/>
  <c r="L29" i="180"/>
  <c r="M29" i="180"/>
  <c r="N29" i="180"/>
  <c r="I30" i="180"/>
  <c r="J30" i="180"/>
  <c r="K30" i="180"/>
  <c r="L30" i="180"/>
  <c r="M30" i="180"/>
  <c r="N30" i="180"/>
  <c r="I31" i="180"/>
  <c r="J31" i="180"/>
  <c r="K31" i="180"/>
  <c r="L31" i="180"/>
  <c r="M31" i="180"/>
  <c r="N31" i="180"/>
  <c r="I32" i="180"/>
  <c r="J32" i="180"/>
  <c r="K32" i="180"/>
  <c r="L32" i="180"/>
  <c r="M32" i="180"/>
  <c r="N32" i="180"/>
  <c r="I33" i="180"/>
  <c r="J33" i="180"/>
  <c r="K33" i="180"/>
  <c r="L33" i="180"/>
  <c r="M33" i="180"/>
  <c r="N33"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B27" i="180"/>
  <c r="C27"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R9" i="169"/>
  <c r="R10" i="169"/>
  <c r="R11" i="169"/>
  <c r="R12" i="169"/>
  <c r="R13" i="169"/>
  <c r="R14" i="169"/>
  <c r="R15" i="169"/>
  <c r="R16" i="169"/>
  <c r="R17" i="169"/>
  <c r="R18" i="169"/>
  <c r="R19" i="169"/>
  <c r="R20" i="169"/>
  <c r="R21" i="169"/>
  <c r="R22" i="169"/>
  <c r="R23" i="169"/>
  <c r="R24" i="169"/>
  <c r="R25" i="169"/>
  <c r="R26" i="169"/>
  <c r="R27" i="169"/>
  <c r="R28" i="169"/>
  <c r="R29" i="169"/>
  <c r="R30" i="169"/>
  <c r="R31" i="169"/>
  <c r="R32" i="169"/>
  <c r="R33" i="169"/>
  <c r="R34" i="169"/>
  <c r="R35" i="169"/>
  <c r="R36" i="169"/>
  <c r="R37" i="169"/>
  <c r="R38" i="169"/>
  <c r="R39" i="169"/>
  <c r="R40" i="169"/>
  <c r="R41" i="169"/>
  <c r="R42" i="169"/>
  <c r="R43" i="169"/>
  <c r="R44" i="169"/>
  <c r="R45" i="169"/>
  <c r="R46" i="169"/>
  <c r="R47" i="169"/>
  <c r="R48" i="169"/>
  <c r="R49" i="169"/>
  <c r="R50" i="169"/>
  <c r="R51" i="169"/>
  <c r="R52" i="169"/>
  <c r="R53" i="169"/>
  <c r="R54" i="169"/>
  <c r="R55" i="169"/>
  <c r="R56" i="169"/>
  <c r="R57" i="169"/>
  <c r="R58" i="169"/>
  <c r="R59" i="169"/>
  <c r="R60" i="169"/>
  <c r="R61" i="169"/>
  <c r="P9" i="169"/>
  <c r="P10" i="169"/>
  <c r="P11" i="169"/>
  <c r="P12" i="169"/>
  <c r="P13" i="169"/>
  <c r="P14" i="169"/>
  <c r="P15" i="169"/>
  <c r="P16" i="169"/>
  <c r="P17" i="169"/>
  <c r="P18" i="169"/>
  <c r="P19" i="169"/>
  <c r="P20" i="169"/>
  <c r="P21" i="169"/>
  <c r="P22" i="169"/>
  <c r="P23" i="169"/>
  <c r="P24" i="169"/>
  <c r="P25" i="169"/>
  <c r="P26" i="169"/>
  <c r="P27" i="169"/>
  <c r="P28" i="169"/>
  <c r="P29" i="169"/>
  <c r="P30" i="169"/>
  <c r="P31" i="169"/>
  <c r="P32" i="169"/>
  <c r="P33" i="169"/>
  <c r="P34" i="169"/>
  <c r="P35" i="169"/>
  <c r="P36" i="169"/>
  <c r="P37" i="169"/>
  <c r="P38" i="169"/>
  <c r="P39" i="169"/>
  <c r="P40" i="169"/>
  <c r="P41" i="169"/>
  <c r="P42" i="169"/>
  <c r="P43" i="169"/>
  <c r="P44" i="169"/>
  <c r="P45" i="169"/>
  <c r="P46" i="169"/>
  <c r="P47" i="169"/>
  <c r="P48" i="169"/>
  <c r="P49" i="169"/>
  <c r="P50" i="169"/>
  <c r="P51" i="169"/>
  <c r="P52" i="169"/>
  <c r="P53" i="169"/>
  <c r="P54" i="169"/>
  <c r="P55" i="169"/>
  <c r="P56" i="169"/>
  <c r="P57" i="169"/>
  <c r="P58" i="169"/>
  <c r="P59" i="169"/>
  <c r="P60" i="169"/>
  <c r="P61" i="169"/>
  <c r="N9" i="169"/>
  <c r="N10" i="169"/>
  <c r="N11" i="169"/>
  <c r="N12" i="169"/>
  <c r="N13" i="169"/>
  <c r="N14" i="169"/>
  <c r="N15" i="169"/>
  <c r="N16" i="169"/>
  <c r="N17" i="169"/>
  <c r="N18" i="169"/>
  <c r="N19" i="169"/>
  <c r="N20" i="169"/>
  <c r="N21" i="169"/>
  <c r="N22" i="169"/>
  <c r="N23" i="169"/>
  <c r="N24" i="169"/>
  <c r="N25" i="169"/>
  <c r="N26" i="169"/>
  <c r="N27" i="169"/>
  <c r="N28" i="169"/>
  <c r="N29" i="169"/>
  <c r="N30" i="169"/>
  <c r="N31" i="169"/>
  <c r="N32" i="169"/>
  <c r="N33" i="169"/>
  <c r="N34" i="169"/>
  <c r="N35" i="169"/>
  <c r="N36" i="169"/>
  <c r="N37" i="169"/>
  <c r="N38" i="169"/>
  <c r="N39" i="169"/>
  <c r="N40" i="169"/>
  <c r="N41" i="169"/>
  <c r="N42" i="169"/>
  <c r="N43" i="169"/>
  <c r="N44" i="169"/>
  <c r="N45" i="169"/>
  <c r="N46" i="169"/>
  <c r="N47" i="169"/>
  <c r="N48" i="169"/>
  <c r="N49" i="169"/>
  <c r="N50" i="169"/>
  <c r="N51" i="169"/>
  <c r="N52" i="169"/>
  <c r="N53" i="169"/>
  <c r="N54" i="169"/>
  <c r="N55" i="169"/>
  <c r="N56" i="169"/>
  <c r="N57" i="169"/>
  <c r="N58" i="169"/>
  <c r="N59" i="169"/>
  <c r="N60" i="169"/>
  <c r="N61" i="169"/>
  <c r="L9" i="169"/>
  <c r="L10" i="169"/>
  <c r="L11" i="169"/>
  <c r="L12" i="169"/>
  <c r="L13" i="169"/>
  <c r="L14" i="169"/>
  <c r="L15" i="169"/>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L45" i="169"/>
  <c r="L46" i="169"/>
  <c r="L47" i="169"/>
  <c r="L48" i="169"/>
  <c r="L49" i="169"/>
  <c r="L50" i="169"/>
  <c r="L51" i="169"/>
  <c r="L52" i="169"/>
  <c r="L53" i="169"/>
  <c r="L54" i="169"/>
  <c r="L55" i="169"/>
  <c r="L56" i="169"/>
  <c r="L57" i="169"/>
  <c r="L58" i="169"/>
  <c r="L59" i="169"/>
  <c r="L60" i="169"/>
  <c r="L61" i="169"/>
  <c r="B29" i="180"/>
  <c r="C29" i="180"/>
  <c r="C17" i="180"/>
  <c r="C18" i="180"/>
  <c r="B18" i="180"/>
  <c r="B17" i="180"/>
  <c r="B19" i="215"/>
  <c r="B20" i="215"/>
  <c r="C167" i="212"/>
  <c r="C152" i="212"/>
  <c r="C153" i="212"/>
  <c r="C154" i="212"/>
  <c r="C155" i="212"/>
  <c r="C156" i="212"/>
  <c r="C157" i="212"/>
  <c r="C158" i="212"/>
  <c r="C160" i="212"/>
  <c r="C161" i="212"/>
  <c r="C162" i="212"/>
  <c r="C163" i="212"/>
  <c r="C164" i="212"/>
  <c r="C165" i="212"/>
  <c r="C166" i="212"/>
  <c r="C134" i="212"/>
  <c r="C135" i="212"/>
  <c r="C136" i="212"/>
  <c r="C137" i="212"/>
  <c r="C138" i="212"/>
  <c r="C139" i="212"/>
  <c r="C140" i="212"/>
  <c r="C141" i="212"/>
  <c r="C142" i="212"/>
  <c r="C145" i="212"/>
  <c r="C146" i="212"/>
  <c r="C147" i="212"/>
  <c r="C148" i="212"/>
  <c r="C149" i="212"/>
  <c r="C150" i="212"/>
  <c r="C151" i="212"/>
  <c r="C104" i="212"/>
  <c r="C105" i="212"/>
  <c r="C106" i="212"/>
  <c r="C107" i="212"/>
  <c r="C108" i="212"/>
  <c r="C109" i="212"/>
  <c r="C110" i="212"/>
  <c r="C111" i="212"/>
  <c r="C112" i="212"/>
  <c r="C113" i="212"/>
  <c r="C114"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3" i="212"/>
  <c r="C131" i="212"/>
  <c r="C132" i="212"/>
  <c r="C130" i="212"/>
  <c r="R41" i="211"/>
  <c r="R42" i="211"/>
  <c r="P41" i="211"/>
  <c r="P42" i="211"/>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68" i="212"/>
  <c r="C69" i="212"/>
  <c r="C70" i="212"/>
  <c r="C71" i="212"/>
  <c r="C72"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29" i="212"/>
  <c r="C30" i="212"/>
  <c r="C31" i="212"/>
  <c r="C32" i="212"/>
  <c r="C33" i="212"/>
  <c r="C34" i="212"/>
  <c r="C35" i="212"/>
  <c r="C36" i="212"/>
  <c r="C37" i="212"/>
  <c r="C38" i="212"/>
  <c r="C39" i="212"/>
  <c r="C40" i="212"/>
  <c r="C41" i="212"/>
  <c r="L12" i="211"/>
  <c r="N12" i="211" s="1"/>
  <c r="L13" i="211"/>
  <c r="P13" i="211" s="1"/>
  <c r="N13" i="211"/>
  <c r="R13" i="211"/>
  <c r="L14" i="211"/>
  <c r="N14" i="211" s="1"/>
  <c r="L15" i="211"/>
  <c r="P15" i="211" s="1"/>
  <c r="N15" i="211"/>
  <c r="R15" i="211"/>
  <c r="L16" i="211"/>
  <c r="N16" i="211" s="1"/>
  <c r="L17" i="211"/>
  <c r="P17" i="211" s="1"/>
  <c r="N17" i="211"/>
  <c r="R17" i="211"/>
  <c r="L18" i="211"/>
  <c r="N18" i="211" s="1"/>
  <c r="C57" i="212" s="1"/>
  <c r="L19" i="211"/>
  <c r="P19" i="211" s="1"/>
  <c r="N19" i="211"/>
  <c r="C58" i="212" s="1"/>
  <c r="L20" i="211"/>
  <c r="N20" i="211" s="1"/>
  <c r="L21" i="211"/>
  <c r="P21" i="211" s="1"/>
  <c r="N21" i="211"/>
  <c r="R21" i="211"/>
  <c r="L22" i="211"/>
  <c r="N22" i="211" s="1"/>
  <c r="L23" i="211"/>
  <c r="P23" i="211" s="1"/>
  <c r="N23" i="211"/>
  <c r="R23" i="211"/>
  <c r="L24" i="211"/>
  <c r="N24" i="211" s="1"/>
  <c r="L25" i="211"/>
  <c r="P25" i="211" s="1"/>
  <c r="N25" i="211"/>
  <c r="R25" i="211"/>
  <c r="L26" i="211"/>
  <c r="N26" i="211" s="1"/>
  <c r="L27" i="211"/>
  <c r="P27" i="211" s="1"/>
  <c r="N27" i="211"/>
  <c r="R27" i="211"/>
  <c r="L28" i="211"/>
  <c r="N28" i="211" s="1"/>
  <c r="L29" i="211"/>
  <c r="P29" i="211" s="1"/>
  <c r="N29" i="211"/>
  <c r="R29" i="211"/>
  <c r="L30" i="211"/>
  <c r="N30" i="211" s="1"/>
  <c r="L31" i="211"/>
  <c r="P31" i="211" s="1"/>
  <c r="N31" i="211"/>
  <c r="R31" i="211"/>
  <c r="L32" i="211"/>
  <c r="N32" i="211" s="1"/>
  <c r="L33" i="211"/>
  <c r="P33" i="211" s="1"/>
  <c r="N33" i="211"/>
  <c r="R33" i="211"/>
  <c r="L34" i="211"/>
  <c r="N34" i="211" s="1"/>
  <c r="C73" i="212" s="1"/>
  <c r="L35" i="211"/>
  <c r="P35" i="211" s="1"/>
  <c r="N35" i="211"/>
  <c r="R35" i="211"/>
  <c r="L36" i="211"/>
  <c r="N36" i="211" s="1"/>
  <c r="L37" i="211"/>
  <c r="P37" i="211" s="1"/>
  <c r="N37" i="211"/>
  <c r="R37" i="211"/>
  <c r="L38" i="211"/>
  <c r="N38" i="211" s="1"/>
  <c r="L39" i="211"/>
  <c r="P39" i="211" s="1"/>
  <c r="N39" i="211"/>
  <c r="R39" i="211"/>
  <c r="L40" i="211"/>
  <c r="N40" i="211" s="1"/>
  <c r="L9" i="211"/>
  <c r="N9" i="211" s="1"/>
  <c r="L10" i="211"/>
  <c r="N10" i="211"/>
  <c r="P10" i="211"/>
  <c r="R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3" i="230"/>
  <c r="C74"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I24" i="217" l="1"/>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P14" i="164"/>
  <c r="C67" i="166" s="1"/>
  <c r="R13" i="164"/>
  <c r="C92" i="166" s="1"/>
  <c r="P13" i="164"/>
  <c r="C66" i="166" s="1"/>
  <c r="P9" i="164"/>
  <c r="N9" i="164"/>
  <c r="C19" i="212"/>
  <c r="R19" i="211"/>
  <c r="C144" i="212" s="1"/>
  <c r="C18" i="212"/>
  <c r="R40" i="211"/>
  <c r="R38" i="211"/>
  <c r="R36" i="211"/>
  <c r="R34" i="211"/>
  <c r="C159" i="212" s="1"/>
  <c r="R32" i="211"/>
  <c r="R30" i="211"/>
  <c r="R28" i="211"/>
  <c r="R26" i="211"/>
  <c r="R24" i="211"/>
  <c r="R22" i="211"/>
  <c r="R20" i="211"/>
  <c r="R18" i="211"/>
  <c r="C143" i="212" s="1"/>
  <c r="R16" i="211"/>
  <c r="R14" i="211"/>
  <c r="R12" i="211"/>
  <c r="P40" i="211"/>
  <c r="P38" i="211"/>
  <c r="P36" i="211"/>
  <c r="P34" i="211"/>
  <c r="C115" i="212" s="1"/>
  <c r="P32" i="211"/>
  <c r="P30" i="211"/>
  <c r="P28" i="211"/>
  <c r="P26" i="211"/>
  <c r="P24" i="211"/>
  <c r="P22" i="211"/>
  <c r="P20" i="211"/>
  <c r="P18" i="211"/>
  <c r="C99" i="212" s="1"/>
  <c r="P16" i="211"/>
  <c r="P14" i="211"/>
  <c r="P12" i="211"/>
  <c r="R11" i="211"/>
  <c r="R9" i="211"/>
  <c r="P11" i="211"/>
  <c r="P9" i="211"/>
  <c r="S47" i="215" a="1"/>
  <c r="S47" i="215" s="1"/>
  <c r="B51" i="216" s="1"/>
  <c r="S49" i="215" a="1"/>
  <c r="S49" i="215" s="1"/>
  <c r="B53" i="216" s="1"/>
  <c r="S23" i="255"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87" i="181"/>
  <c r="B478" i="181"/>
  <c r="B486" i="181"/>
  <c r="B485" i="181"/>
  <c r="S108" i="185" a="1"/>
  <c r="S108" i="185" s="1"/>
  <c r="S95" i="185" a="1"/>
  <c r="S95" i="185" s="1"/>
  <c r="B482"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B484" i="181" s="1"/>
  <c r="R96" i="185"/>
  <c r="Q96" i="185"/>
  <c r="S96" i="185" s="1" a="1"/>
  <c r="S96" i="185" s="1"/>
  <c r="B483" i="181" s="1"/>
  <c r="R95" i="185"/>
  <c r="Q95" i="185"/>
  <c r="R94" i="185"/>
  <c r="Q94" i="185"/>
  <c r="S94" i="185" s="1" a="1"/>
  <c r="S94" i="185" s="1"/>
  <c r="B481" i="181"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Q201" i="184"/>
  <c r="R201" i="184"/>
  <c r="Q202" i="184"/>
  <c r="R202" i="184"/>
  <c r="Q203" i="184"/>
  <c r="S203" i="184" s="1" a="1"/>
  <c r="S203" i="184" s="1"/>
  <c r="R203" i="184"/>
  <c r="Q204" i="184"/>
  <c r="R204" i="184"/>
  <c r="S204" i="184" a="1"/>
  <c r="S204" i="184" s="1"/>
  <c r="Q205" i="184"/>
  <c r="S205" i="184" s="1" a="1"/>
  <c r="S205" i="184" s="1"/>
  <c r="R205" i="184"/>
  <c r="Q206" i="184"/>
  <c r="R206" i="184"/>
  <c r="S206" i="184" a="1"/>
  <c r="S206" i="184" s="1"/>
  <c r="Q207" i="184"/>
  <c r="R207" i="184"/>
  <c r="Q208" i="184"/>
  <c r="R208" i="184"/>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Q180" i="184"/>
  <c r="S180" i="184" s="1" a="1"/>
  <c r="S180" i="184" s="1"/>
  <c r="R180" i="184"/>
  <c r="Q181" i="184"/>
  <c r="R181" i="184"/>
  <c r="S181" i="184" a="1"/>
  <c r="S181" i="184" s="1"/>
  <c r="Q182" i="184"/>
  <c r="S182" i="184" s="1" a="1"/>
  <c r="S182" i="184" s="1"/>
  <c r="R182" i="184"/>
  <c r="Q183" i="184"/>
  <c r="R183" i="184"/>
  <c r="Q184" i="184"/>
  <c r="R184" i="184"/>
  <c r="Q185" i="184"/>
  <c r="R185" i="184"/>
  <c r="S185" i="184" a="1"/>
  <c r="S185" i="184" s="1"/>
  <c r="Q186" i="184"/>
  <c r="S186" i="184" s="1" a="1"/>
  <c r="S186" i="184" s="1"/>
  <c r="R186" i="184"/>
  <c r="Q187" i="184"/>
  <c r="R187" i="184"/>
  <c r="S187" i="184" a="1"/>
  <c r="S187" i="184" s="1"/>
  <c r="Q188" i="184"/>
  <c r="S188" i="184" s="1" a="1"/>
  <c r="S188" i="184" s="1"/>
  <c r="R188" i="184"/>
  <c r="Q189" i="184"/>
  <c r="R189" i="184"/>
  <c r="Q190" i="184"/>
  <c r="R190" i="184"/>
  <c r="Q191" i="184"/>
  <c r="R191" i="184"/>
  <c r="S191" i="184" a="1"/>
  <c r="S191" i="184" s="1"/>
  <c r="Q192" i="184"/>
  <c r="S192" i="184" s="1" a="1"/>
  <c r="S192" i="184" s="1"/>
  <c r="R192" i="184"/>
  <c r="Q193" i="184"/>
  <c r="R193" i="184"/>
  <c r="S193" i="184" a="1"/>
  <c r="S193" i="184" s="1"/>
  <c r="Q194" i="184"/>
  <c r="S194" i="184" s="1" a="1"/>
  <c r="S194" i="184" s="1"/>
  <c r="R194" i="184"/>
  <c r="Q195" i="184"/>
  <c r="R195" i="184"/>
  <c r="Q196" i="184"/>
  <c r="R196" i="184"/>
  <c r="Q197" i="184"/>
  <c r="R197" i="184"/>
  <c r="S197" i="184" a="1"/>
  <c r="S197" i="184" s="1"/>
  <c r="Q198" i="184"/>
  <c r="S198" i="184" s="1" a="1"/>
  <c r="S198" i="184" s="1"/>
  <c r="R198" i="184"/>
  <c r="Q199" i="184"/>
  <c r="R199" i="184"/>
  <c r="S199" i="184" a="1"/>
  <c r="S199" i="184" s="1"/>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R172" i="184"/>
  <c r="Q173" i="184"/>
  <c r="S173" i="184" s="1" a="1"/>
  <c r="S173" i="184" s="1"/>
  <c r="R173" i="184"/>
  <c r="Q174" i="184"/>
  <c r="S174" i="184" s="1" a="1"/>
  <c r="S174" i="184" s="1"/>
  <c r="R174" i="184"/>
  <c r="Q175" i="184"/>
  <c r="S175" i="184" s="1" a="1"/>
  <c r="S175" i="184" s="1"/>
  <c r="R175" i="184"/>
  <c r="Q176" i="184"/>
  <c r="S176" i="184" s="1" a="1"/>
  <c r="S176" i="184"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R163" i="184"/>
  <c r="Q164" i="184"/>
  <c r="S164" i="184" s="1" a="1"/>
  <c r="S164" i="184" s="1"/>
  <c r="R164" i="184"/>
  <c r="Q165" i="184"/>
  <c r="R165" i="184"/>
  <c r="Q166" i="184"/>
  <c r="R166" i="184"/>
  <c r="Q17" i="184"/>
  <c r="S17" i="184" s="1" a="1"/>
  <c r="S17" i="184" s="1"/>
  <c r="R17" i="184"/>
  <c r="Q18" i="184"/>
  <c r="R18" i="184"/>
  <c r="Q19" i="184"/>
  <c r="S19" i="184" s="1" a="1"/>
  <c r="S19" i="184" s="1"/>
  <c r="R19" i="184"/>
  <c r="Q20" i="184"/>
  <c r="R20" i="184"/>
  <c r="Q21" i="184"/>
  <c r="R21" i="184"/>
  <c r="Q22" i="184"/>
  <c r="R22" i="184"/>
  <c r="Q23" i="184"/>
  <c r="S23" i="184" s="1" a="1"/>
  <c r="S23" i="184" s="1"/>
  <c r="R23" i="184"/>
  <c r="Q24" i="184"/>
  <c r="R24" i="184"/>
  <c r="Q25" i="184"/>
  <c r="S25" i="184" s="1" a="1"/>
  <c r="S25" i="184" s="1"/>
  <c r="R25" i="184"/>
  <c r="Q26" i="184"/>
  <c r="R26" i="184"/>
  <c r="Q27" i="184"/>
  <c r="R27" i="184"/>
  <c r="Q28" i="184"/>
  <c r="R28" i="184"/>
  <c r="Q29" i="184"/>
  <c r="S29" i="184" s="1" a="1"/>
  <c r="S29" i="184" s="1"/>
  <c r="R29" i="184"/>
  <c r="Q30" i="184"/>
  <c r="R30" i="184"/>
  <c r="Q31" i="184"/>
  <c r="S31" i="184" s="1" a="1"/>
  <c r="S31" i="184" s="1"/>
  <c r="R31" i="184"/>
  <c r="Q32" i="184"/>
  <c r="R32" i="184"/>
  <c r="Q33" i="184"/>
  <c r="R33" i="184"/>
  <c r="Q34" i="184"/>
  <c r="R34" i="184"/>
  <c r="Q35" i="184"/>
  <c r="S35" i="184" s="1" a="1"/>
  <c r="S35" i="184" s="1"/>
  <c r="R35" i="184"/>
  <c r="Q36" i="184"/>
  <c r="R36" i="184"/>
  <c r="Q37" i="184"/>
  <c r="S37" i="184" s="1" a="1"/>
  <c r="S37" i="184" s="1"/>
  <c r="R37" i="184"/>
  <c r="Q38" i="184"/>
  <c r="R38" i="184"/>
  <c r="Q39" i="184"/>
  <c r="R39" i="184"/>
  <c r="Q40" i="184"/>
  <c r="R40" i="184"/>
  <c r="Q41" i="184"/>
  <c r="S41" i="184" s="1" a="1"/>
  <c r="S41" i="184" s="1"/>
  <c r="R41" i="184"/>
  <c r="Q42" i="184"/>
  <c r="R42" i="184"/>
  <c r="Q43" i="184"/>
  <c r="S43" i="184" s="1" a="1"/>
  <c r="S43" i="184" s="1"/>
  <c r="R43" i="184"/>
  <c r="Q44" i="184"/>
  <c r="R44" i="184"/>
  <c r="Q45" i="184"/>
  <c r="R45" i="184"/>
  <c r="Q46" i="184"/>
  <c r="R46" i="184"/>
  <c r="Q47" i="184"/>
  <c r="S47" i="184" s="1" a="1"/>
  <c r="S47" i="184" s="1"/>
  <c r="R47" i="184"/>
  <c r="Q48" i="184"/>
  <c r="R48" i="184"/>
  <c r="Q49" i="184"/>
  <c r="S49" i="184" s="1" a="1"/>
  <c r="S49" i="184" s="1"/>
  <c r="R49" i="184"/>
  <c r="Q50" i="184"/>
  <c r="R50" i="184"/>
  <c r="Q51" i="184"/>
  <c r="R51" i="184"/>
  <c r="Q52" i="184"/>
  <c r="R52" i="184"/>
  <c r="Q53" i="184"/>
  <c r="S53" i="184" s="1" a="1"/>
  <c r="S53" i="184" s="1"/>
  <c r="R53" i="184"/>
  <c r="Q54" i="184"/>
  <c r="R54" i="184"/>
  <c r="Q55" i="184"/>
  <c r="S55" i="184" s="1" a="1"/>
  <c r="S55" i="184" s="1"/>
  <c r="R55" i="184"/>
  <c r="Q56" i="184"/>
  <c r="R56" i="184"/>
  <c r="Q57" i="184"/>
  <c r="R57" i="184"/>
  <c r="Q58" i="184"/>
  <c r="R58" i="184"/>
  <c r="Q59" i="184"/>
  <c r="S59" i="184" s="1" a="1"/>
  <c r="S59" i="184"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R81" i="184"/>
  <c r="Q82" i="184"/>
  <c r="R82" i="184"/>
  <c r="Q83" i="184"/>
  <c r="R83" i="184"/>
  <c r="Q84" i="184"/>
  <c r="R84" i="184"/>
  <c r="Q85" i="184"/>
  <c r="S85" i="184" s="1" a="1"/>
  <c r="S85" i="184" s="1"/>
  <c r="R85" i="184"/>
  <c r="Q86" i="184"/>
  <c r="R86" i="184"/>
  <c r="Q87" i="184"/>
  <c r="R87" i="184"/>
  <c r="Q88" i="184"/>
  <c r="R88" i="184"/>
  <c r="Q89" i="184"/>
  <c r="S89" i="184" s="1" a="1"/>
  <c r="S89" i="184" s="1"/>
  <c r="R89" i="184"/>
  <c r="Q90" i="184"/>
  <c r="S90" i="184" s="1" a="1"/>
  <c r="S90" i="184" s="1"/>
  <c r="R90" i="184"/>
  <c r="Q91" i="184"/>
  <c r="R91" i="184"/>
  <c r="Q92" i="184"/>
  <c r="R92" i="184"/>
  <c r="Q93" i="184"/>
  <c r="R93" i="184"/>
  <c r="Q94" i="184"/>
  <c r="R94" i="184"/>
  <c r="Q95" i="184"/>
  <c r="R95" i="184"/>
  <c r="Q96" i="184"/>
  <c r="R96" i="184"/>
  <c r="Q97" i="184"/>
  <c r="S97" i="184" s="1" a="1"/>
  <c r="S97" i="184" s="1"/>
  <c r="R97" i="184"/>
  <c r="Q98" i="184"/>
  <c r="S98" i="184" s="1" a="1"/>
  <c r="S98" i="184" s="1"/>
  <c r="R98" i="184"/>
  <c r="Q99" i="184"/>
  <c r="R99" i="184"/>
  <c r="Q100" i="184"/>
  <c r="R100" i="184"/>
  <c r="Q101" i="184"/>
  <c r="S101" i="184" s="1" a="1"/>
  <c r="S101" i="184" s="1"/>
  <c r="R101" i="184"/>
  <c r="Q102" i="184"/>
  <c r="R102" i="184"/>
  <c r="Q103" i="184"/>
  <c r="S103" i="184" s="1" a="1"/>
  <c r="S103" i="184" s="1"/>
  <c r="R103" i="184"/>
  <c r="Q104" i="184"/>
  <c r="R104" i="184"/>
  <c r="Q105" i="184"/>
  <c r="R105" i="184"/>
  <c r="Q106" i="184"/>
  <c r="R106" i="184"/>
  <c r="Q107" i="184"/>
  <c r="R107" i="184"/>
  <c r="Q108" i="184"/>
  <c r="R108" i="184"/>
  <c r="Q109" i="184"/>
  <c r="R109" i="184"/>
  <c r="Q110" i="184"/>
  <c r="S110" i="184" s="1" a="1"/>
  <c r="S110" i="184" s="1"/>
  <c r="R110" i="184"/>
  <c r="Q111" i="184"/>
  <c r="R111" i="184"/>
  <c r="Q112" i="184"/>
  <c r="R112" i="184"/>
  <c r="Q113" i="184"/>
  <c r="S113" i="184" s="1" a="1"/>
  <c r="S113" i="184" s="1"/>
  <c r="R113" i="184"/>
  <c r="Q114" i="184"/>
  <c r="S114" i="184" s="1" a="1"/>
  <c r="S114" i="184" s="1"/>
  <c r="R114" i="184"/>
  <c r="Q115" i="184"/>
  <c r="S115" i="184" s="1" a="1"/>
  <c r="S115" i="184" s="1"/>
  <c r="R115" i="184"/>
  <c r="Q116" i="184"/>
  <c r="S116" i="184" s="1" a="1"/>
  <c r="S116" i="184" s="1"/>
  <c r="R116" i="184"/>
  <c r="Q117" i="184"/>
  <c r="R117" i="184"/>
  <c r="Q118" i="184"/>
  <c r="R118" i="184"/>
  <c r="Q119" i="184"/>
  <c r="R119" i="184"/>
  <c r="Q120" i="184"/>
  <c r="R120" i="184"/>
  <c r="S120" i="184" a="1"/>
  <c r="S120" i="184" s="1"/>
  <c r="Q121" i="184"/>
  <c r="S121" i="184" s="1" a="1"/>
  <c r="S121" i="184" s="1"/>
  <c r="R121" i="184"/>
  <c r="Q122" i="184"/>
  <c r="R122" i="184"/>
  <c r="S122" i="184" s="1" a="1"/>
  <c r="S122" i="184" s="1"/>
  <c r="Q123" i="184"/>
  <c r="R123" i="184"/>
  <c r="Q124" i="184"/>
  <c r="R124" i="184"/>
  <c r="Q125" i="184"/>
  <c r="R125" i="184"/>
  <c r="Q126" i="184"/>
  <c r="S126" i="184" s="1" a="1"/>
  <c r="S126" i="184" s="1"/>
  <c r="R126" i="184"/>
  <c r="Q127" i="184"/>
  <c r="R127" i="184"/>
  <c r="Q128" i="184"/>
  <c r="R128" i="184"/>
  <c r="S128" i="184" a="1"/>
  <c r="S128" i="184" s="1"/>
  <c r="Q129" i="184"/>
  <c r="R129" i="184"/>
  <c r="Q130" i="184"/>
  <c r="R130" i="184"/>
  <c r="Q131" i="184"/>
  <c r="S131" i="184" s="1" a="1"/>
  <c r="S131" i="184" s="1"/>
  <c r="R131" i="184"/>
  <c r="Q132" i="184"/>
  <c r="S132" i="184" s="1" a="1"/>
  <c r="S132" i="184" s="1"/>
  <c r="R132" i="184"/>
  <c r="Q133" i="184"/>
  <c r="R133" i="184"/>
  <c r="Q134" i="184"/>
  <c r="S134" i="184" s="1" a="1"/>
  <c r="S134" i="184" s="1"/>
  <c r="R134" i="184"/>
  <c r="Q135" i="184"/>
  <c r="R135" i="184"/>
  <c r="Q136" i="184"/>
  <c r="R136" i="184"/>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R142" i="184"/>
  <c r="Q143" i="184"/>
  <c r="R143" i="184"/>
  <c r="Q144" i="184"/>
  <c r="R144" i="184"/>
  <c r="S144" i="184" a="1"/>
  <c r="S144" i="184" s="1"/>
  <c r="Q145" i="184"/>
  <c r="S145" i="184" s="1" a="1"/>
  <c r="S145" i="184" s="1"/>
  <c r="R145" i="184"/>
  <c r="Q146" i="184"/>
  <c r="R146" i="184"/>
  <c r="S146" i="184" s="1" a="1"/>
  <c r="S146" i="184" s="1"/>
  <c r="Q147" i="184"/>
  <c r="R147" i="184"/>
  <c r="Q148" i="184"/>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s="1"/>
  <c r="Q157" i="184"/>
  <c r="R157" i="184"/>
  <c r="S157" i="184" s="1" a="1"/>
  <c r="S157" i="184" s="1"/>
  <c r="Q158" i="184"/>
  <c r="R158" i="184"/>
  <c r="S158" i="184" s="1" a="1"/>
  <c r="S158" i="184" s="1"/>
  <c r="Q159" i="184"/>
  <c r="R159" i="184"/>
  <c r="B466" i="181"/>
  <c r="B454" i="181"/>
  <c r="B473" i="181"/>
  <c r="B474" i="181"/>
  <c r="B475" i="181"/>
  <c r="N81" i="185"/>
  <c r="N69" i="185"/>
  <c r="N52" i="185"/>
  <c r="C81" i="185"/>
  <c r="J81" i="185" s="1"/>
  <c r="B81" i="185"/>
  <c r="R84" i="185"/>
  <c r="Q84" i="185"/>
  <c r="R83" i="185"/>
  <c r="Q83" i="185"/>
  <c r="R82" i="185"/>
  <c r="Q82" i="185"/>
  <c r="R81" i="185"/>
  <c r="Q81" i="185"/>
  <c r="M81" i="185"/>
  <c r="L81" i="185"/>
  <c r="K81" i="185"/>
  <c r="S161" i="184" l="1" a="1"/>
  <c r="S161" i="184" s="1"/>
  <c r="S162" i="184" a="1"/>
  <c r="S162" i="184" s="1"/>
  <c r="S109" i="184" a="1"/>
  <c r="S109" i="184" s="1"/>
  <c r="S96" i="184" a="1"/>
  <c r="S96" i="184" s="1"/>
  <c r="S92" i="184" a="1"/>
  <c r="S92" i="184" s="1"/>
  <c r="S84" i="184" a="1"/>
  <c r="S84" i="184" s="1"/>
  <c r="S80" i="184" a="1"/>
  <c r="S80" i="184" s="1"/>
  <c r="S72" i="184" a="1"/>
  <c r="S72" i="184" s="1"/>
  <c r="S68" i="184" a="1"/>
  <c r="S68" i="184" s="1"/>
  <c r="S60" i="184" a="1"/>
  <c r="S60" i="184" s="1"/>
  <c r="S56" i="184" a="1"/>
  <c r="S56" i="184" s="1"/>
  <c r="S48" i="184" a="1"/>
  <c r="S48" i="184" s="1"/>
  <c r="S44" i="184" a="1"/>
  <c r="S44" i="184" s="1"/>
  <c r="S36" i="184" a="1"/>
  <c r="S36" i="184" s="1"/>
  <c r="S32" i="184" a="1"/>
  <c r="S32" i="184" s="1"/>
  <c r="S24" i="184" a="1"/>
  <c r="S24" i="184" s="1"/>
  <c r="S20" i="184" a="1"/>
  <c r="S20" i="184" s="1"/>
  <c r="S95" i="184" a="1"/>
  <c r="S95" i="184" s="1"/>
  <c r="S91" i="184" a="1"/>
  <c r="S91" i="184" s="1"/>
  <c r="S71" i="184" a="1"/>
  <c r="S71" i="184" s="1"/>
  <c r="S67" i="184" a="1"/>
  <c r="S67" i="184" s="1"/>
  <c r="S102" i="184" a="1"/>
  <c r="S102" i="184" s="1"/>
  <c r="S149" i="184" a="1"/>
  <c r="S149" i="184" s="1"/>
  <c r="S133" i="184" a="1"/>
  <c r="S133" i="184" s="1"/>
  <c r="S125" i="184" a="1"/>
  <c r="S125" i="184" s="1"/>
  <c r="S108" i="184" a="1"/>
  <c r="S108" i="184" s="1"/>
  <c r="S83" i="184" a="1"/>
  <c r="S83" i="184" s="1"/>
  <c r="S86" i="184" a="1"/>
  <c r="S86" i="184" s="1"/>
  <c r="S78" i="184" a="1"/>
  <c r="S78" i="184" s="1"/>
  <c r="S74" i="184" a="1"/>
  <c r="S74" i="184" s="1"/>
  <c r="S66" i="184" a="1"/>
  <c r="S66" i="184" s="1"/>
  <c r="S62" i="184" a="1"/>
  <c r="S62" i="184" s="1"/>
  <c r="S54" i="184" a="1"/>
  <c r="S54" i="184" s="1"/>
  <c r="S50" i="184" a="1"/>
  <c r="S50" i="184" s="1"/>
  <c r="S42" i="184" a="1"/>
  <c r="S42" i="184" s="1"/>
  <c r="S38" i="184" a="1"/>
  <c r="S38" i="184" s="1"/>
  <c r="S30" i="184" a="1"/>
  <c r="S30" i="184" s="1"/>
  <c r="S26" i="184" a="1"/>
  <c r="S26" i="184" s="1"/>
  <c r="S18" i="184" a="1"/>
  <c r="S18" i="184" s="1"/>
  <c r="S79" i="184" a="1"/>
  <c r="S79" i="184" s="1"/>
  <c r="S143" i="184" a="1"/>
  <c r="S143" i="184" s="1"/>
  <c r="S127" i="184" a="1"/>
  <c r="S127" i="184" s="1"/>
  <c r="S119" i="184" a="1"/>
  <c r="S119" i="184" s="1"/>
  <c r="S107" i="184" a="1"/>
  <c r="S107" i="184" s="1"/>
  <c r="S104" i="184" a="1"/>
  <c r="S104" i="184" s="1"/>
  <c r="S82" i="185" a="1"/>
  <c r="S82" i="185" s="1"/>
  <c r="B469" i="181" s="1"/>
  <c r="S84" i="185" a="1"/>
  <c r="S84" i="185" s="1"/>
  <c r="B471" i="181" s="1"/>
  <c r="S83" i="185" a="1"/>
  <c r="S83" i="185" s="1"/>
  <c r="B470" i="181" s="1"/>
  <c r="B20" i="180" l="1"/>
  <c r="C20" i="180"/>
  <c r="B21" i="180"/>
  <c r="C21" i="180"/>
  <c r="B22" i="180"/>
  <c r="C22" i="180"/>
  <c r="B23" i="180"/>
  <c r="C23" i="180"/>
  <c r="B24" i="180"/>
  <c r="C24" i="180"/>
  <c r="B25" i="180"/>
  <c r="C25" i="180"/>
  <c r="B26" i="180"/>
  <c r="C26" i="180"/>
  <c r="B16" i="180"/>
  <c r="C16" i="180"/>
  <c r="B19" i="180"/>
  <c r="C19"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48" i="212"/>
  <c r="R43" i="233"/>
  <c r="P43" i="233"/>
  <c r="R42" i="233"/>
  <c r="P42" i="233"/>
  <c r="R17" i="233"/>
  <c r="P17" i="233"/>
  <c r="R16" i="233"/>
  <c r="P16" i="233"/>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10" i="210"/>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9" i="184"/>
  <c r="C39" i="184"/>
  <c r="J39" i="184" s="1"/>
  <c r="S160" i="184" s="1" a="1"/>
  <c r="S160" i="184" s="1"/>
  <c r="B40" i="184"/>
  <c r="C40" i="184"/>
  <c r="J40" i="184" s="1"/>
  <c r="S166" i="184" s="1" a="1"/>
  <c r="S166" i="184" s="1"/>
  <c r="B41" i="184"/>
  <c r="C41" i="184"/>
  <c r="J41" i="184" s="1"/>
  <c r="S172" i="184" s="1" a="1"/>
  <c r="S172" i="184" s="1"/>
  <c r="B42" i="184"/>
  <c r="C42" i="184"/>
  <c r="J42" i="184" s="1"/>
  <c r="S178" i="184" s="1" a="1"/>
  <c r="S178" i="184" s="1"/>
  <c r="B43" i="184"/>
  <c r="C43" i="184"/>
  <c r="J43" i="184" s="1"/>
  <c r="S184" i="184" s="1" a="1"/>
  <c r="S184" i="184" s="1"/>
  <c r="B44" i="184"/>
  <c r="C44" i="184"/>
  <c r="J44" i="184" s="1"/>
  <c r="S190" i="184" s="1" a="1"/>
  <c r="S190" i="184" s="1"/>
  <c r="B45" i="184"/>
  <c r="C45" i="184"/>
  <c r="J45" i="184" s="1"/>
  <c r="S196" i="184" s="1" a="1"/>
  <c r="S196" i="184" s="1"/>
  <c r="B46" i="184"/>
  <c r="C46" i="184"/>
  <c r="J46" i="184" s="1"/>
  <c r="S202" i="184" s="1" a="1"/>
  <c r="S202" i="184" s="1"/>
  <c r="B47" i="184"/>
  <c r="C47" i="184"/>
  <c r="J47" i="184" s="1"/>
  <c r="S208" i="184" s="1" a="1"/>
  <c r="S208" i="184" s="1"/>
  <c r="B36" i="184"/>
  <c r="C36" i="184"/>
  <c r="J36" i="184" s="1"/>
  <c r="S142" i="184" s="1" a="1"/>
  <c r="S142" i="184" s="1"/>
  <c r="B37" i="184"/>
  <c r="C37" i="184"/>
  <c r="J37" i="184" s="1"/>
  <c r="S148" i="184" s="1" a="1"/>
  <c r="S148" i="184"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440"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17" i="184"/>
  <c r="C17" i="184"/>
  <c r="J17" i="184" s="1"/>
  <c r="S28" i="184" s="1" a="1"/>
  <c r="S28" i="184" s="1"/>
  <c r="B18" i="184"/>
  <c r="C18" i="184"/>
  <c r="J18" i="184" s="1"/>
  <c r="S34" i="184" s="1" a="1"/>
  <c r="S34" i="184" s="1"/>
  <c r="B19" i="184"/>
  <c r="C19" i="184"/>
  <c r="J19" i="184" s="1"/>
  <c r="S40" i="184" s="1" a="1"/>
  <c r="S40" i="184" s="1"/>
  <c r="B20" i="184"/>
  <c r="C20" i="184"/>
  <c r="J20" i="184" s="1"/>
  <c r="S46" i="184" s="1" a="1"/>
  <c r="S46" i="184" s="1"/>
  <c r="B21" i="184"/>
  <c r="C21" i="184"/>
  <c r="J21" i="184" s="1"/>
  <c r="S52" i="184" s="1" a="1"/>
  <c r="S52" i="184" s="1"/>
  <c r="B22" i="184"/>
  <c r="C22" i="184"/>
  <c r="J22" i="184" s="1"/>
  <c r="S58" i="184" s="1" a="1"/>
  <c r="S58" i="184" s="1"/>
  <c r="B23" i="184"/>
  <c r="C23" i="184"/>
  <c r="J23" i="184" s="1"/>
  <c r="S64" i="184" s="1" a="1"/>
  <c r="S64" i="184" s="1"/>
  <c r="B24" i="184"/>
  <c r="C24" i="184"/>
  <c r="J24" i="184" s="1"/>
  <c r="S70" i="184" s="1" a="1"/>
  <c r="S70" i="184" s="1"/>
  <c r="B25" i="184"/>
  <c r="C25" i="184"/>
  <c r="J25" i="184" s="1"/>
  <c r="S76" i="184" s="1" a="1"/>
  <c r="S76" i="184" s="1"/>
  <c r="B26" i="184"/>
  <c r="C26" i="184"/>
  <c r="J26" i="184" s="1"/>
  <c r="S82" i="184" s="1" a="1"/>
  <c r="S82" i="184" s="1"/>
  <c r="B27" i="184"/>
  <c r="C27" i="184"/>
  <c r="J27" i="184" s="1"/>
  <c r="S88" i="184" s="1" a="1"/>
  <c r="S88" i="184" s="1"/>
  <c r="B28" i="184"/>
  <c r="C28" i="184"/>
  <c r="J28" i="184" s="1"/>
  <c r="S94" i="184" s="1" a="1"/>
  <c r="S94" i="184" s="1"/>
  <c r="B29" i="184"/>
  <c r="C29" i="184"/>
  <c r="J29" i="184" s="1"/>
  <c r="S100" i="184" s="1" a="1"/>
  <c r="S100" i="184" s="1"/>
  <c r="B30" i="184"/>
  <c r="C30" i="184"/>
  <c r="J30" i="184" s="1"/>
  <c r="S106" i="184" s="1" a="1"/>
  <c r="S106" i="184" s="1"/>
  <c r="B31" i="184"/>
  <c r="C31" i="184"/>
  <c r="J31" i="184" s="1"/>
  <c r="S112" i="184" s="1" a="1"/>
  <c r="S112" i="184" s="1"/>
  <c r="B32" i="184"/>
  <c r="C32" i="184"/>
  <c r="J32" i="184" s="1"/>
  <c r="S118" i="184" s="1" a="1"/>
  <c r="S118" i="184" s="1"/>
  <c r="B33" i="184"/>
  <c r="C33" i="184"/>
  <c r="J33" i="184" s="1"/>
  <c r="S124" i="184" s="1" a="1"/>
  <c r="S124" i="184" s="1"/>
  <c r="B34" i="184"/>
  <c r="C34" i="184"/>
  <c r="J34" i="184" s="1"/>
  <c r="S130" i="184" s="1" a="1"/>
  <c r="S130" i="184" s="1"/>
  <c r="B35" i="184"/>
  <c r="C35" i="184"/>
  <c r="J35" i="184" s="1"/>
  <c r="S136" i="184" s="1" a="1"/>
  <c r="S136" i="184" s="1"/>
  <c r="N34" i="180"/>
  <c r="N35" i="180"/>
  <c r="N36" i="180"/>
  <c r="N37" i="180"/>
  <c r="N38" i="180"/>
  <c r="N39" i="180"/>
  <c r="N40" i="180"/>
  <c r="N41" i="180"/>
  <c r="N42" i="180"/>
  <c r="N43" i="180"/>
  <c r="B32" i="180"/>
  <c r="C32" i="180"/>
  <c r="B33" i="180"/>
  <c r="C33" i="180"/>
  <c r="B28" i="180"/>
  <c r="C28" i="180"/>
  <c r="B30" i="180"/>
  <c r="C30" i="180"/>
  <c r="B31" i="180"/>
  <c r="C31" i="180"/>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421" i="181"/>
  <c r="B398" i="181"/>
  <c r="R31" i="185"/>
  <c r="Q31" i="185"/>
  <c r="J31" i="185"/>
  <c r="J15" i="185"/>
  <c r="N31" i="185"/>
  <c r="M31" i="185"/>
  <c r="L31" i="185"/>
  <c r="K31" i="185"/>
  <c r="R15" i="185"/>
  <c r="Q15" i="185"/>
  <c r="N15" i="185"/>
  <c r="M15" i="185"/>
  <c r="L15" i="185"/>
  <c r="K15" i="185"/>
  <c r="B14" i="185"/>
  <c r="E3" i="185"/>
  <c r="C15" i="184"/>
  <c r="J15" i="184" s="1"/>
  <c r="B15" i="184"/>
  <c r="B192" i="181"/>
  <c r="R15" i="184"/>
  <c r="Q15" i="184"/>
  <c r="N15" i="184"/>
  <c r="M15" i="184"/>
  <c r="L15" i="184"/>
  <c r="K15" i="184"/>
  <c r="B14" i="184"/>
  <c r="E3" i="184"/>
  <c r="E6" i="184" s="1"/>
  <c r="B191" i="181" s="1"/>
  <c r="B17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177" i="181" s="1"/>
  <c r="B14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45"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32" i="185" l="1"/>
  <c r="I16" i="185"/>
  <c r="I15" i="183"/>
  <c r="I93" i="185"/>
  <c r="S93" i="185" s="1" a="1"/>
  <c r="S93" i="185" s="1"/>
  <c r="B480" i="181" s="1"/>
  <c r="I106" i="185"/>
  <c r="S106" i="185" s="1" a="1"/>
  <c r="S106" i="185" s="1"/>
  <c r="E90" i="185"/>
  <c r="E103" i="185"/>
  <c r="I37" i="184"/>
  <c r="S147" i="184" s="1" a="1"/>
  <c r="S147" i="184" s="1"/>
  <c r="I41" i="184"/>
  <c r="S171" i="184" s="1" a="1"/>
  <c r="S171" i="184" s="1"/>
  <c r="I45" i="184"/>
  <c r="S195" i="184" s="1" a="1"/>
  <c r="S195" i="184" s="1"/>
  <c r="I40" i="184"/>
  <c r="S165" i="184" s="1" a="1"/>
  <c r="S165" i="184" s="1"/>
  <c r="I44" i="184"/>
  <c r="S189" i="184" s="1" a="1"/>
  <c r="S189" i="184" s="1"/>
  <c r="I39" i="184"/>
  <c r="S159" i="184" s="1" a="1"/>
  <c r="S159" i="184" s="1"/>
  <c r="I43" i="184"/>
  <c r="S183" i="184" s="1" a="1"/>
  <c r="S183" i="184" s="1"/>
  <c r="I47" i="184"/>
  <c r="S207" i="184" s="1" a="1"/>
  <c r="S207" i="184" s="1"/>
  <c r="I38" i="184"/>
  <c r="S153" i="184" s="1" a="1"/>
  <c r="S153" i="184" s="1"/>
  <c r="I42" i="184"/>
  <c r="S177" i="184" s="1" a="1"/>
  <c r="S177" i="184" s="1"/>
  <c r="I46" i="184"/>
  <c r="S201" i="184" s="1" a="1"/>
  <c r="S201" i="184" s="1"/>
  <c r="I31" i="184"/>
  <c r="S111" i="184" s="1" a="1"/>
  <c r="S111" i="184" s="1"/>
  <c r="I35" i="184"/>
  <c r="S135" i="184" s="1" a="1"/>
  <c r="S135" i="184" s="1"/>
  <c r="I29" i="184"/>
  <c r="S99" i="184" s="1" a="1"/>
  <c r="S99" i="184" s="1"/>
  <c r="I33" i="184"/>
  <c r="S123" i="184" s="1" a="1"/>
  <c r="S123" i="184" s="1"/>
  <c r="I32" i="184"/>
  <c r="S117" i="184" s="1" a="1"/>
  <c r="S117" i="184" s="1"/>
  <c r="I36" i="184"/>
  <c r="S141" i="184" s="1" a="1"/>
  <c r="S141" i="184" s="1"/>
  <c r="I30" i="184"/>
  <c r="S105" i="184" s="1" a="1"/>
  <c r="S105" i="184" s="1"/>
  <c r="I34" i="184"/>
  <c r="S129" i="184" s="1" a="1"/>
  <c r="S129" i="184" s="1"/>
  <c r="E3" i="199"/>
  <c r="E6" i="199" s="1"/>
  <c r="B16" i="200" s="1"/>
  <c r="N12" i="193"/>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I15" i="199"/>
  <c r="S15" i="199" s="1" a="1"/>
  <c r="S15" i="199" s="1"/>
  <c r="B19" i="200" s="1"/>
  <c r="S71" i="185" a="1"/>
  <c r="S71" i="185" s="1"/>
  <c r="S56" i="185" a="1"/>
  <c r="S56" i="185" s="1"/>
  <c r="S54" i="185" a="1"/>
  <c r="S54" i="185" s="1"/>
  <c r="S55" i="185" a="1"/>
  <c r="S55" i="185" s="1"/>
  <c r="S70" i="185" a="1"/>
  <c r="S70" i="185" s="1"/>
  <c r="S85" i="185" a="1"/>
  <c r="S85" i="185" s="1"/>
  <c r="B472" i="181" s="1"/>
  <c r="S72" i="185" a="1"/>
  <c r="S72" i="185" s="1"/>
  <c r="S73" i="185" a="1"/>
  <c r="S73" i="185" s="1"/>
  <c r="E66" i="185"/>
  <c r="E78" i="185"/>
  <c r="I52" i="185"/>
  <c r="S52" i="185" s="1" a="1"/>
  <c r="S52" i="185" s="1"/>
  <c r="B442" i="181" s="1"/>
  <c r="I81" i="185"/>
  <c r="S53" i="185" a="1"/>
  <c r="S53" i="185" s="1"/>
  <c r="C8" i="212"/>
  <c r="R8" i="211"/>
  <c r="P8" i="211"/>
  <c r="E3" i="239"/>
  <c r="B14" i="240" s="1"/>
  <c r="C8" i="238"/>
  <c r="R8" i="237"/>
  <c r="P8" i="237"/>
  <c r="C8" i="234"/>
  <c r="P8" i="233"/>
  <c r="C38" i="234" s="1"/>
  <c r="R8" i="233"/>
  <c r="C48" i="234" s="1"/>
  <c r="N17" i="233"/>
  <c r="N16" i="233"/>
  <c r="E3" i="215"/>
  <c r="B14" i="216" s="1"/>
  <c r="I15" i="215"/>
  <c r="S15" i="215" s="1" a="1"/>
  <c r="S15" i="215" s="1"/>
  <c r="B19" i="216" s="1"/>
  <c r="E3" i="217"/>
  <c r="E6" i="217" s="1"/>
  <c r="B16" i="218" s="1"/>
  <c r="I16" i="217"/>
  <c r="S21" i="217" s="1" a="1"/>
  <c r="S21" i="217" s="1"/>
  <c r="B25" i="218" s="1"/>
  <c r="N8" i="209"/>
  <c r="C49" i="210" s="1"/>
  <c r="R8" i="209"/>
  <c r="C128" i="210" s="1"/>
  <c r="P8" i="209"/>
  <c r="C88" i="210" s="1"/>
  <c r="N8" i="241"/>
  <c r="R8" i="241"/>
  <c r="P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C57" i="230" s="1"/>
  <c r="R14" i="229"/>
  <c r="C72" i="230" s="1"/>
  <c r="N9" i="229"/>
  <c r="R13" i="229"/>
  <c r="P13"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456" i="181" s="1"/>
  <c r="I21" i="184"/>
  <c r="S51" i="184" s="1" a="1"/>
  <c r="S51" i="184" s="1"/>
  <c r="S16" i="184" a="1"/>
  <c r="S16" i="184"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420" i="181" s="1"/>
  <c r="I15" i="185"/>
  <c r="S15" i="185" s="1" a="1"/>
  <c r="S15" i="185" s="1"/>
  <c r="B400" i="181" s="1"/>
  <c r="E49" i="185"/>
  <c r="B439" i="181" s="1"/>
  <c r="B453" i="181" s="1"/>
  <c r="B465" i="181" s="1"/>
  <c r="B477" i="181" s="1"/>
  <c r="I16" i="182"/>
  <c r="S21" i="182" s="1" a="1"/>
  <c r="S21" i="182" s="1"/>
  <c r="I18" i="182"/>
  <c r="S33" i="182" s="1" a="1"/>
  <c r="S33" i="182" s="1"/>
  <c r="S21" i="183" a="1"/>
  <c r="S21" i="183" s="1"/>
  <c r="I25" i="184"/>
  <c r="S75" i="184" s="1" a="1"/>
  <c r="S75" i="184" s="1"/>
  <c r="I19" i="184"/>
  <c r="S39" i="184" s="1" a="1"/>
  <c r="S39" i="184" s="1"/>
  <c r="I17" i="184"/>
  <c r="S27" i="184" s="1" a="1"/>
  <c r="S27" i="184" s="1"/>
  <c r="S45" i="182" a="1"/>
  <c r="S45" i="182" s="1"/>
  <c r="I17" i="182"/>
  <c r="S27" i="182" s="1" a="1"/>
  <c r="S27" i="182" s="1"/>
  <c r="I15" i="184"/>
  <c r="S15" i="184" s="1" a="1"/>
  <c r="S15" i="184" s="1"/>
  <c r="B194" i="181" s="1"/>
  <c r="I28" i="184"/>
  <c r="S93" i="184" s="1" a="1"/>
  <c r="S93" i="184" s="1"/>
  <c r="I24" i="184"/>
  <c r="S69" i="184" s="1" a="1"/>
  <c r="S69" i="184" s="1"/>
  <c r="I20" i="184"/>
  <c r="S45" i="184" s="1" a="1"/>
  <c r="S45" i="184" s="1"/>
  <c r="I16" i="184"/>
  <c r="S21" i="184" s="1" a="1"/>
  <c r="S21" i="184" s="1"/>
  <c r="S16" i="183" a="1"/>
  <c r="S16" i="183" s="1"/>
  <c r="I26" i="184"/>
  <c r="S81" i="184" s="1" a="1"/>
  <c r="S81" i="184" s="1"/>
  <c r="I22" i="184"/>
  <c r="S57" i="184" s="1" a="1"/>
  <c r="S57" i="184" s="1"/>
  <c r="I18" i="184"/>
  <c r="S33" i="184" s="1" a="1"/>
  <c r="S33" i="184" s="1"/>
  <c r="S46" i="182" a="1"/>
  <c r="S46" i="182" s="1"/>
  <c r="I27" i="184"/>
  <c r="S87" i="184" s="1" a="1"/>
  <c r="S87" i="184" s="1"/>
  <c r="I23" i="184"/>
  <c r="S63" i="184" s="1" a="1"/>
  <c r="S63" i="184" s="1"/>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97"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48" i="181" s="1"/>
  <c r="E6" i="180"/>
  <c r="B16" i="181" s="1"/>
  <c r="I15" i="180"/>
  <c r="S15" i="180" s="1" a="1"/>
  <c r="S15" i="180" s="1"/>
  <c r="B19" i="181" s="1"/>
  <c r="B14" i="179"/>
  <c r="B14" i="218" l="1"/>
  <c r="S15" i="217" a="1"/>
  <c r="S15" i="217" s="1"/>
  <c r="B19" i="218" s="1"/>
  <c r="B14" i="214"/>
  <c r="E3" i="255"/>
  <c r="E6" i="255" s="1"/>
  <c r="B190" i="200" s="1"/>
  <c r="E3" i="201"/>
  <c r="E6" i="201" s="1"/>
  <c r="B80" i="200" s="1"/>
  <c r="E3" i="256"/>
  <c r="E6" i="256" s="1"/>
  <c r="B177" i="200" s="1"/>
  <c r="E3" i="203"/>
  <c r="E6" i="203" s="1"/>
  <c r="B144" i="200" s="1"/>
  <c r="E3" i="202"/>
  <c r="E6" i="202" s="1"/>
  <c r="B111" i="200" s="1"/>
  <c r="B14" i="200"/>
  <c r="S81" i="185" a="1"/>
  <c r="S81" i="185" s="1"/>
  <c r="B468"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C8" i="171" l="1"/>
  <c r="P8" i="169"/>
  <c r="C123" i="171" s="1"/>
  <c r="R8" i="169"/>
  <c r="C182" i="171" s="1"/>
  <c r="B423" i="181"/>
  <c r="C8" i="174"/>
  <c r="R8" i="172"/>
  <c r="P8" i="172"/>
  <c r="C128" i="174" s="1"/>
  <c r="N8" i="172"/>
  <c r="C69" i="174" s="1"/>
  <c r="N8" i="169"/>
  <c r="C65" i="171" s="1"/>
  <c r="L8" i="164" l="1"/>
  <c r="L7" i="164"/>
  <c r="L6" i="164"/>
  <c r="L5" i="164"/>
  <c r="C5" i="166" s="1"/>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<sst xmlns="http://schemas.openxmlformats.org/spreadsheetml/2006/main" count="7157" uniqueCount="2477">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</sst>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7">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xf numFmtId="0" fontId="0" fillId="0" borderId="0" xfId="0" applyFo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7.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8.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9.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0.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1.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2.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3.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6.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6.vml"/><Relationship Id="rId1" Type="http://schemas.openxmlformats.org/officeDocument/2006/relationships/printerSettings" Target="../printerSettings/printerSettings25.bin"/><Relationship Id="rId4" Type="http://schemas.microsoft.com/office/2017/10/relationships/threadedComment" Target="../threadedComments/threadedComment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29.vml"/><Relationship Id="rId1" Type="http://schemas.openxmlformats.org/officeDocument/2006/relationships/printerSettings" Target="../printerSettings/printerSettings28.bin"/><Relationship Id="rId4" Type="http://schemas.microsoft.com/office/2017/10/relationships/threadedComment" Target="../threadedComments/threadedComment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1.xml"/><Relationship Id="rId4" Type="http://schemas.openxmlformats.org/officeDocument/2006/relationships/comments" Target="../comments13.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0.vml"/><Relationship Id="rId1" Type="http://schemas.openxmlformats.org/officeDocument/2006/relationships/printerSettings" Target="../printerSettings/printerSettings41.bin"/><Relationship Id="rId4" Type="http://schemas.microsoft.com/office/2017/10/relationships/threadedComment" Target="../threadedComments/threadedComment12.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3.xml"/><Relationship Id="rId3" Type="http://schemas.openxmlformats.org/officeDocument/2006/relationships/hyperlink" Target="http://hl7.eu/fhir/ig/idea4rc/StructureDefinition/" TargetMode="External"/><Relationship Id="rId7" Type="http://schemas.openxmlformats.org/officeDocument/2006/relationships/comments" Target="../comments1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2.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47.vml"/><Relationship Id="rId1" Type="http://schemas.openxmlformats.org/officeDocument/2006/relationships/printerSettings" Target="../printerSettings/printerSettings48.bin"/><Relationship Id="rId4" Type="http://schemas.microsoft.com/office/2017/10/relationships/threadedComment" Target="../threadedComments/threadedComment1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1"/>
  <sheetViews>
    <sheetView topLeftCell="J22" zoomScaleNormal="100" workbookViewId="0">
      <selection activeCell="R8" sqref="R8:R61"/>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2075</v>
      </c>
      <c r="J7" s="118" t="s">
        <v>2076</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61"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61"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61" si="2">IF(I9,IF(L9="*  ..  ##34###34# ##334###334#",L9,CONCATENATE("* ",B9," insert ObligationActorAndCode($actor-headneck, #handle)")),IF(L9="*  ..  ##34###34# ##334###334#",L9,""))</f>
        <v>* race insert ObligationActorAndCode($actor-headneck, #handle)</v>
      </c>
      <c r="R9" s="12" t="str">
        <f t="shared" ref="R9:R61" si="3">IF(J9,IF(L9="*  ..  ##34###34# ##334###334#",L9,CONCATENATE("* ",B9," insert ObligationActorAndCode($actor-sarcoma-i4rc, #handle)")),IF(L9="*  ..  ##34###34# ##334###334#",L9,""))</f>
        <v/>
      </c>
    </row>
    <row r="10" spans="1:18" ht="29.5" x14ac:dyDescent="0.75">
      <c r="A10" s="152">
        <v>2</v>
      </c>
      <c r="B10" s="11" t="s">
        <v>2451</v>
      </c>
      <c r="C10" s="12" t="s">
        <v>2449</v>
      </c>
      <c r="D10" s="12" t="s">
        <v>2450</v>
      </c>
      <c r="E10" s="12">
        <v>0</v>
      </c>
      <c r="F10" s="11">
        <v>1</v>
      </c>
      <c r="G10" s="67" t="s">
        <v>1383</v>
      </c>
      <c r="H10" s="119"/>
      <c r="I10" s="12" t="b">
        <v>1</v>
      </c>
      <c r="J10" s="12" t="b">
        <v>1</v>
      </c>
      <c r="K10" s="25"/>
      <c r="L10" s="12" t="str">
        <f t="shared" si="0"/>
        <v>* birthYear 0..1 integer ##34#Birth year##34# ##334#Year of birth of the patient.##334#</v>
      </c>
      <c r="N10" s="12" t="str">
        <f t="shared" si="1"/>
        <v/>
      </c>
      <c r="P10" s="12" t="str">
        <f t="shared" si="2"/>
        <v>* birthYear insert ObligationActorAndCode($actor-headneck, #handle)</v>
      </c>
      <c r="R10" s="12" t="str">
        <f t="shared" si="3"/>
        <v>* birthYear insert ObligationActorAndCode($actor-sarcoma-i4rc, #handle)</v>
      </c>
    </row>
    <row r="11" spans="1:18" ht="44.25" x14ac:dyDescent="0.75">
      <c r="A11" s="11">
        <v>3</v>
      </c>
      <c r="B11" s="11" t="s">
        <v>1521</v>
      </c>
      <c r="C11" s="12" t="s">
        <v>1436</v>
      </c>
      <c r="D11" s="12" t="s">
        <v>26</v>
      </c>
      <c r="E11" s="11">
        <v>1</v>
      </c>
      <c r="F11" s="11">
        <v>1</v>
      </c>
      <c r="G11" s="67" t="s">
        <v>1468</v>
      </c>
      <c r="H11" s="119" t="s">
        <v>1458</v>
      </c>
      <c r="I11" s="12" t="b">
        <v>1</v>
      </c>
      <c r="J11" s="12" t="b">
        <v>1</v>
      </c>
      <c r="K11" s="25"/>
      <c r="L11" s="12" t="str">
        <f t="shared" si="0"/>
        <v>* countryOfResidence 1..1 CodeableConcept ##34#Country of Residence##34# ##334#Country of residence at the time of diagnosis##334#</v>
      </c>
      <c r="N11" s="12" t="str">
        <f t="shared" si="1"/>
        <v>* countryOfResidence ^comment = ##334#Value from the code list of countries
Son in the hierarchy of countries##334#</v>
      </c>
      <c r="P11" s="12" t="str">
        <f t="shared" si="2"/>
        <v>* countryOfResidence insert ObligationActorAndCode($actor-headneck, #handle)</v>
      </c>
      <c r="R11" s="12" t="str">
        <f t="shared" si="3"/>
        <v>* countryOfResidence insert ObligationActorAndCode($actor-sarcoma-i4rc, #handle)</v>
      </c>
    </row>
    <row r="12" spans="1:18" ht="88.5" x14ac:dyDescent="0.75">
      <c r="A12" s="11">
        <v>4</v>
      </c>
      <c r="B12" s="11" t="s">
        <v>1522</v>
      </c>
      <c r="C12" s="12" t="s">
        <v>27</v>
      </c>
      <c r="D12" s="12" t="s">
        <v>28</v>
      </c>
      <c r="E12" s="11">
        <v>1</v>
      </c>
      <c r="F12" s="11">
        <v>1</v>
      </c>
      <c r="G12" s="67" t="s">
        <v>1468</v>
      </c>
      <c r="H12" s="119" t="s">
        <v>1979</v>
      </c>
      <c r="I12" s="12" t="b">
        <v>1</v>
      </c>
      <c r="J12" s="12" t="b">
        <v>0</v>
      </c>
      <c r="K12" s="25"/>
      <c r="L12" s="12" t="str">
        <f t="shared" si="0"/>
        <v>* smoking 1..1 CodeableConcept ##34#Smoking##34# ##334#Describes tobacco smoker habits within the options proposed##334#</v>
      </c>
      <c r="N12" s="12" t="str">
        <f t="shared" si="1"/>
        <v>* smoking ^comment = ##334#Current tobacco smoker; Former smoker (at least for 12 months); Never smoker; Unknown
Current smoker - 36309332
Former smoker - 45883458
Never smoker - 45879404
##334#</v>
      </c>
      <c r="P12" s="12" t="str">
        <f t="shared" si="2"/>
        <v>* smoking insert ObligationActorAndCode($actor-headneck, #handle)</v>
      </c>
      <c r="R12" s="12" t="str">
        <f t="shared" si="3"/>
        <v/>
      </c>
    </row>
    <row r="13" spans="1:18" ht="59" x14ac:dyDescent="0.75">
      <c r="A13" s="11">
        <v>5</v>
      </c>
      <c r="B13" s="11" t="s">
        <v>1523</v>
      </c>
      <c r="C13" s="12" t="s">
        <v>29</v>
      </c>
      <c r="D13" s="12" t="s">
        <v>1437</v>
      </c>
      <c r="E13" s="11">
        <v>0</v>
      </c>
      <c r="F13" s="11">
        <v>1</v>
      </c>
      <c r="G13" s="67" t="s">
        <v>1468</v>
      </c>
      <c r="H13" s="119" t="s">
        <v>1459</v>
      </c>
      <c r="I13" s="12" t="b">
        <v>1</v>
      </c>
      <c r="J13" s="12" t="b">
        <v>0</v>
      </c>
      <c r="K13" s="25"/>
      <c r="L13" s="12" t="str">
        <f t="shared" si="0"/>
        <v>* smokingType 0..1 CodeableConcept ##34#Smoking type##34# ##334#Describes type of tobacco##334#</v>
      </c>
      <c r="N13" s="12" t="str">
        <f t="shared" si="1"/>
        <v>* smokingType ^comment = ##334#Cigarettes; Cigar; Unknown
Cigarettes - 36716475
Cigar -  36716476
Unknown - 4129922##334#</v>
      </c>
      <c r="P13" s="12" t="str">
        <f t="shared" si="2"/>
        <v>* smokingType insert ObligationActorAndCode($actor-headneck, #handle)</v>
      </c>
      <c r="R13" s="12" t="str">
        <f t="shared" si="3"/>
        <v/>
      </c>
    </row>
    <row r="14" spans="1:18" ht="59" x14ac:dyDescent="0.75">
      <c r="A14" s="11">
        <v>6</v>
      </c>
      <c r="B14" s="11" t="s">
        <v>1524</v>
      </c>
      <c r="C14" s="12" t="s">
        <v>30</v>
      </c>
      <c r="D14" s="12" t="s">
        <v>1438</v>
      </c>
      <c r="E14" s="11">
        <v>0</v>
      </c>
      <c r="F14" s="11">
        <v>1</v>
      </c>
      <c r="G14" s="67" t="s">
        <v>1383</v>
      </c>
      <c r="H14" s="119"/>
      <c r="I14" s="12" t="b">
        <v>1</v>
      </c>
      <c r="J14" s="12" t="b">
        <v>0</v>
      </c>
      <c r="K14" s="25"/>
      <c r="L14"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4" s="12" t="str">
        <f t="shared" si="1"/>
        <v/>
      </c>
      <c r="P14" s="12" t="str">
        <f t="shared" si="2"/>
        <v>* cigSmokedPerDay insert ObligationActorAndCode($actor-headneck, #handle)</v>
      </c>
      <c r="R14" s="12" t="str">
        <f t="shared" si="3"/>
        <v/>
      </c>
    </row>
    <row r="15" spans="1:18" ht="29.5" x14ac:dyDescent="0.75">
      <c r="A15" s="11">
        <v>7</v>
      </c>
      <c r="B15" s="11" t="s">
        <v>1525</v>
      </c>
      <c r="C15" s="12" t="s">
        <v>31</v>
      </c>
      <c r="D15" s="12" t="s">
        <v>32</v>
      </c>
      <c r="E15" s="11">
        <v>0</v>
      </c>
      <c r="F15" s="11">
        <v>1</v>
      </c>
      <c r="G15" s="67" t="s">
        <v>1383</v>
      </c>
      <c r="H15" s="119"/>
      <c r="I15" s="12" t="b">
        <v>1</v>
      </c>
      <c r="J15" s="12" t="b">
        <v>0</v>
      </c>
      <c r="K15" s="25"/>
      <c r="L15" s="12" t="str">
        <f t="shared" si="0"/>
        <v>* yearsAsSmoker 0..1 integer ##34#Number of years as a smoker##34# ##334#Number of years the person has smoked##334#</v>
      </c>
      <c r="N15" s="12" t="str">
        <f t="shared" si="1"/>
        <v/>
      </c>
      <c r="P15" s="12" t="str">
        <f t="shared" si="2"/>
        <v>* yearsAsSmoker insert ObligationActorAndCode($actor-headneck, #handle)</v>
      </c>
      <c r="R15" s="12" t="str">
        <f t="shared" si="3"/>
        <v/>
      </c>
    </row>
    <row r="16" spans="1:18" ht="103.25" x14ac:dyDescent="0.75">
      <c r="A16" s="11">
        <v>8</v>
      </c>
      <c r="B16" s="11" t="s">
        <v>1526</v>
      </c>
      <c r="C16" s="11" t="s">
        <v>33</v>
      </c>
      <c r="D16" s="11" t="s">
        <v>34</v>
      </c>
      <c r="E16" s="11">
        <v>1</v>
      </c>
      <c r="F16" s="11">
        <v>1</v>
      </c>
      <c r="G16" s="67" t="s">
        <v>1468</v>
      </c>
      <c r="H16" s="119" t="s">
        <v>1980</v>
      </c>
      <c r="I16" s="12" t="b">
        <v>1</v>
      </c>
      <c r="J16" s="12" t="b">
        <v>0</v>
      </c>
      <c r="K16" s="25"/>
      <c r="L16" s="12" t="str">
        <f t="shared" si="0"/>
        <v>* alcohol 1..1 CodeableConcept ##34#Alcohol##34# ##334#Describes alcohol habits within the options proposed##334#</v>
      </c>
      <c r="N16" s="12" t="str">
        <f t="shared" si="1"/>
        <v>* alcohol ^comment = ##334#Current; Former (at least for 12 months); Never; History of alcohol dependence; Unknown
Current drinker - 4074035
Ex-drinker - 4220362
Lifetime non-drinker of alcohol - 37204556
Ex-problem drinker - 4117706
##334#</v>
      </c>
      <c r="P16" s="12" t="str">
        <f t="shared" si="2"/>
        <v>* alcohol insert ObligationActorAndCode($actor-headneck, #handle)</v>
      </c>
      <c r="R16" s="12" t="str">
        <f t="shared" si="3"/>
        <v/>
      </c>
    </row>
    <row r="17" spans="1:18" ht="29.5" x14ac:dyDescent="0.75">
      <c r="A17" s="11">
        <v>9</v>
      </c>
      <c r="B17" s="11" t="s">
        <v>1929</v>
      </c>
      <c r="C17" s="11" t="s">
        <v>1930</v>
      </c>
      <c r="D17" s="11" t="s">
        <v>1931</v>
      </c>
      <c r="E17" s="11">
        <v>0</v>
      </c>
      <c r="F17" s="11">
        <v>1</v>
      </c>
      <c r="G17" s="67" t="s">
        <v>1985</v>
      </c>
      <c r="H17" s="119"/>
      <c r="I17" s="12" t="b">
        <v>0</v>
      </c>
      <c r="J17" s="12" t="b">
        <v>1</v>
      </c>
      <c r="K17" s="25"/>
      <c r="L17" s="12" t="str">
        <f t="shared" si="0"/>
        <v>* bMI 0..1 Quantity ##34#Height/weight (BMI)
##34# ##334#Provides the BMI for the patient##334#</v>
      </c>
      <c r="N17" s="12" t="str">
        <f t="shared" si="1"/>
        <v/>
      </c>
      <c r="P17" s="12" t="str">
        <f t="shared" si="2"/>
        <v/>
      </c>
      <c r="R17" s="12" t="str">
        <f t="shared" si="3"/>
        <v>* bMI insert ObligationActorAndCode($actor-sarcoma-i4rc, #handle)</v>
      </c>
    </row>
    <row r="18" spans="1:18" ht="44.25" x14ac:dyDescent="0.75">
      <c r="A18" s="11">
        <v>10</v>
      </c>
      <c r="B18" s="11" t="s">
        <v>1932</v>
      </c>
      <c r="C18" s="11" t="s">
        <v>1933</v>
      </c>
      <c r="D18" s="11" t="s">
        <v>1934</v>
      </c>
      <c r="E18" s="11">
        <v>0</v>
      </c>
      <c r="F18" s="11">
        <v>1</v>
      </c>
      <c r="G18" s="67" t="s">
        <v>1383</v>
      </c>
      <c r="H18" s="119"/>
      <c r="I18" s="12" t="b">
        <v>0</v>
      </c>
      <c r="J18" s="12" t="b">
        <v>1</v>
      </c>
      <c r="K18" s="25"/>
      <c r="L18" s="12" t="str">
        <f t="shared" si="0"/>
        <v>* charlsonComorbidityIndex 0..1 integer ##34#Charlson Comorbidity index##34# ##334#Provides the Charlson Comorbidity index for the patient##334#</v>
      </c>
      <c r="N18" s="12" t="str">
        <f t="shared" si="1"/>
        <v/>
      </c>
      <c r="P18" s="12" t="str">
        <f t="shared" si="2"/>
        <v/>
      </c>
      <c r="R18" s="12" t="str">
        <f t="shared" si="3"/>
        <v>* charlsonComorbidityIndex insert ObligationActorAndCode($actor-sarcoma-i4rc, #handle)</v>
      </c>
    </row>
    <row r="19" spans="1:18" ht="59" x14ac:dyDescent="0.75">
      <c r="A19" s="11">
        <v>11</v>
      </c>
      <c r="B19" s="66" t="s">
        <v>1500</v>
      </c>
      <c r="C19" s="4" t="s">
        <v>35</v>
      </c>
      <c r="D19" s="4" t="s">
        <v>2082</v>
      </c>
      <c r="E19" s="6">
        <v>1</v>
      </c>
      <c r="F19" s="6">
        <v>1</v>
      </c>
      <c r="G19" s="4" t="s">
        <v>1</v>
      </c>
      <c r="H19" s="119" t="s">
        <v>1460</v>
      </c>
      <c r="I19" s="12" t="b">
        <v>1</v>
      </c>
      <c r="J19" s="12" t="b">
        <v>0</v>
      </c>
      <c r="K19" s="25"/>
      <c r="L19" s="12" t="str">
        <f t="shared" si="0"/>
        <v>* comorbidity 1..1 BackboneElement ##34#Comorbidity##34# ##334#Describes whether the patient was diagnosed before treatment of at least one of the comorbidities listed  next (or not) relevant for head and neck cancer.##334#</v>
      </c>
      <c r="N19" s="12" t="str">
        <f t="shared" si="1"/>
        <v>* comorbidity ^comment = ##334#Yes; No; Unknown
Yes - 4188539
No -  4188540
Unknown - 4129922##334#</v>
      </c>
      <c r="P19" s="12" t="str">
        <f t="shared" si="2"/>
        <v>* comorbidity insert ObligationActorAndCode($actor-headneck, #handle)</v>
      </c>
      <c r="R19" s="12" t="str">
        <f t="shared" si="3"/>
        <v/>
      </c>
    </row>
    <row r="20" spans="1:18" ht="59" x14ac:dyDescent="0.75">
      <c r="A20" s="11">
        <v>12</v>
      </c>
      <c r="B20" s="11" t="s">
        <v>1506</v>
      </c>
      <c r="C20" s="12" t="s">
        <v>36</v>
      </c>
      <c r="D20" s="69" t="s">
        <v>37</v>
      </c>
      <c r="E20" s="11">
        <v>0</v>
      </c>
      <c r="F20" s="11">
        <v>1</v>
      </c>
      <c r="G20" s="67" t="s">
        <v>44</v>
      </c>
      <c r="H20" s="119"/>
      <c r="I20" s="12" t="b">
        <v>1</v>
      </c>
      <c r="J20" s="12" t="b">
        <v>0</v>
      </c>
      <c r="K20" s="25"/>
      <c r="L20"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20" s="12" t="str">
        <f t="shared" si="1"/>
        <v/>
      </c>
      <c r="P20" s="12" t="str">
        <f t="shared" si="2"/>
        <v>* comorbidity.myocardialInfarction insert ObligationActorAndCode($actor-headneck, #handle)</v>
      </c>
      <c r="R20" s="12" t="str">
        <f t="shared" si="3"/>
        <v/>
      </c>
    </row>
    <row r="21" spans="1:18" ht="44.25" x14ac:dyDescent="0.75">
      <c r="A21" s="11">
        <v>13</v>
      </c>
      <c r="B21" s="11" t="s">
        <v>1511</v>
      </c>
      <c r="C21" s="12" t="s">
        <v>1439</v>
      </c>
      <c r="D21" s="67" t="s">
        <v>1937</v>
      </c>
      <c r="E21" s="11">
        <v>0</v>
      </c>
      <c r="F21" s="11">
        <v>1</v>
      </c>
      <c r="G21" s="67" t="s">
        <v>44</v>
      </c>
      <c r="H21" s="119"/>
      <c r="I21" s="12" t="b">
        <v>1</v>
      </c>
      <c r="J21" s="12" t="b">
        <v>0</v>
      </c>
      <c r="K21" s="25"/>
      <c r="L21" s="12" t="str">
        <f t="shared" si="0"/>
        <v>* comorbidity.congestiveHeartFailure 0..1 boolean ##34#Congestive heart failure##34# ##334#Previous cancer comorbidity related to Congestive heart failure##334#</v>
      </c>
      <c r="N21" s="12" t="str">
        <f t="shared" si="1"/>
        <v/>
      </c>
      <c r="P21" s="12" t="str">
        <f t="shared" si="2"/>
        <v>* comorbidity.congestiveHeartFailure insert ObligationActorAndCode($actor-headneck, #handle)</v>
      </c>
      <c r="R21" s="12" t="str">
        <f t="shared" si="3"/>
        <v/>
      </c>
    </row>
    <row r="22" spans="1:18" ht="44.25" x14ac:dyDescent="0.75">
      <c r="A22" s="11">
        <v>14</v>
      </c>
      <c r="B22" s="11" t="s">
        <v>1516</v>
      </c>
      <c r="C22" s="12" t="s">
        <v>1440</v>
      </c>
      <c r="D22" s="67" t="s">
        <v>1938</v>
      </c>
      <c r="E22" s="11">
        <v>0</v>
      </c>
      <c r="F22" s="11">
        <v>1</v>
      </c>
      <c r="G22" s="67" t="s">
        <v>44</v>
      </c>
      <c r="H22" s="119"/>
      <c r="I22" s="12" t="b">
        <v>1</v>
      </c>
      <c r="J22" s="12" t="b">
        <v>0</v>
      </c>
      <c r="K22" s="25"/>
      <c r="L22" s="12" t="str">
        <f t="shared" si="0"/>
        <v>* comorbidity.peripheralVascularDisease 0..1 boolean ##34#Peripheral vascular disease##34# ##334#Previous cancer comorbidity related to Peripheral vascular disease##334#</v>
      </c>
      <c r="N22" s="12" t="str">
        <f t="shared" si="1"/>
        <v/>
      </c>
      <c r="P22" s="12" t="str">
        <f t="shared" si="2"/>
        <v>* comorbidity.peripheralVascularDisease insert ObligationActorAndCode($actor-headneck, #handle)</v>
      </c>
      <c r="R22" s="12" t="str">
        <f t="shared" si="3"/>
        <v/>
      </c>
    </row>
    <row r="23" spans="1:18" ht="59" x14ac:dyDescent="0.75">
      <c r="A23" s="11">
        <v>15</v>
      </c>
      <c r="B23" s="68" t="s">
        <v>1512</v>
      </c>
      <c r="C23" s="12" t="s">
        <v>1441</v>
      </c>
      <c r="D23" s="67" t="s">
        <v>1939</v>
      </c>
      <c r="E23" s="11">
        <v>0</v>
      </c>
      <c r="F23" s="11">
        <v>1</v>
      </c>
      <c r="G23" s="67" t="s">
        <v>44</v>
      </c>
      <c r="H23" s="119"/>
      <c r="I23" s="12" t="b">
        <v>1</v>
      </c>
      <c r="J23" s="12" t="b">
        <v>0</v>
      </c>
      <c r="K23" s="25"/>
      <c r="L23" s="12" t="str">
        <f t="shared" si="0"/>
        <v>* comorbidity.cerebrovascularAccidentExceptHemiplegia 0..1 boolean ##34#Cerebrovascular accident  (except hemiplegia)##34# ##334#Previous cancer comorbidity related to Cerebrovascular accident  (except hemiplegia)##334#</v>
      </c>
      <c r="N23" s="12" t="str">
        <f t="shared" si="1"/>
        <v/>
      </c>
      <c r="P23" s="12" t="str">
        <f t="shared" si="2"/>
        <v>* comorbidity.cerebrovascularAccidentExceptHemiplegia insert ObligationActorAndCode($actor-headneck, #handle)</v>
      </c>
      <c r="R23" s="12" t="str">
        <f t="shared" si="3"/>
        <v/>
      </c>
    </row>
    <row r="24" spans="1:18" ht="29.5" x14ac:dyDescent="0.75">
      <c r="A24" s="11">
        <v>16</v>
      </c>
      <c r="B24" s="11" t="s">
        <v>1503</v>
      </c>
      <c r="C24" s="12" t="s">
        <v>1442</v>
      </c>
      <c r="D24" s="67" t="s">
        <v>1940</v>
      </c>
      <c r="E24" s="11">
        <v>0</v>
      </c>
      <c r="F24" s="11">
        <v>1</v>
      </c>
      <c r="G24" s="67" t="s">
        <v>44</v>
      </c>
      <c r="H24" s="119"/>
      <c r="I24" s="12" t="b">
        <v>1</v>
      </c>
      <c r="J24" s="12" t="b">
        <v>0</v>
      </c>
      <c r="K24" s="25"/>
      <c r="L24" s="12" t="str">
        <f t="shared" si="0"/>
        <v>* comorbidity.dementia 0..1 boolean ##34#Dementia##34# ##334#Previous cancer comorbidity related to Dementia##334#</v>
      </c>
      <c r="N24" s="12" t="str">
        <f t="shared" si="1"/>
        <v/>
      </c>
      <c r="P24" s="12" t="str">
        <f t="shared" si="2"/>
        <v>* comorbidity.dementia insert ObligationActorAndCode($actor-headneck, #handle)</v>
      </c>
      <c r="R24" s="12" t="str">
        <f t="shared" si="3"/>
        <v/>
      </c>
    </row>
    <row r="25" spans="1:18" ht="44.25" x14ac:dyDescent="0.75">
      <c r="A25" s="11">
        <v>17</v>
      </c>
      <c r="B25" s="11" t="s">
        <v>1513</v>
      </c>
      <c r="C25" s="12" t="s">
        <v>1443</v>
      </c>
      <c r="D25" s="67" t="s">
        <v>1941</v>
      </c>
      <c r="E25" s="11">
        <v>0</v>
      </c>
      <c r="F25" s="11">
        <v>1</v>
      </c>
      <c r="G25" s="67" t="s">
        <v>44</v>
      </c>
      <c r="H25" s="119"/>
      <c r="I25" s="12" t="b">
        <v>1</v>
      </c>
      <c r="J25" s="12" t="b">
        <v>0</v>
      </c>
      <c r="K25" s="25"/>
      <c r="L25" s="12" t="str">
        <f t="shared" si="0"/>
        <v>* comorbidity.chronicPulmonaryDisease 0..1 boolean ##34#Chronic pulmonary disease##34# ##334#Previous cancer comorbidity related to Chronic pulmonary disease##334#</v>
      </c>
      <c r="N25" s="12" t="str">
        <f t="shared" si="1"/>
        <v/>
      </c>
      <c r="P25" s="12" t="str">
        <f t="shared" si="2"/>
        <v>* comorbidity.chronicPulmonaryDisease insert ObligationActorAndCode($actor-headneck, #handle)</v>
      </c>
      <c r="R25" s="12" t="str">
        <f t="shared" si="3"/>
        <v/>
      </c>
    </row>
    <row r="26" spans="1:18" ht="44.25" x14ac:dyDescent="0.75">
      <c r="A26" s="11">
        <v>18</v>
      </c>
      <c r="B26" s="11" t="s">
        <v>1514</v>
      </c>
      <c r="C26" s="12" t="s">
        <v>1444</v>
      </c>
      <c r="D26" s="67" t="s">
        <v>1942</v>
      </c>
      <c r="E26" s="11">
        <v>0</v>
      </c>
      <c r="F26" s="11">
        <v>1</v>
      </c>
      <c r="G26" s="67" t="s">
        <v>44</v>
      </c>
      <c r="H26" s="119"/>
      <c r="I26" s="12" t="b">
        <v>1</v>
      </c>
      <c r="J26" s="12" t="b">
        <v>0</v>
      </c>
      <c r="K26" s="25"/>
      <c r="L26" s="12" t="str">
        <f t="shared" si="0"/>
        <v>* comorbidity.connectiveTissueDisease 0..1 boolean ##34#Connective tissue disease##34# ##334#Previous cancer comorbidity related to Connective tissue disease##334#</v>
      </c>
      <c r="N26" s="12" t="str">
        <f t="shared" si="1"/>
        <v/>
      </c>
      <c r="P26" s="12" t="str">
        <f t="shared" si="2"/>
        <v>* comorbidity.connectiveTissueDisease insert ObligationActorAndCode($actor-headneck, #handle)</v>
      </c>
      <c r="R26" s="12" t="str">
        <f t="shared" si="3"/>
        <v/>
      </c>
    </row>
    <row r="27" spans="1:18" ht="29.5" x14ac:dyDescent="0.75">
      <c r="A27" s="11">
        <v>19</v>
      </c>
      <c r="B27" s="11" t="s">
        <v>1515</v>
      </c>
      <c r="C27" s="12" t="s">
        <v>1445</v>
      </c>
      <c r="D27" s="67" t="s">
        <v>1943</v>
      </c>
      <c r="E27" s="11">
        <v>0</v>
      </c>
      <c r="F27" s="11">
        <v>1</v>
      </c>
      <c r="G27" s="67" t="s">
        <v>44</v>
      </c>
      <c r="H27" s="119"/>
      <c r="I27" s="12" t="b">
        <v>1</v>
      </c>
      <c r="J27" s="12" t="b">
        <v>0</v>
      </c>
      <c r="K27" s="25"/>
      <c r="L27" s="12" t="str">
        <f t="shared" si="0"/>
        <v>* comorbidity.ulcer 0..1 boolean ##34#Ulcer##34# ##334#Previous cancer comorbidity related to Ulcer##334#</v>
      </c>
      <c r="N27" s="12" t="str">
        <f t="shared" si="1"/>
        <v/>
      </c>
      <c r="P27" s="12" t="str">
        <f t="shared" si="2"/>
        <v>* comorbidity.ulcer insert ObligationActorAndCode($actor-headneck, #handle)</v>
      </c>
      <c r="R27" s="12" t="str">
        <f t="shared" si="3"/>
        <v/>
      </c>
    </row>
    <row r="28" spans="1:18" ht="29.5" x14ac:dyDescent="0.75">
      <c r="A28" s="11">
        <v>20</v>
      </c>
      <c r="B28" s="11" t="s">
        <v>1507</v>
      </c>
      <c r="C28" s="12" t="s">
        <v>1446</v>
      </c>
      <c r="D28" s="67" t="s">
        <v>1944</v>
      </c>
      <c r="E28" s="11">
        <v>0</v>
      </c>
      <c r="F28" s="11">
        <v>1</v>
      </c>
      <c r="G28" s="67" t="s">
        <v>44</v>
      </c>
      <c r="H28" s="119"/>
      <c r="I28" s="12" t="b">
        <v>1</v>
      </c>
      <c r="J28" s="12" t="b">
        <v>0</v>
      </c>
      <c r="K28" s="25"/>
      <c r="L28" s="12" t="str">
        <f t="shared" si="0"/>
        <v>* comorbidity.mildLiverDisease 0..1 boolean ##34#Mild liver disease##34# ##334#Previous cancer comorbidity related to Mild liver disease##334#</v>
      </c>
      <c r="N28" s="12" t="str">
        <f t="shared" si="1"/>
        <v/>
      </c>
      <c r="P28" s="12" t="str">
        <f t="shared" si="2"/>
        <v>* comorbidity.mildLiverDisease insert ObligationActorAndCode($actor-headneck, #handle)</v>
      </c>
      <c r="R28" s="12" t="str">
        <f t="shared" si="3"/>
        <v/>
      </c>
    </row>
    <row r="29" spans="1:18" ht="44.25" x14ac:dyDescent="0.75">
      <c r="A29" s="11">
        <v>21</v>
      </c>
      <c r="B29" s="11" t="s">
        <v>1508</v>
      </c>
      <c r="C29" s="12" t="s">
        <v>1447</v>
      </c>
      <c r="D29" s="67" t="s">
        <v>1945</v>
      </c>
      <c r="E29" s="11">
        <v>0</v>
      </c>
      <c r="F29" s="11">
        <v>1</v>
      </c>
      <c r="G29" s="67" t="s">
        <v>44</v>
      </c>
      <c r="H29" s="119"/>
      <c r="I29" s="12" t="b">
        <v>1</v>
      </c>
      <c r="J29" s="12" t="b">
        <v>0</v>
      </c>
      <c r="K29" s="25"/>
      <c r="L29" s="12" t="str">
        <f t="shared" si="0"/>
        <v>* comorbidity.moderateToSevereLiverDisease 0..1 boolean ##34#Moderate to severe liver disease##34# ##334#Previous cancer comorbidity related to Moderate to severe liver disease##334#</v>
      </c>
      <c r="N29" s="12" t="str">
        <f t="shared" si="1"/>
        <v/>
      </c>
      <c r="P29" s="12" t="str">
        <f t="shared" si="2"/>
        <v>* comorbidity.moderateToSevereLiverDisease insert ObligationActorAndCode($actor-headneck, #handle)</v>
      </c>
      <c r="R29" s="12" t="str">
        <f t="shared" si="3"/>
        <v/>
      </c>
    </row>
    <row r="30" spans="1:18" ht="44.25" x14ac:dyDescent="0.75">
      <c r="A30" s="11">
        <v>22</v>
      </c>
      <c r="B30" s="68" t="s">
        <v>1504</v>
      </c>
      <c r="C30" s="12" t="s">
        <v>1448</v>
      </c>
      <c r="D30" s="67" t="s">
        <v>1946</v>
      </c>
      <c r="E30" s="11">
        <v>0</v>
      </c>
      <c r="F30" s="11">
        <v>1</v>
      </c>
      <c r="G30" s="67" t="s">
        <v>44</v>
      </c>
      <c r="H30" s="119"/>
      <c r="I30" s="12" t="b">
        <v>1</v>
      </c>
      <c r="J30" s="12" t="b">
        <v>0</v>
      </c>
      <c r="K30" s="25"/>
      <c r="L30" s="12" t="str">
        <f t="shared" si="0"/>
        <v>* comorbidity.diabetesWithoutComplications 0..1 boolean ##34#Diabetes (without complications)##34# ##334#Previous cancer comorbidity related to Diabetes (without complications)##334#</v>
      </c>
      <c r="N30" s="12" t="str">
        <f t="shared" si="1"/>
        <v/>
      </c>
      <c r="P30" s="12" t="str">
        <f t="shared" si="2"/>
        <v>* comorbidity.diabetesWithoutComplications insert ObligationActorAndCode($actor-headneck, #handle)</v>
      </c>
      <c r="R30" s="12" t="str">
        <f t="shared" si="3"/>
        <v/>
      </c>
    </row>
    <row r="31" spans="1:18" ht="44.25" x14ac:dyDescent="0.75">
      <c r="A31" s="11">
        <v>23</v>
      </c>
      <c r="B31" s="11" t="s">
        <v>1505</v>
      </c>
      <c r="C31" s="12" t="s">
        <v>1449</v>
      </c>
      <c r="D31" s="67" t="s">
        <v>1947</v>
      </c>
      <c r="E31" s="11">
        <v>0</v>
      </c>
      <c r="F31" s="11">
        <v>1</v>
      </c>
      <c r="G31" s="67" t="s">
        <v>44</v>
      </c>
      <c r="H31" s="119"/>
      <c r="I31" s="12" t="b">
        <v>1</v>
      </c>
      <c r="J31" s="12" t="b">
        <v>0</v>
      </c>
      <c r="K31" s="25"/>
      <c r="L31" s="12" t="str">
        <f t="shared" si="0"/>
        <v>* comorbidity.diabetesWithEndOrganDamage 0..1 boolean ##34#Diabetes with end organ damage##34# ##334#Previous cancer comorbidity related to Diabetes with end organ damage##334#</v>
      </c>
      <c r="N31" s="12" t="str">
        <f t="shared" si="1"/>
        <v/>
      </c>
      <c r="P31" s="12" t="str">
        <f t="shared" si="2"/>
        <v>* comorbidity.diabetesWithEndOrganDamage insert ObligationActorAndCode($actor-headneck, #handle)</v>
      </c>
      <c r="R31" s="12" t="str">
        <f t="shared" si="3"/>
        <v/>
      </c>
    </row>
    <row r="32" spans="1:18" ht="29.5" x14ac:dyDescent="0.75">
      <c r="A32" s="11">
        <v>24</v>
      </c>
      <c r="B32" s="11" t="s">
        <v>1501</v>
      </c>
      <c r="C32" s="12" t="s">
        <v>1450</v>
      </c>
      <c r="D32" s="67" t="s">
        <v>1948</v>
      </c>
      <c r="E32" s="11">
        <v>0</v>
      </c>
      <c r="F32" s="11">
        <v>1</v>
      </c>
      <c r="G32" s="67" t="s">
        <v>44</v>
      </c>
      <c r="H32" s="119"/>
      <c r="I32" s="12" t="b">
        <v>1</v>
      </c>
      <c r="J32" s="12" t="b">
        <v>0</v>
      </c>
      <c r="K32" s="25"/>
      <c r="L32" s="12" t="str">
        <f t="shared" si="0"/>
        <v>* comorbidity.hemiplegia 0..1 boolean ##34#Hemiplegia##34# ##334#Previous cancer comorbidity related to Hemiplegia##334#</v>
      </c>
      <c r="N32" s="12" t="str">
        <f t="shared" si="1"/>
        <v/>
      </c>
      <c r="P32" s="12" t="str">
        <f t="shared" si="2"/>
        <v>* comorbidity.hemiplegia insert ObligationActorAndCode($actor-headneck, #handle)</v>
      </c>
      <c r="R32" s="12" t="str">
        <f t="shared" si="3"/>
        <v/>
      </c>
    </row>
    <row r="33" spans="1:18" ht="44.25" x14ac:dyDescent="0.75">
      <c r="A33" s="11">
        <v>25</v>
      </c>
      <c r="B33" s="11" t="s">
        <v>1509</v>
      </c>
      <c r="C33" s="12" t="s">
        <v>1451</v>
      </c>
      <c r="D33" s="67" t="s">
        <v>1949</v>
      </c>
      <c r="E33" s="11">
        <v>0</v>
      </c>
      <c r="F33" s="11">
        <v>1</v>
      </c>
      <c r="G33" s="67" t="s">
        <v>44</v>
      </c>
      <c r="H33" s="119"/>
      <c r="I33" s="12" t="b">
        <v>1</v>
      </c>
      <c r="J33" s="12" t="b">
        <v>0</v>
      </c>
      <c r="K33" s="25"/>
      <c r="L33" s="12" t="str">
        <f t="shared" si="0"/>
        <v>* comorbidity.moderateToSevereRenalDisease 0..1 boolean ##34#Moderate to severe renal disease##34# ##334#Previous cancer comorbidity related to Moderate to severe renal disease##334#</v>
      </c>
      <c r="N33" s="12" t="str">
        <f t="shared" si="1"/>
        <v/>
      </c>
      <c r="P33" s="12" t="str">
        <f t="shared" si="2"/>
        <v>* comorbidity.moderateToSevereRenalDisease insert ObligationActorAndCode($actor-headneck, #handle)</v>
      </c>
      <c r="R33" s="12" t="str">
        <f t="shared" si="3"/>
        <v/>
      </c>
    </row>
    <row r="34" spans="1:18" ht="44.25" x14ac:dyDescent="0.75">
      <c r="A34" s="11">
        <v>26</v>
      </c>
      <c r="B34" s="68" t="s">
        <v>1517</v>
      </c>
      <c r="C34" s="12" t="s">
        <v>1452</v>
      </c>
      <c r="D34" s="67" t="s">
        <v>1950</v>
      </c>
      <c r="E34" s="11">
        <v>0</v>
      </c>
      <c r="F34" s="11">
        <v>1</v>
      </c>
      <c r="G34" s="67" t="s">
        <v>44</v>
      </c>
      <c r="H34" s="119"/>
      <c r="I34" s="12" t="b">
        <v>1</v>
      </c>
      <c r="J34" s="12" t="b">
        <v>0</v>
      </c>
      <c r="K34" s="25"/>
      <c r="L34" s="12" t="str">
        <f t="shared" si="0"/>
        <v>* comorbidity.solidTumorNonMetastatic 0..1 boolean ##34#Solid tumor (non metastatic)##34# ##334#Previous cancer comorbidity related to Solid tumor (non metastatic)##334#</v>
      </c>
      <c r="N34" s="12" t="str">
        <f t="shared" si="1"/>
        <v/>
      </c>
      <c r="P34" s="12" t="str">
        <f t="shared" si="2"/>
        <v>* comorbidity.solidTumorNonMetastatic insert ObligationActorAndCode($actor-headneck, #handle)</v>
      </c>
      <c r="R34" s="12" t="str">
        <f t="shared" si="3"/>
        <v/>
      </c>
    </row>
    <row r="35" spans="1:18" ht="44.25" x14ac:dyDescent="0.75">
      <c r="A35" s="11">
        <v>27</v>
      </c>
      <c r="B35" s="11" t="s">
        <v>1510</v>
      </c>
      <c r="C35" s="12" t="s">
        <v>1453</v>
      </c>
      <c r="D35" s="67" t="s">
        <v>1951</v>
      </c>
      <c r="E35" s="11">
        <v>0</v>
      </c>
      <c r="F35" s="11">
        <v>1</v>
      </c>
      <c r="G35" s="67" t="s">
        <v>44</v>
      </c>
      <c r="H35" s="119"/>
      <c r="I35" s="12" t="b">
        <v>1</v>
      </c>
      <c r="J35" s="12" t="b">
        <v>0</v>
      </c>
      <c r="K35" s="25"/>
      <c r="L35" s="12" t="str">
        <f t="shared" si="0"/>
        <v>* comorbidity.metastaticSolidTumor 0..1 boolean ##34#Metastatic solid tumor##34# ##334#Previous cancer comorbidity related to Metastatic solid tumor##334#</v>
      </c>
      <c r="N35" s="12" t="str">
        <f t="shared" si="1"/>
        <v/>
      </c>
      <c r="P35" s="12" t="str">
        <f t="shared" si="2"/>
        <v>* comorbidity.metastaticSolidTumor insert ObligationActorAndCode($actor-headneck, #handle)</v>
      </c>
      <c r="R35" s="12" t="str">
        <f t="shared" si="3"/>
        <v/>
      </c>
    </row>
    <row r="36" spans="1:18" ht="29.5" x14ac:dyDescent="0.75">
      <c r="A36" s="11">
        <v>28</v>
      </c>
      <c r="B36" s="11" t="s">
        <v>1502</v>
      </c>
      <c r="C36" s="12" t="s">
        <v>1454</v>
      </c>
      <c r="D36" s="67" t="s">
        <v>1952</v>
      </c>
      <c r="E36" s="11">
        <v>0</v>
      </c>
      <c r="F36" s="11">
        <v>1</v>
      </c>
      <c r="G36" s="67" t="s">
        <v>44</v>
      </c>
      <c r="H36" s="119"/>
      <c r="I36" s="12" t="b">
        <v>1</v>
      </c>
      <c r="J36" s="12" t="b">
        <v>0</v>
      </c>
      <c r="K36" s="25"/>
      <c r="L36" s="12" t="str">
        <f t="shared" si="0"/>
        <v>* comorbidity.leukemia 0..1 boolean ##34#Leukemia##34# ##334#Previous cancer comorbidity related to Leukemia##334#</v>
      </c>
      <c r="N36" s="12" t="str">
        <f t="shared" si="1"/>
        <v/>
      </c>
      <c r="P36" s="12" t="str">
        <f t="shared" si="2"/>
        <v>* comorbidity.leukemia insert ObligationActorAndCode($actor-headneck, #handle)</v>
      </c>
      <c r="R36" s="12" t="str">
        <f t="shared" si="3"/>
        <v/>
      </c>
    </row>
    <row r="37" spans="1:18" ht="29.5" x14ac:dyDescent="0.75">
      <c r="A37" s="11">
        <v>29</v>
      </c>
      <c r="B37" s="68" t="s">
        <v>1935</v>
      </c>
      <c r="C37" s="12" t="s">
        <v>1953</v>
      </c>
      <c r="D37" s="67" t="s">
        <v>1954</v>
      </c>
      <c r="E37" s="11">
        <v>0</v>
      </c>
      <c r="F37" s="11">
        <v>1</v>
      </c>
      <c r="G37" s="67" t="s">
        <v>44</v>
      </c>
      <c r="H37" s="119"/>
      <c r="I37" s="12" t="b">
        <v>1</v>
      </c>
      <c r="J37" s="12" t="b">
        <v>0</v>
      </c>
      <c r="K37" s="25"/>
      <c r="L37" s="12" t="str">
        <f t="shared" si="0"/>
        <v>* comorbidity.lymphoma 0..1 boolean ##34#Lymphoma##34# ##334#Previous cancer comorbidity related to Lymphoma##334#</v>
      </c>
      <c r="N37" s="12" t="str">
        <f t="shared" si="1"/>
        <v/>
      </c>
      <c r="P37" s="12" t="str">
        <f t="shared" si="2"/>
        <v>* comorbidity.lymphoma insert ObligationActorAndCode($actor-headneck, #handle)</v>
      </c>
      <c r="R37" s="12" t="str">
        <f t="shared" si="3"/>
        <v/>
      </c>
    </row>
    <row r="38" spans="1:18" ht="29.5" x14ac:dyDescent="0.75">
      <c r="A38" s="11">
        <v>30</v>
      </c>
      <c r="B38" s="68" t="s">
        <v>1936</v>
      </c>
      <c r="C38" s="12" t="s">
        <v>1955</v>
      </c>
      <c r="D38" s="67" t="s">
        <v>1956</v>
      </c>
      <c r="E38" s="11">
        <v>0</v>
      </c>
      <c r="F38" s="11">
        <v>1</v>
      </c>
      <c r="G38" s="67" t="s">
        <v>44</v>
      </c>
      <c r="H38" s="119"/>
      <c r="I38" s="12" t="b">
        <v>1</v>
      </c>
      <c r="J38" s="12" t="b">
        <v>0</v>
      </c>
      <c r="K38" s="25"/>
      <c r="L38" s="12" t="str">
        <f t="shared" si="0"/>
        <v>* comorbidity.multipleMyeloma 0..1 boolean ##34#Multiple myeloma##34# ##334#Previous cancer comorbidity related to Multiple myeloma##334#</v>
      </c>
      <c r="N38" s="12" t="str">
        <f t="shared" si="1"/>
        <v/>
      </c>
      <c r="P38" s="12" t="str">
        <f t="shared" si="2"/>
        <v>* comorbidity.multipleMyeloma insert ObligationActorAndCode($actor-headneck, #handle)</v>
      </c>
      <c r="R38" s="12" t="str">
        <f t="shared" si="3"/>
        <v/>
      </c>
    </row>
    <row r="39" spans="1:18" ht="29.5" x14ac:dyDescent="0.75">
      <c r="A39" s="11">
        <v>31</v>
      </c>
      <c r="B39" s="11" t="s">
        <v>1518</v>
      </c>
      <c r="C39" s="12" t="s">
        <v>1455</v>
      </c>
      <c r="D39" s="67" t="s">
        <v>1957</v>
      </c>
      <c r="E39" s="11">
        <v>0</v>
      </c>
      <c r="F39" s="11">
        <v>1</v>
      </c>
      <c r="G39" s="67" t="s">
        <v>44</v>
      </c>
      <c r="H39" s="119"/>
      <c r="I39" s="12" t="b">
        <v>1</v>
      </c>
      <c r="J39" s="12" t="b">
        <v>0</v>
      </c>
      <c r="K39" s="25"/>
      <c r="L39" s="12" t="str">
        <f t="shared" si="0"/>
        <v>* comorbidity.aids 0..1 boolean ##34#AIDS##34# ##334#Previous cancer comorbidity related to AIDS##334#</v>
      </c>
      <c r="N39" s="12" t="str">
        <f t="shared" si="1"/>
        <v/>
      </c>
      <c r="P39" s="12" t="str">
        <f t="shared" si="2"/>
        <v>* comorbidity.aids insert ObligationActorAndCode($actor-headneck, #handle)</v>
      </c>
      <c r="R39" s="12" t="str">
        <f t="shared" si="3"/>
        <v/>
      </c>
    </row>
    <row r="40" spans="1:18" ht="44.25" x14ac:dyDescent="0.75">
      <c r="A40" s="11">
        <v>32</v>
      </c>
      <c r="B40" s="68" t="s">
        <v>1527</v>
      </c>
      <c r="C40" s="12" t="s">
        <v>38</v>
      </c>
      <c r="D40" s="12" t="s">
        <v>38</v>
      </c>
      <c r="E40" s="11">
        <v>0</v>
      </c>
      <c r="F40" s="11">
        <v>1</v>
      </c>
      <c r="G40" s="67" t="s">
        <v>1383</v>
      </c>
      <c r="H40" s="119" t="s">
        <v>2457</v>
      </c>
      <c r="I40" s="12" t="b">
        <v>1</v>
      </c>
      <c r="J40" s="12" t="b">
        <v>0</v>
      </c>
      <c r="K40" s="25"/>
      <c r="L40" s="12" t="str">
        <f t="shared" si="0"/>
        <v>* ecogPsAtDiagnosis 0..1 integer ##34#Eastern Cooperative Oncology Group performance status (ECOG PS)  at diagnosis##34# ##334#Eastern Cooperative Oncology Group performance status (ECOG PS)  at diagnosis##334#</v>
      </c>
      <c r="N40" s="12" t="str">
        <f t="shared" si="1"/>
        <v>* ecogPsAtDiagnosis ^comment = ##334#Ecog grades 0-5##334#</v>
      </c>
      <c r="P40" s="12" t="str">
        <f t="shared" si="2"/>
        <v>* ecogPsAtDiagnosis insert ObligationActorAndCode($actor-headneck, #handle)</v>
      </c>
      <c r="R40" s="12" t="str">
        <f t="shared" si="3"/>
        <v/>
      </c>
    </row>
    <row r="41" spans="1:18" ht="118" x14ac:dyDescent="0.75">
      <c r="A41" s="11">
        <v>32</v>
      </c>
      <c r="B41" s="68" t="s">
        <v>2458</v>
      </c>
      <c r="C41" s="12" t="s">
        <v>2455</v>
      </c>
      <c r="D41" s="12" t="s">
        <v>2456</v>
      </c>
      <c r="E41" s="11">
        <v>0</v>
      </c>
      <c r="F41" s="11">
        <v>1</v>
      </c>
      <c r="G41" s="67" t="s">
        <v>1468</v>
      </c>
      <c r="H41" s="119" t="s">
        <v>1981</v>
      </c>
      <c r="I41" s="12" t="b">
        <v>1</v>
      </c>
      <c r="J41" s="12" t="b">
        <v>0</v>
      </c>
      <c r="K41" s="25"/>
      <c r="L41" s="12" t="str">
        <f t="shared" si="0"/>
        <v>* ecogPsLabel 0..1 CodeableConcept ##34#ECOG PS label##34# ##334#Eastern Cooperative Oncology Group performance status (ECOG PS)  label##334#</v>
      </c>
      <c r="N41" s="12" t="str">
        <f t="shared" si="1"/>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1" s="12" t="str">
        <f t="shared" si="2"/>
        <v>* ecogPsLabel insert ObligationActorAndCode($actor-headneck, #handle)</v>
      </c>
      <c r="R41" s="12" t="str">
        <f t="shared" si="3"/>
        <v/>
      </c>
    </row>
    <row r="42" spans="1:18" ht="29.5" x14ac:dyDescent="0.75">
      <c r="A42" s="11">
        <v>33</v>
      </c>
      <c r="B42" s="66" t="s">
        <v>1528</v>
      </c>
      <c r="C42" s="12" t="s">
        <v>39</v>
      </c>
      <c r="D42" s="12" t="s">
        <v>39</v>
      </c>
      <c r="E42" s="11">
        <v>0</v>
      </c>
      <c r="F42" s="11">
        <v>1</v>
      </c>
      <c r="G42" s="67" t="s">
        <v>1383</v>
      </c>
      <c r="H42" s="119" t="s">
        <v>2454</v>
      </c>
      <c r="I42" s="12" t="b">
        <v>1</v>
      </c>
      <c r="J42" s="12" t="b">
        <v>0</v>
      </c>
      <c r="K42" s="25"/>
      <c r="L42" s="12" t="str">
        <f t="shared" si="0"/>
        <v>* karnofsyIndexAtDiagnosis 0..1 integer ##34#Karnofsy index at diagnosis##34# ##334#Karnofsy index at diagnosis##334#</v>
      </c>
      <c r="N42" s="12" t="str">
        <f t="shared" si="1"/>
        <v>* karnofsyIndexAtDiagnosis ^comment = ##334#KPS Scale##334#</v>
      </c>
      <c r="P42" s="12" t="str">
        <f t="shared" si="2"/>
        <v>* karnofsyIndexAtDiagnosis insert ObligationActorAndCode($actor-headneck, #handle)</v>
      </c>
      <c r="R42" s="12" t="str">
        <f t="shared" si="3"/>
        <v/>
      </c>
    </row>
    <row r="43" spans="1:18" ht="44.25" x14ac:dyDescent="0.75">
      <c r="A43" s="11">
        <v>33</v>
      </c>
      <c r="B43" s="66" t="s">
        <v>2452</v>
      </c>
      <c r="C43" s="12" t="s">
        <v>2453</v>
      </c>
      <c r="D43" s="12" t="s">
        <v>39</v>
      </c>
      <c r="E43" s="11">
        <v>0</v>
      </c>
      <c r="F43" s="11">
        <v>1</v>
      </c>
      <c r="G43" s="67" t="s">
        <v>1468</v>
      </c>
      <c r="H43" s="119" t="s">
        <v>1982</v>
      </c>
      <c r="I43" s="12" t="b">
        <v>1</v>
      </c>
      <c r="J43" s="12" t="b">
        <v>0</v>
      </c>
      <c r="K43" s="25"/>
      <c r="L43" s="12" t="str">
        <f t="shared" si="0"/>
        <v>* karnofsyIndexLabel 0..1 CodeableConcept ##34#Karnofsy index label##34# ##334#Karnofsy index at diagnosis##334#</v>
      </c>
      <c r="N43" s="12" t="str">
        <f t="shared" si="1"/>
        <v>* karnofsyIndexLabel ^comment = ##334#KPS Scale
SONS Functional Neurologic Status - Karnofsky Performance Scale (KPS) - 35917688 ##334#</v>
      </c>
      <c r="P43" s="12" t="str">
        <f t="shared" si="2"/>
        <v>* karnofsyIndexLabel insert ObligationActorAndCode($actor-headneck, #handle)</v>
      </c>
      <c r="R43" s="12" t="str">
        <f t="shared" si="3"/>
        <v/>
      </c>
    </row>
    <row r="44" spans="1:18" ht="30.5" customHeight="1" x14ac:dyDescent="0.75">
      <c r="A44" s="11">
        <v>34</v>
      </c>
      <c r="B44" s="11" t="s">
        <v>1958</v>
      </c>
      <c r="C44" s="11" t="s">
        <v>1959</v>
      </c>
      <c r="D44" s="12" t="s">
        <v>2081</v>
      </c>
      <c r="E44" s="11">
        <v>1</v>
      </c>
      <c r="F44" s="11">
        <v>1</v>
      </c>
      <c r="G44" s="11" t="s">
        <v>1</v>
      </c>
      <c r="H44" s="119"/>
      <c r="I44" s="12" t="b">
        <v>0</v>
      </c>
      <c r="J44" s="12" t="b">
        <v>1</v>
      </c>
      <c r="L44" s="12" t="str">
        <f t="shared" si="0"/>
        <v>* noGeneticSyndromeWho2020 1..1 BackboneElement ##34#No Genetic syndrome WHO 2020 ##34# ##334#Describes whether the patient was diagnosed before treatment of at least one of the diseases, syndromes listed  next (or not) relevant for sarcoma.##334#</v>
      </c>
      <c r="N44" s="12" t="str">
        <f t="shared" si="1"/>
        <v/>
      </c>
      <c r="P44" s="12" t="str">
        <f t="shared" si="2"/>
        <v/>
      </c>
      <c r="R44" s="12" t="str">
        <f t="shared" si="3"/>
        <v>* noGeneticSyndromeWho2020 insert ObligationActorAndCode($actor-sarcoma-i4rc, #handle)</v>
      </c>
    </row>
    <row r="45" spans="1:18" ht="29.5" x14ac:dyDescent="0.75">
      <c r="A45" s="11">
        <v>35</v>
      </c>
      <c r="B45" s="123" t="s">
        <v>2083</v>
      </c>
      <c r="C45" s="11" t="s">
        <v>1960</v>
      </c>
      <c r="D45" s="11" t="s">
        <v>1960</v>
      </c>
      <c r="E45" s="11">
        <v>1</v>
      </c>
      <c r="F45" s="11">
        <v>1</v>
      </c>
      <c r="G45" s="11" t="s">
        <v>44</v>
      </c>
      <c r="H45" s="119"/>
      <c r="I45" s="12" t="b">
        <v>0</v>
      </c>
      <c r="J45" s="12" t="b">
        <v>1</v>
      </c>
      <c r="L45" s="12" t="str">
        <f t="shared" si="0"/>
        <v>* noGeneticSyndromeWho2020.olliersDisease 1..1 boolean ##34#Olliers disease##34# ##334#Olliers disease##334#</v>
      </c>
      <c r="N45" s="12" t="str">
        <f t="shared" si="1"/>
        <v/>
      </c>
      <c r="P45" s="12" t="str">
        <f t="shared" si="2"/>
        <v/>
      </c>
      <c r="R45" s="12" t="str">
        <f t="shared" si="3"/>
        <v>* noGeneticSyndromeWho2020.olliersDisease insert ObligationActorAndCode($actor-sarcoma-i4rc, #handle)</v>
      </c>
    </row>
    <row r="46" spans="1:18" ht="29.5" x14ac:dyDescent="0.75">
      <c r="A46" s="11">
        <v>36</v>
      </c>
      <c r="B46" s="123" t="s">
        <v>2084</v>
      </c>
      <c r="C46" s="11" t="s">
        <v>1961</v>
      </c>
      <c r="D46" s="11" t="s">
        <v>1961</v>
      </c>
      <c r="E46" s="11">
        <v>1</v>
      </c>
      <c r="F46" s="11">
        <v>1</v>
      </c>
      <c r="G46" s="11" t="s">
        <v>44</v>
      </c>
      <c r="H46" s="119"/>
      <c r="I46" s="12" t="b">
        <v>0</v>
      </c>
      <c r="J46" s="12" t="b">
        <v>1</v>
      </c>
      <c r="L46" s="12" t="str">
        <f t="shared" si="0"/>
        <v>* noGeneticSyndromeWho2020.maffuciSyndrome 1..1 boolean ##34#Maffuci syndrome##34# ##334#Maffuci syndrome##334#</v>
      </c>
      <c r="N46" s="12" t="str">
        <f t="shared" si="1"/>
        <v/>
      </c>
      <c r="P46" s="12" t="str">
        <f t="shared" si="2"/>
        <v/>
      </c>
      <c r="R46" s="12" t="str">
        <f t="shared" si="3"/>
        <v>* noGeneticSyndromeWho2020.maffuciSyndrome insert ObligationActorAndCode($actor-sarcoma-i4rc, #handle)</v>
      </c>
    </row>
    <row r="47" spans="1:18" ht="29.5" x14ac:dyDescent="0.75">
      <c r="A47" s="11">
        <v>37</v>
      </c>
      <c r="B47" s="123" t="s">
        <v>2085</v>
      </c>
      <c r="C47" s="11" t="s">
        <v>1962</v>
      </c>
      <c r="D47" s="11" t="s">
        <v>1962</v>
      </c>
      <c r="E47" s="11">
        <v>1</v>
      </c>
      <c r="F47" s="11">
        <v>1</v>
      </c>
      <c r="G47" s="11" t="s">
        <v>44</v>
      </c>
      <c r="H47" s="119"/>
      <c r="I47" s="12" t="b">
        <v>0</v>
      </c>
      <c r="J47" s="12" t="b">
        <v>1</v>
      </c>
      <c r="L47" s="12" t="str">
        <f t="shared" si="0"/>
        <v>* noGeneticSyndromeWho2020.liFraumeniSyndrome 1..1 boolean ##34#Li-Fraumeni syndrome##34# ##334#Li-Fraumeni syndrome##334#</v>
      </c>
      <c r="N47" s="12" t="str">
        <f t="shared" si="1"/>
        <v/>
      </c>
      <c r="P47" s="12" t="str">
        <f t="shared" si="2"/>
        <v/>
      </c>
      <c r="R47" s="12" t="str">
        <f t="shared" si="3"/>
        <v>* noGeneticSyndromeWho2020.liFraumeniSyndrome insert ObligationActorAndCode($actor-sarcoma-i4rc, #handle)</v>
      </c>
    </row>
    <row r="48" spans="1:18" ht="44.25" x14ac:dyDescent="0.75">
      <c r="A48" s="11">
        <v>38</v>
      </c>
      <c r="B48" s="123" t="s">
        <v>2086</v>
      </c>
      <c r="C48" s="11" t="s">
        <v>1963</v>
      </c>
      <c r="D48" s="11" t="s">
        <v>1963</v>
      </c>
      <c r="E48" s="11">
        <v>1</v>
      </c>
      <c r="F48" s="11">
        <v>1</v>
      </c>
      <c r="G48" s="11" t="s">
        <v>44</v>
      </c>
      <c r="H48" s="119"/>
      <c r="I48" s="12" t="b">
        <v>0</v>
      </c>
      <c r="J48" s="12" t="b">
        <v>1</v>
      </c>
      <c r="L48" s="12" t="str">
        <f t="shared" si="0"/>
        <v>* noGeneticSyndromeWho2020.mcCuneAlbrightSyndrome 1..1 boolean ##34#McCune-Albright syndrome##34# ##334#McCune-Albright syndrome##334#</v>
      </c>
      <c r="N48" s="12" t="str">
        <f t="shared" si="1"/>
        <v/>
      </c>
      <c r="P48" s="12" t="str">
        <f t="shared" si="2"/>
        <v/>
      </c>
      <c r="R48" s="12" t="str">
        <f t="shared" si="3"/>
        <v>* noGeneticSyndromeWho2020.mcCuneAlbrightSyndrome insert ObligationActorAndCode($actor-sarcoma-i4rc, #handle)</v>
      </c>
    </row>
    <row r="49" spans="1:18" ht="44.25" x14ac:dyDescent="0.75">
      <c r="A49" s="11">
        <v>39</v>
      </c>
      <c r="B49" s="123" t="s">
        <v>2087</v>
      </c>
      <c r="C49" s="11" t="s">
        <v>1964</v>
      </c>
      <c r="D49" s="11" t="s">
        <v>1964</v>
      </c>
      <c r="E49" s="11">
        <v>1</v>
      </c>
      <c r="F49" s="11">
        <v>1</v>
      </c>
      <c r="G49" s="11" t="s">
        <v>44</v>
      </c>
      <c r="H49" s="119"/>
      <c r="I49" s="12" t="b">
        <v>0</v>
      </c>
      <c r="J49" s="12" t="b">
        <v>1</v>
      </c>
      <c r="L49" s="12" t="str">
        <f t="shared" si="0"/>
        <v>* noGeneticSyndromeWho2020.multipleOsteochondromas 1..1 boolean ##34#Multiple osteochondromas##34# ##334#Multiple osteochondromas##334#</v>
      </c>
      <c r="N49" s="12" t="str">
        <f t="shared" si="1"/>
        <v/>
      </c>
      <c r="P49" s="12" t="str">
        <f t="shared" si="2"/>
        <v/>
      </c>
      <c r="R49" s="12" t="str">
        <f t="shared" si="3"/>
        <v>* noGeneticSyndromeWho2020.multipleOsteochondromas insert ObligationActorAndCode($actor-sarcoma-i4rc, #handle)</v>
      </c>
    </row>
    <row r="50" spans="1:18" ht="29.5" x14ac:dyDescent="0.75">
      <c r="A50" s="11">
        <v>40</v>
      </c>
      <c r="B50" s="123" t="s">
        <v>2088</v>
      </c>
      <c r="C50" s="11" t="s">
        <v>1965</v>
      </c>
      <c r="D50" s="11" t="s">
        <v>1978</v>
      </c>
      <c r="E50" s="11">
        <v>1</v>
      </c>
      <c r="F50" s="11">
        <v>1</v>
      </c>
      <c r="G50" s="11" t="s">
        <v>44</v>
      </c>
      <c r="H50" s="119"/>
      <c r="I50" s="12" t="b">
        <v>0</v>
      </c>
      <c r="J50" s="12" t="b">
        <v>1</v>
      </c>
      <c r="L50" s="12" t="str">
        <f t="shared" si="0"/>
        <v>* noGeneticSyndromeWho2020.neurofibromatosisType1 1..1 boolean ##34#Neurofibromatosis type 1##34# ##334#Neurofibromatosis type 2##334#</v>
      </c>
      <c r="N50" s="12" t="str">
        <f t="shared" si="1"/>
        <v/>
      </c>
      <c r="P50" s="12" t="str">
        <f t="shared" si="2"/>
        <v/>
      </c>
      <c r="R50" s="12" t="str">
        <f t="shared" si="3"/>
        <v>* noGeneticSyndromeWho2020.neurofibromatosisType1 insert ObligationActorAndCode($actor-sarcoma-i4rc, #handle)</v>
      </c>
    </row>
    <row r="51" spans="1:18" ht="44.25" x14ac:dyDescent="0.75">
      <c r="A51" s="11">
        <v>41</v>
      </c>
      <c r="B51" s="123" t="s">
        <v>2089</v>
      </c>
      <c r="C51" s="11" t="s">
        <v>1966</v>
      </c>
      <c r="D51" s="11" t="s">
        <v>1966</v>
      </c>
      <c r="E51" s="11">
        <v>1</v>
      </c>
      <c r="F51" s="11">
        <v>1</v>
      </c>
      <c r="G51" s="11" t="s">
        <v>44</v>
      </c>
      <c r="H51" s="119"/>
      <c r="I51" s="12" t="b">
        <v>0</v>
      </c>
      <c r="J51" s="12" t="b">
        <v>1</v>
      </c>
      <c r="L51" s="12" t="str">
        <f t="shared" si="0"/>
        <v>* noGeneticSyndromeWho2020.rothmundThomsonSyndrome 1..1 boolean ##34#Rothmund-Thomson syndrome##34# ##334#Rothmund-Thomson syndrome##334#</v>
      </c>
      <c r="N51" s="12" t="str">
        <f t="shared" si="1"/>
        <v/>
      </c>
      <c r="P51" s="12" t="str">
        <f t="shared" si="2"/>
        <v/>
      </c>
      <c r="R51" s="12" t="str">
        <f t="shared" si="3"/>
        <v>* noGeneticSyndromeWho2020.rothmundThomsonSyndrome insert ObligationActorAndCode($actor-sarcoma-i4rc, #handle)</v>
      </c>
    </row>
    <row r="52" spans="1:18" ht="29.5" x14ac:dyDescent="0.75">
      <c r="A52" s="11">
        <v>42</v>
      </c>
      <c r="B52" s="123" t="s">
        <v>2090</v>
      </c>
      <c r="C52" s="11" t="s">
        <v>1967</v>
      </c>
      <c r="D52" s="11" t="s">
        <v>1967</v>
      </c>
      <c r="E52" s="11">
        <v>1</v>
      </c>
      <c r="F52" s="11">
        <v>1</v>
      </c>
      <c r="G52" s="11" t="s">
        <v>44</v>
      </c>
      <c r="H52" s="119"/>
      <c r="I52" s="12" t="b">
        <v>0</v>
      </c>
      <c r="J52" s="12" t="b">
        <v>1</v>
      </c>
      <c r="L52" s="12" t="str">
        <f t="shared" si="0"/>
        <v>* noGeneticSyndromeWho2020.wernerSyndrome 1..1 boolean ##34#Werner syndrome##34# ##334#Werner syndrome##334#</v>
      </c>
      <c r="N52" s="12" t="str">
        <f t="shared" si="1"/>
        <v/>
      </c>
      <c r="P52" s="12" t="str">
        <f t="shared" si="2"/>
        <v/>
      </c>
      <c r="R52" s="12" t="str">
        <f t="shared" si="3"/>
        <v>* noGeneticSyndromeWho2020.wernerSyndrome insert ObligationActorAndCode($actor-sarcoma-i4rc, #handle)</v>
      </c>
    </row>
    <row r="53" spans="1:18" ht="29.5" x14ac:dyDescent="0.75">
      <c r="A53" s="11">
        <v>43</v>
      </c>
      <c r="B53" s="123" t="s">
        <v>2091</v>
      </c>
      <c r="C53" s="11" t="s">
        <v>1968</v>
      </c>
      <c r="D53" s="11" t="s">
        <v>1968</v>
      </c>
      <c r="E53" s="11">
        <v>1</v>
      </c>
      <c r="F53" s="11">
        <v>1</v>
      </c>
      <c r="G53" s="11" t="s">
        <v>44</v>
      </c>
      <c r="H53" s="119"/>
      <c r="I53" s="12" t="b">
        <v>0</v>
      </c>
      <c r="J53" s="12" t="b">
        <v>1</v>
      </c>
      <c r="L53" s="12" t="str">
        <f t="shared" si="0"/>
        <v>* noGeneticSyndromeWho2020.retinoblastoma 1..1 boolean ##34#Retinoblastoma##34# ##334#Retinoblastoma##334#</v>
      </c>
      <c r="N53" s="12" t="str">
        <f t="shared" si="1"/>
        <v/>
      </c>
      <c r="P53" s="12" t="str">
        <f t="shared" si="2"/>
        <v/>
      </c>
      <c r="R53" s="12" t="str">
        <f t="shared" si="3"/>
        <v>* noGeneticSyndromeWho2020.retinoblastoma insert ObligationActorAndCode($actor-sarcoma-i4rc, #handle)</v>
      </c>
    </row>
    <row r="54" spans="1:18" ht="29.5" x14ac:dyDescent="0.75">
      <c r="A54" s="11">
        <v>44</v>
      </c>
      <c r="B54" s="123" t="s">
        <v>2092</v>
      </c>
      <c r="C54" s="11" t="s">
        <v>1969</v>
      </c>
      <c r="D54" s="11" t="s">
        <v>1969</v>
      </c>
      <c r="E54" s="11">
        <v>1</v>
      </c>
      <c r="F54" s="11">
        <v>1</v>
      </c>
      <c r="G54" s="11" t="s">
        <v>44</v>
      </c>
      <c r="H54" s="119"/>
      <c r="I54" s="12" t="b">
        <v>0</v>
      </c>
      <c r="J54" s="12" t="b">
        <v>1</v>
      </c>
      <c r="L54" s="12" t="str">
        <f t="shared" si="0"/>
        <v>* noGeneticSyndromeWho2020.pagetDisease 1..1 boolean ##34#Paget disease##34# ##334#Paget disease##334#</v>
      </c>
      <c r="N54" s="12" t="str">
        <f t="shared" si="1"/>
        <v/>
      </c>
      <c r="P54" s="12" t="str">
        <f t="shared" si="2"/>
        <v/>
      </c>
      <c r="R54" s="12" t="str">
        <f t="shared" si="3"/>
        <v>* noGeneticSyndromeWho2020.pagetDisease insert ObligationActorAndCode($actor-sarcoma-i4rc, #handle)</v>
      </c>
    </row>
    <row r="55" spans="1:18" ht="44.25" x14ac:dyDescent="0.75">
      <c r="A55" s="11">
        <v>45</v>
      </c>
      <c r="B55" s="123" t="s">
        <v>2093</v>
      </c>
      <c r="C55" s="11" t="s">
        <v>1970</v>
      </c>
      <c r="D55" s="11" t="s">
        <v>1970</v>
      </c>
      <c r="E55" s="11">
        <v>1</v>
      </c>
      <c r="F55" s="11">
        <v>1</v>
      </c>
      <c r="G55" s="11" t="s">
        <v>44</v>
      </c>
      <c r="H55" s="119"/>
      <c r="I55" s="12" t="b">
        <v>0</v>
      </c>
      <c r="J55" s="12" t="b">
        <v>1</v>
      </c>
      <c r="L55" s="12" t="str">
        <f t="shared" si="0"/>
        <v>* noGeneticSyndromeWho2020.otherSyndromes 1..1 boolean ##34#Other Genetic syndrome WHO 2020 ##34# ##334#Other Genetic syndrome WHO 2020 ##334#</v>
      </c>
      <c r="N55" s="12" t="str">
        <f t="shared" si="1"/>
        <v/>
      </c>
      <c r="P55" s="12" t="str">
        <f t="shared" si="2"/>
        <v/>
      </c>
      <c r="R55" s="12" t="str">
        <f t="shared" si="3"/>
        <v>* noGeneticSyndromeWho2020.otherSyndromes insert ObligationActorAndCode($actor-sarcoma-i4rc, #handle)</v>
      </c>
    </row>
    <row r="56" spans="1:18" ht="29.5" x14ac:dyDescent="0.75">
      <c r="A56" s="11">
        <v>46</v>
      </c>
      <c r="B56" s="66" t="s">
        <v>1971</v>
      </c>
      <c r="C56" s="11" t="s">
        <v>1972</v>
      </c>
      <c r="D56" s="11" t="s">
        <v>2080</v>
      </c>
      <c r="E56" s="11">
        <v>1</v>
      </c>
      <c r="F56" s="11">
        <v>1</v>
      </c>
      <c r="G56" s="11" t="s">
        <v>44</v>
      </c>
      <c r="H56" s="119"/>
      <c r="I56" s="12" t="b">
        <v>0</v>
      </c>
      <c r="J56" s="12" t="b">
        <v>1</v>
      </c>
      <c r="L56" s="12" t="str">
        <f t="shared" si="0"/>
        <v>* occurrenceOfOtherCancer 1..1 boolean ##34#Occurrence of other cancer##34# ##334#Occurrence of other cancers in the past (yes/no)##334#</v>
      </c>
      <c r="N56" s="12" t="str">
        <f t="shared" si="1"/>
        <v/>
      </c>
      <c r="P56" s="12" t="str">
        <f t="shared" si="2"/>
        <v/>
      </c>
      <c r="R56" s="12" t="str">
        <f t="shared" si="3"/>
        <v>* occurrenceOfOtherCancer insert ObligationActorAndCode($actor-sarcoma-i4rc, #handle)</v>
      </c>
    </row>
    <row r="57" spans="1:18" ht="103.25" x14ac:dyDescent="0.75">
      <c r="A57" s="11">
        <v>47</v>
      </c>
      <c r="B57" s="11" t="s">
        <v>1973</v>
      </c>
      <c r="C57" s="11" t="s">
        <v>1974</v>
      </c>
      <c r="D57" s="11" t="s">
        <v>1974</v>
      </c>
      <c r="E57" s="11">
        <v>1</v>
      </c>
      <c r="F57" s="11">
        <v>1</v>
      </c>
      <c r="G57" s="11" t="s">
        <v>1468</v>
      </c>
      <c r="H57" s="119" t="s">
        <v>1983</v>
      </c>
      <c r="I57" s="12" t="b">
        <v>0</v>
      </c>
      <c r="J57" s="12" t="b">
        <v>1</v>
      </c>
      <c r="L57" s="12" t="str">
        <f t="shared" si="0"/>
        <v>* previousCancerTreatment 1..1 CodeableConcept ##34#Previous cancer treatment##34# ##334#Previous cancer treatment##334#</v>
      </c>
      <c r="N57" s="12" t="str">
        <f t="shared" si="1"/>
        <v>* previousCancerTreatment ^comment = ##334#Chemotherapy/radiation/surgery/other (site of radiotherapy)
Chemotherapy - 4273629
Radiation - 4029715
Surgery - 4121697 
Other - Needs to be specified##334#</v>
      </c>
      <c r="P57" s="12" t="str">
        <f t="shared" si="2"/>
        <v/>
      </c>
      <c r="R57" s="12" t="str">
        <f t="shared" si="3"/>
        <v>* previousCancerTreatment insert ObligationActorAndCode($actor-sarcoma-i4rc, #handle)</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row r="60" spans="1:18" x14ac:dyDescent="0.75">
      <c r="L60" s="12" t="str">
        <f t="shared" si="0"/>
        <v>*  ..  ##34###34# ##334###334#</v>
      </c>
      <c r="N60" s="12" t="str">
        <f t="shared" si="1"/>
        <v>*  ..  ##34###34# ##334###334#</v>
      </c>
      <c r="P60" s="12" t="str">
        <f t="shared" si="2"/>
        <v>*  ..  ##34###34# ##334###334#</v>
      </c>
      <c r="R60" s="12" t="str">
        <f t="shared" si="3"/>
        <v>*  ..  ##34###34# ##334###334#</v>
      </c>
    </row>
    <row r="61" spans="1:18" x14ac:dyDescent="0.75">
      <c r="L61" s="12" t="str">
        <f t="shared" si="0"/>
        <v>*  ..  ##34###34# ##334###334#</v>
      </c>
      <c r="N61" s="12" t="str">
        <f t="shared" si="1"/>
        <v>*  ..  ##34###34# ##334###334#</v>
      </c>
      <c r="P61" s="12" t="str">
        <f t="shared" si="2"/>
        <v>*  ..  ##34###34# ##334###334#</v>
      </c>
      <c r="R61" s="12" t="str">
        <f t="shared" si="3"/>
        <v>*  ..  ##34###34# ##334###334#</v>
      </c>
    </row>
  </sheetData>
  <autoFilter ref="A7:O43"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election activeCell="C182" sqref="C182:C23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smokingType 0..1 CodeableConcept ##34#Smoking type##34# ##334#Describes type of tobacco##334#</v>
      </c>
    </row>
    <row r="14" spans="3:7" ht="29.5" x14ac:dyDescent="0.75">
      <c r="C14" s="12" t="str">
        <f>IF(Subject!L14="*  ..  ##34###34# ##334###334#","//--- END",Subject!L14)</f>
        <v>* cigSmokedPerDay 0..1 integer ##34#Cigarettes/cigars smoked per day##34# ##334#Number of cigarettes or cigars smoked in one day. Together with the information of number of years as a smoker, these information will allow to automatically calculate the pack year.##334#</v>
      </c>
    </row>
    <row r="15" spans="3:7" ht="29.5" x14ac:dyDescent="0.75">
      <c r="C15" s="12" t="str">
        <f>IF(Subject!L15="*  ..  ##34###34# ##334###334#","//--- END",Subject!L15)</f>
        <v>* yearsAsSmoker 0..1 integer ##34#Number of years as a smoker##34# ##334#Number of years the person has smoked##334#</v>
      </c>
    </row>
    <row r="16" spans="3:7" ht="29.5" x14ac:dyDescent="0.75">
      <c r="C16" s="12" t="str">
        <f>IF(Subject!L16="*  ..  ##34###34# ##334###334#","//--- END",Subject!L16)</f>
        <v>* alcohol 1..1 CodeableConcept ##34#Alcohol##34# ##334#Describes alcohol habits within the options proposed##334#</v>
      </c>
    </row>
    <row r="17" spans="3:3" ht="29.5" x14ac:dyDescent="0.75">
      <c r="C17" s="12" t="str">
        <f>IF(Subject!L17="*  ..  ##34###34# ##334###334#","//--- END",Subject!L17)</f>
        <v>* bMI 0..1 Quantity ##34#Height/weight (BMI)
##34# ##334#Provides the BMI for the patient##334#</v>
      </c>
    </row>
    <row r="18" spans="3:3" ht="29.5" x14ac:dyDescent="0.75">
      <c r="C18" s="12" t="str">
        <f>IF(Subject!L18="*  ..  ##34###34# ##334###334#","//--- END",Subject!L18)</f>
        <v>* charlsonComorbidityIndex 0..1 integer ##34#Charlson Comorbidity index##34# ##334#Provides the Charlson Comorbidity index for the patient##334#</v>
      </c>
    </row>
    <row r="19" spans="3:3" ht="29.5" x14ac:dyDescent="0.75">
      <c r="C19" s="12" t="str">
        <f>IF(Subject!L19="*  ..  ##34###34# ##334###334#","//--- END",Subject!L19)</f>
        <v>* comorbidity 1..1 BackboneElement ##34#Comorbidity##34# ##334#Describes whether the patient was diagnosed before treatment of at least one of the comorbidities listed  next (or not) relevant for head and neck cancer.##334#</v>
      </c>
    </row>
    <row r="20" spans="3:3" ht="29.5" x14ac:dyDescent="0.75">
      <c r="C20" s="12" t="str">
        <f>IF(Subject!L20="*  ..  ##34###34# ##334###334#","//--- END",Subject!L20)</f>
        <v>* comorbidity.myocardialInfarction 0..1 boolean ##34#Myocardial infarction##34# ##334#Describes comorbidities reported or assesed before treatment. More than one choice is allowed. Please do not include the current cancer in this calculation, only the previous cancer.##334#</v>
      </c>
    </row>
    <row r="21" spans="3:3" ht="29.5" x14ac:dyDescent="0.75">
      <c r="C21" s="12" t="str">
        <f>IF(Subject!L21="*  ..  ##34###34# ##334###334#","//--- END",Subject!L21)</f>
        <v>* comorbidity.congestiveHeartFailure 0..1 boolean ##34#Congestive heart failure##34# ##334#Previous cancer comorbidity related to Congestive heart failure##334#</v>
      </c>
    </row>
    <row r="22" spans="3:3" ht="29.5" x14ac:dyDescent="0.75">
      <c r="C22" s="12" t="str">
        <f>IF(Subject!L22="*  ..  ##34###34# ##334###334#","//--- END",Subject!L22)</f>
        <v>* comorbidity.peripheralVascularDisease 0..1 boolean ##34#Peripheral vascular disease##34# ##334#Previous cancer comorbidity related to Peripheral vascular disease##334#</v>
      </c>
    </row>
    <row r="23" spans="3:3" ht="29.5" x14ac:dyDescent="0.75">
      <c r="C23" s="12" t="str">
        <f>IF(Subject!L23="*  ..  ##34###34# ##334###334#","//--- END",Subject!L23)</f>
        <v>* comorbidity.cerebrovascularAccidentExceptHemiplegia 0..1 boolean ##34#Cerebrovascular accident  (except hemiplegia)##34# ##334#Previous cancer comorbidity related to Cerebrovascular accident  (except hemiplegia)##334#</v>
      </c>
    </row>
    <row r="24" spans="3:3" ht="29.5" x14ac:dyDescent="0.75">
      <c r="C24" s="12" t="str">
        <f>IF(Subject!L24="*  ..  ##34###34# ##334###334#","//--- END",Subject!L24)</f>
        <v>* comorbidity.dementia 0..1 boolean ##34#Dementia##34# ##334#Previous cancer comorbidity related to Dementia##334#</v>
      </c>
    </row>
    <row r="25" spans="3:3" ht="29.5" x14ac:dyDescent="0.75">
      <c r="C25" s="12" t="str">
        <f>IF(Subject!L25="*  ..  ##34###34# ##334###334#","//--- END",Subject!L25)</f>
        <v>* comorbidity.chronicPulmonaryDisease 0..1 boolean ##34#Chronic pulmonary disease##34# ##334#Previous cancer comorbidity related to Chronic pulmonary disease##334#</v>
      </c>
    </row>
    <row r="26" spans="3:3" ht="29.5" x14ac:dyDescent="0.75">
      <c r="C26" s="12" t="str">
        <f>IF(Subject!L26="*  ..  ##34###34# ##334###334#","//--- END",Subject!L26)</f>
        <v>* comorbidity.connectiveTissueDisease 0..1 boolean ##34#Connective tissue disease##34# ##334#Previous cancer comorbidity related to Connective tissue disease##334#</v>
      </c>
    </row>
    <row r="27" spans="3:3" ht="29.5" x14ac:dyDescent="0.75">
      <c r="C27" s="12" t="str">
        <f>IF(Subject!L27="*  ..  ##34###34# ##334###334#","//--- END",Subject!L27)</f>
        <v>* comorbidity.ulcer 0..1 boolean ##34#Ulcer##34# ##334#Previous cancer comorbidity related to Ulcer##334#</v>
      </c>
    </row>
    <row r="28" spans="3:3" ht="29.5" x14ac:dyDescent="0.75">
      <c r="C28" s="12" t="str">
        <f>IF(Subject!L28="*  ..  ##34###34# ##334###334#","//--- END",Subject!L28)</f>
        <v>* comorbidity.mildLiverDisease 0..1 boolean ##34#Mild liver disease##34# ##334#Previous cancer comorbidity related to Mild liver disease##334#</v>
      </c>
    </row>
    <row r="29" spans="3:3" ht="29.5" x14ac:dyDescent="0.75">
      <c r="C29" s="12" t="str">
        <f>IF(Subject!L29="*  ..  ##34###34# ##334###334#","//--- END",Subject!L29)</f>
        <v>* comorbidity.moderateToSevereLiverDisease 0..1 boolean ##34#Moderate to severe liver disease##34# ##334#Previous cancer comorbidity related to Moderate to severe liver disease##334#</v>
      </c>
    </row>
    <row r="30" spans="3:3" ht="29.5" x14ac:dyDescent="0.75">
      <c r="C30" s="12" t="str">
        <f>IF(Subject!L30="*  ..  ##34###34# ##334###334#","//--- END",Subject!L30)</f>
        <v>* comorbidity.diabetesWithoutComplications 0..1 boolean ##34#Diabetes (without complications)##34# ##334#Previous cancer comorbidity related to Diabetes (without complications)##334#</v>
      </c>
    </row>
    <row r="31" spans="3:3" ht="29.5" x14ac:dyDescent="0.75">
      <c r="C31" s="12" t="str">
        <f>IF(Subject!L31="*  ..  ##34###34# ##334###334#","//--- END",Subject!L31)</f>
        <v>* comorbidity.diabetesWithEndOrganDamage 0..1 boolean ##34#Diabetes with end organ damage##34# ##334#Previous cancer comorbidity related to Diabetes with end organ damage##334#</v>
      </c>
    </row>
    <row r="32" spans="3:3" ht="29.5" x14ac:dyDescent="0.75">
      <c r="C32" s="12" t="str">
        <f>IF(Subject!L32="*  ..  ##34###34# ##334###334#","//--- END",Subject!L32)</f>
        <v>* comorbidity.hemiplegia 0..1 boolean ##34#Hemiplegia##34# ##334#Previous cancer comorbidity related to Hemiplegia##334#</v>
      </c>
    </row>
    <row r="33" spans="3:3" ht="29.5" x14ac:dyDescent="0.75">
      <c r="C33" s="12" t="str">
        <f>IF(Subject!L33="*  ..  ##34###34# ##334###334#","//--- END",Subject!L33)</f>
        <v>* comorbidity.moderateToSevereRenalDisease 0..1 boolean ##34#Moderate to severe renal disease##34# ##334#Previous cancer comorbidity related to Moderate to severe renal disease##334#</v>
      </c>
    </row>
    <row r="34" spans="3:3" ht="29.5" x14ac:dyDescent="0.75">
      <c r="C34" s="12" t="str">
        <f>IF(Subject!L34="*  ..  ##34###34# ##334###334#","//--- END",Subject!L34)</f>
        <v>* comorbidity.solidTumorNonMetastatic 0..1 boolean ##34#Solid tumor (non metastatic)##34# ##334#Previous cancer comorbidity related to Solid tumor (non metastatic)##334#</v>
      </c>
    </row>
    <row r="35" spans="3:3" ht="29.5" x14ac:dyDescent="0.75">
      <c r="C35" s="12" t="str">
        <f>IF(Subject!L35="*  ..  ##34###34# ##334###334#","//--- END",Subject!L35)</f>
        <v>* comorbidity.metastaticSolidTumor 0..1 boolean ##34#Metastatic solid tumor##34# ##334#Previous cancer comorbidity related to Metastatic solid tumor##334#</v>
      </c>
    </row>
    <row r="36" spans="3:3" x14ac:dyDescent="0.75">
      <c r="C36" s="12" t="str">
        <f>IF(Subject!L36="*  ..  ##34###34# ##334###334#","//--- END",Subject!L36)</f>
        <v>* comorbidity.leukemia 0..1 boolean ##34#Leukemia##34# ##334#Previous cancer comorbidity related to Leukemia##334#</v>
      </c>
    </row>
    <row r="37" spans="3:3" x14ac:dyDescent="0.75">
      <c r="C37" s="12" t="str">
        <f>IF(Subject!L37="*  ..  ##34###34# ##334###334#","//--- END",Subject!L37)</f>
        <v>* comorbidity.lymphoma 0..1 boolean ##34#Lymphoma##34# ##334#Previous cancer comorbidity related to Lymphoma##334#</v>
      </c>
    </row>
    <row r="38" spans="3:3" ht="29.5" x14ac:dyDescent="0.75">
      <c r="C38" s="12" t="str">
        <f>IF(Subject!L38="*  ..  ##34###34# ##334###334#","//--- END",Subject!L38)</f>
        <v>* comorbidity.multipleMyeloma 0..1 boolean ##34#Multiple myeloma##34# ##334#Previous cancer comorbidity related to Multiple myeloma##334#</v>
      </c>
    </row>
    <row r="39" spans="3:3" x14ac:dyDescent="0.75">
      <c r="C39" s="12" t="str">
        <f>IF(Subject!L39="*  ..  ##34###34# ##334###334#","//--- END",Subject!L39)</f>
        <v>* comorbidity.aids 0..1 boolean ##34#AIDS##34# ##334#Previous cancer comorbidity related to AIDS##334#</v>
      </c>
    </row>
    <row r="40" spans="3:3" ht="29.5" x14ac:dyDescent="0.75">
      <c r="C40" s="12" t="str">
        <f>IF(Subject!L40="*  ..  ##34###34# ##334###334#","//--- END",Subject!L40)</f>
        <v>* ecogPsAtDiagnosis 0..1 integer ##34#Eastern Cooperative Oncology Group performance status (ECOG PS)  at diagnosis##34# ##334#Eastern Cooperative Oncology Group performance status (ECOG PS)  at diagnosis##334#</v>
      </c>
    </row>
    <row r="41" spans="3:3" ht="29.5" x14ac:dyDescent="0.75">
      <c r="C41" s="12" t="str">
        <f>IF(Subject!L41="*  ..  ##34###34# ##334###334#","//--- END",Subject!L41)</f>
        <v>* ecogPsLabel 0..1 CodeableConcept ##34#ECOG PS label##34# ##334#Eastern Cooperative Oncology Group performance status (ECOG PS)  label##334#</v>
      </c>
    </row>
    <row r="42" spans="3:3" x14ac:dyDescent="0.75">
      <c r="C42" s="12" t="str">
        <f>IF(Subject!L42="*  ..  ##34###34# ##334###334#","//--- END",Subject!L42)</f>
        <v>* karnofsyIndexAtDiagnosis 0..1 integer ##34#Karnofsy index at diagnosis##34# ##334#Karnofsy index at diagnosis##334#</v>
      </c>
    </row>
    <row r="43" spans="3:3" x14ac:dyDescent="0.75">
      <c r="C43" s="12" t="str">
        <f>IF(Subject!L43="*  ..  ##34###34# ##334###334#","//--- END",Subject!L43)</f>
        <v>* karnofsyIndexLabel 0..1 CodeableConcept ##34#Karnofsy index label##34# ##334#Karnofsy index at diagnosis##334#</v>
      </c>
    </row>
    <row r="44" spans="3:3" ht="44.25" x14ac:dyDescent="0.75">
      <c r="C44" s="12" t="str">
        <f>IF(Subject!L44="*  ..  ##34###34# ##334###334#","//--- END",Subject!L44)</f>
        <v>* noGeneticSyndromeWho2020 1..1 BackboneElement ##34#No Genetic syndrome WHO 2020 ##34# ##334#Describes whether the patient was diagnosed before treatment of at least one of the diseases, syndromes listed  next (or not) relevant for sarcoma.##334#</v>
      </c>
    </row>
    <row r="45" spans="3:3" x14ac:dyDescent="0.75">
      <c r="C45" s="12" t="str">
        <f>IF(Subject!L45="*  ..  ##34###34# ##334###334#","//--- END",Subject!L45)</f>
        <v>* noGeneticSyndromeWho2020.olliersDisease 1..1 boolean ##34#Olliers disease##34# ##334#Olliers disease##334#</v>
      </c>
    </row>
    <row r="46" spans="3:3" x14ac:dyDescent="0.75">
      <c r="C46" s="12" t="str">
        <f>IF(Subject!L46="*  ..  ##34###34# ##334###334#","//--- END",Subject!L46)</f>
        <v>* noGeneticSyndromeWho2020.maffuciSyndrome 1..1 boolean ##34#Maffuci syndrome##34# ##334#Maffuci syndrome##334#</v>
      </c>
    </row>
    <row r="47" spans="3:3" ht="29.5" x14ac:dyDescent="0.75">
      <c r="C47" s="12" t="str">
        <f>IF(Subject!L47="*  ..  ##34###34# ##334###334#","//--- END",Subject!L47)</f>
        <v>* noGeneticSyndromeWho2020.liFraumeniSyndrome 1..1 boolean ##34#Li-Fraumeni syndrome##34# ##334#Li-Fraumeni syndrome##334#</v>
      </c>
    </row>
    <row r="48" spans="3:3" ht="29.5" x14ac:dyDescent="0.75">
      <c r="C48" s="12" t="str">
        <f>IF(Subject!L48="*  ..  ##34###34# ##334###334#","//--- END",Subject!L48)</f>
        <v>* noGeneticSyndromeWho2020.mcCuneAlbrightSyndrome 1..1 boolean ##34#McCune-Albright syndrome##34# ##334#McCune-Albright syndrome##334#</v>
      </c>
    </row>
    <row r="49" spans="3:3" ht="29.5" x14ac:dyDescent="0.75">
      <c r="C49" s="12" t="str">
        <f>IF(Subject!L49="*  ..  ##34###34# ##334###334#","//--- END",Subject!L49)</f>
        <v>* noGeneticSyndromeWho2020.multipleOsteochondromas 1..1 boolean ##34#Multiple osteochondromas##34# ##334#Multiple osteochondromas##334#</v>
      </c>
    </row>
    <row r="50" spans="3:3" ht="29.5" x14ac:dyDescent="0.75">
      <c r="C50" s="12" t="str">
        <f>IF(Subject!L50="*  ..  ##34###34# ##334###334#","//--- END",Subject!L50)</f>
        <v>* noGeneticSyndromeWho2020.neurofibromatosisType1 1..1 boolean ##34#Neurofibromatosis type 1##34# ##334#Neurofibromatosis type 2##334#</v>
      </c>
    </row>
    <row r="51" spans="3:3" ht="29.5" x14ac:dyDescent="0.75">
      <c r="C51" s="12" t="str">
        <f>IF(Subject!L51="*  ..  ##34###34# ##334###334#","//--- END",Subject!L51)</f>
        <v>* noGeneticSyndromeWho2020.rothmundThomsonSyndrome 1..1 boolean ##34#Rothmund-Thomson syndrome##34# ##334#Rothmund-Thomson syndrome##334#</v>
      </c>
    </row>
    <row r="52" spans="3:3" x14ac:dyDescent="0.75">
      <c r="C52" s="12" t="str">
        <f>IF(Subject!L52="*  ..  ##34###34# ##334###334#","//--- END",Subject!L52)</f>
        <v>* noGeneticSyndromeWho2020.wernerSyndrome 1..1 boolean ##34#Werner syndrome##34# ##334#Werner syndrome##334#</v>
      </c>
    </row>
    <row r="53" spans="3:3" x14ac:dyDescent="0.75">
      <c r="C53" s="12" t="str">
        <f>IF(Subject!L53="*  ..  ##34###34# ##334###334#","//--- END",Subject!L53)</f>
        <v>* noGeneticSyndromeWho2020.retinoblastoma 1..1 boolean ##34#Retinoblastoma##34# ##334#Retinoblastoma##334#</v>
      </c>
    </row>
    <row r="54" spans="3:3" x14ac:dyDescent="0.75">
      <c r="C54" s="12" t="str">
        <f>IF(Subject!L54="*  ..  ##34###34# ##334###334#","//--- END",Subject!L54)</f>
        <v>* noGeneticSyndromeWho2020.pagetDisease 1..1 boolean ##34#Paget disease##34# ##334#Paget disease##334#</v>
      </c>
    </row>
    <row r="55" spans="3:3" ht="29.5" x14ac:dyDescent="0.75">
      <c r="C55" s="12" t="str">
        <f>IF(Subject!L55="*  ..  ##34###34# ##334###334#","//--- END",Subject!L55)</f>
        <v>* noGeneticSyndromeWho2020.otherSyndromes 1..1 boolean ##34#Other Genetic syndrome WHO 2020 ##34# ##334#Other Genetic syndrome WHO 2020 ##334#</v>
      </c>
    </row>
    <row r="56" spans="3:3" ht="29.5" x14ac:dyDescent="0.75">
      <c r="C56" s="12" t="str">
        <f>IF(Subject!L56="*  ..  ##34###34# ##334###334#","//--- END",Subject!L56)</f>
        <v>* occurrenceOfOtherCancer 1..1 boolean ##34#Occurrence of other cancer##34# ##334#Occurrence of other cancers in the past (yes/no)##334#</v>
      </c>
    </row>
    <row r="57" spans="3:3" ht="29.5" x14ac:dyDescent="0.75">
      <c r="C57" s="12" t="str">
        <f>IF(Subject!L57="*  ..  ##34###34# ##334###334#","//--- END",Subject!L57)</f>
        <v>* previousCancerTreatment 1..1 CodeableConcept ##34#Previous cancer treatment##34# ##334#Previous cancer treatment##334#</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1387</v>
      </c>
    </row>
    <row r="63" spans="3:3" x14ac:dyDescent="0.75">
      <c r="C63" s="24" t="s">
        <v>1461</v>
      </c>
    </row>
    <row r="64" spans="3:3" x14ac:dyDescent="0.75">
      <c r="C64" s="24" t="s">
        <v>1387</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ht="59" x14ac:dyDescent="0.75">
      <c r="C70" s="12" t="str">
        <f>IF(Subject!N13="*  ..  ##34###34# ##334###334#","//--- END",Subject!N13)</f>
        <v>* smokingType ^comment = ##334#Cigarettes; Cigar; Unknown
Cigarettes - 36716475
Cigar -  36716476
Unknown - 4129922##334#</v>
      </c>
    </row>
    <row r="71" spans="3:3" x14ac:dyDescent="0.75">
      <c r="C71" s="12" t="str">
        <f>IF(Subject!N14="*  ..  ##34###34# ##334###334#","//--- END",Subject!N14)</f>
        <v/>
      </c>
    </row>
    <row r="72" spans="3:3" x14ac:dyDescent="0.75">
      <c r="C72" s="12" t="str">
        <f>IF(Subject!N15="*  ..  ##34###34# ##334###334#","//--- END",Subject!N15)</f>
        <v/>
      </c>
    </row>
    <row r="73" spans="3:3" ht="88.5" x14ac:dyDescent="0.75">
      <c r="C73" s="12" t="str">
        <f>IF(Subject!N16="*  ..  ##34###34# ##334###334#","//--- END",Subject!N16)</f>
        <v>* alcohol ^comment = ##334#Current; Former (at least for 12 months); Never; History of alcohol dependence; Unknown
Current drinker - 4074035
Ex-drinker - 4220362
Lifetime non-drinker of alcohol - 37204556
Ex-problem drinker - 4117706
##334#</v>
      </c>
    </row>
    <row r="74" spans="3:3" x14ac:dyDescent="0.75">
      <c r="C74" s="12" t="str">
        <f>IF(Subject!N17="*  ..  ##34###34# ##334###334#","//--- END",Subject!N17)</f>
        <v/>
      </c>
    </row>
    <row r="75" spans="3:3" x14ac:dyDescent="0.75">
      <c r="C75" s="12" t="str">
        <f>IF(Subject!N18="*  ..  ##34###34# ##334###334#","//--- END",Subject!N18)</f>
        <v/>
      </c>
    </row>
    <row r="76" spans="3:3" ht="59" x14ac:dyDescent="0.75">
      <c r="C76" s="12" t="str">
        <f>IF(Subject!N19="*  ..  ##34###34# ##334###334#","//--- END",Subject!N19)</f>
        <v>* comorbidity ^comment = ##334#Yes; No; Unknown
Yes - 4188539
No -  4188540
Unknown - 4129922##334#</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c>
    </row>
    <row r="97" spans="3:3" x14ac:dyDescent="0.75">
      <c r="C97" s="12" t="str">
        <f>IF(Subject!N40="*  ..  ##34###34# ##334###334#","//--- END",Subject!N40)</f>
        <v>* ecogPsAtDiagnosis ^comment = ##334#Ecog grades 0-5##334#</v>
      </c>
    </row>
    <row r="98" spans="3:3" ht="118" x14ac:dyDescent="0.75">
      <c r="C98" s="12" t="str">
        <f>IF(Subject!N41="*  ..  ##34###34# ##334###334#","//--- END",Subject!N41)</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9" spans="3:3" x14ac:dyDescent="0.75">
      <c r="C99" s="12" t="str">
        <f>IF(Subject!N42="*  ..  ##34###34# ##334###334#","//--- END",Subject!N42)</f>
        <v>* karnofsyIndexAtDiagnosis ^comment = ##334#KPS Scale##334#</v>
      </c>
    </row>
    <row r="100" spans="3:3" ht="29.5" x14ac:dyDescent="0.75">
      <c r="C100" s="12" t="str">
        <f>IF(Subject!N43="*  ..  ##34###34# ##334###334#","//--- END",Subject!N43)</f>
        <v>* karnofsyIndexLabel ^comment = ##334#KPS Scale
SONS Functional Neurologic Status - Karnofsky Performance Scale (KPS) - 35917688 ##334#</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c>
    </row>
    <row r="113" spans="3:3" x14ac:dyDescent="0.75">
      <c r="C113" s="12" t="str">
        <f>IF(Subject!N56="*  ..  ##34###34# ##334###334#","//--- END",Subject!N56)</f>
        <v/>
      </c>
    </row>
    <row r="114" spans="3:3" ht="73.75" x14ac:dyDescent="0.75">
      <c r="C114" s="12" t="str">
        <f>IF(Subject!N57="*  ..  ##34###34# ##334###334#","//--- END",Subject!N57)</f>
        <v>* previousCancerTreatment ^comment = ##334#Chemotherapy/radiation/surgery/other (site of radiotherapy)
Chemotherapy - 4273629
Radiation - 4029715
Surgery - 4121697 
Other - Needs to be specified##334#</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#handle)</v>
      </c>
    </row>
    <row r="124" spans="3:3" x14ac:dyDescent="0.75">
      <c r="C124" s="12" t="str">
        <f>IF(Subject!P9="*  ..  ##34###34# ##334###334#","//--- END",Subject!P9)</f>
        <v>* race insert ObligationActorAndCode($actor-headneck, #handle)</v>
      </c>
    </row>
    <row r="125" spans="3:3" x14ac:dyDescent="0.75">
      <c r="C125" s="12" t="str">
        <f>IF(Subject!P10="*  ..  ##34###34# ##334###334#","//--- END",Subject!P10)</f>
        <v>* birthYear insert ObligationActorAndCode($actor-headneck, #handle)</v>
      </c>
    </row>
    <row r="126" spans="3:3" x14ac:dyDescent="0.75">
      <c r="C126" s="12" t="str">
        <f>IF(Subject!P11="*  ..  ##34###34# ##334###334#","//--- END",Subject!P11)</f>
        <v>* countryOfResidence insert ObligationActorAndCode($actor-headneck, #handle)</v>
      </c>
    </row>
    <row r="127" spans="3:3" x14ac:dyDescent="0.75">
      <c r="C127" s="12" t="str">
        <f>IF(Subject!P12="*  ..  ##34###34# ##334###334#","//--- END",Subject!P12)</f>
        <v>* smoking insert ObligationActorAndCode($actor-headneck, #handle)</v>
      </c>
    </row>
    <row r="128" spans="3:3" x14ac:dyDescent="0.75">
      <c r="C128" s="12" t="str">
        <f>IF(Subject!P13="*  ..  ##34###34# ##334###334#","//--- END",Subject!P13)</f>
        <v>* smokingType insert ObligationActorAndCode($actor-headneck, #handle)</v>
      </c>
    </row>
    <row r="129" spans="3:3" x14ac:dyDescent="0.75">
      <c r="C129" s="12" t="str">
        <f>IF(Subject!P14="*  ..  ##34###34# ##334###334#","//--- END",Subject!P14)</f>
        <v>* cigSmokedPerDay insert ObligationActorAndCode($actor-headneck, #handle)</v>
      </c>
    </row>
    <row r="130" spans="3:3" x14ac:dyDescent="0.75">
      <c r="C130" s="12" t="str">
        <f>IF(Subject!P15="*  ..  ##34###34# ##334###334#","//--- END",Subject!P15)</f>
        <v>* yearsAsSmoker insert ObligationActorAndCode($actor-headneck, #handle)</v>
      </c>
    </row>
    <row r="131" spans="3:3" x14ac:dyDescent="0.75">
      <c r="C131" s="12" t="str">
        <f>IF(Subject!P16="*  ..  ##34###34# ##334###334#","//--- END",Subject!P16)</f>
        <v>* alcohol insert ObligationActorAndCode($actor-headneck, #handle)</v>
      </c>
    </row>
    <row r="132" spans="3:3" x14ac:dyDescent="0.75">
      <c r="C132" s="12" t="str">
        <f>IF(Subject!P17="*  ..  ##34###34# ##334###334#","//--- END",Subject!P17)</f>
        <v/>
      </c>
    </row>
    <row r="133" spans="3:3" x14ac:dyDescent="0.75">
      <c r="C133" s="12" t="str">
        <f>IF(Subject!P18="*  ..  ##34###34# ##334###334#","//--- END",Subject!P18)</f>
        <v/>
      </c>
    </row>
    <row r="134" spans="3:3" x14ac:dyDescent="0.75">
      <c r="C134" s="12" t="str">
        <f>IF(Subject!P19="*  ..  ##34###34# ##334###334#","//--- END",Subject!P19)</f>
        <v>* comorbidity insert ObligationActorAndCode($actor-headneck, #handle)</v>
      </c>
    </row>
    <row r="135" spans="3:3" x14ac:dyDescent="0.75">
      <c r="C135" s="12" t="str">
        <f>IF(Subject!P20="*  ..  ##34###34# ##334###334#","//--- END",Subject!P20)</f>
        <v>* comorbidity.myocardialInfarction insert ObligationActorAndCode($actor-headneck, #handle)</v>
      </c>
    </row>
    <row r="136" spans="3:3" x14ac:dyDescent="0.75">
      <c r="C136" s="12" t="str">
        <f>IF(Subject!P21="*  ..  ##34###34# ##334###334#","//--- END",Subject!P21)</f>
        <v>* comorbidity.congestiveHeartFailure insert ObligationActorAndCode($actor-headneck, #handle)</v>
      </c>
    </row>
    <row r="137" spans="3:3" x14ac:dyDescent="0.75">
      <c r="C137" s="12" t="str">
        <f>IF(Subject!P22="*  ..  ##34###34# ##334###334#","//--- END",Subject!P22)</f>
        <v>* comorbidity.peripheralVascularDisease insert ObligationActorAndCode($actor-headneck, #handle)</v>
      </c>
    </row>
    <row r="138" spans="3:3" x14ac:dyDescent="0.75">
      <c r="C138" s="12" t="str">
        <f>IF(Subject!P23="*  ..  ##34###34# ##334###334#","//--- END",Subject!P23)</f>
        <v>* comorbidity.cerebrovascularAccidentExceptHemiplegia insert ObligationActorAndCode($actor-headneck, #handle)</v>
      </c>
    </row>
    <row r="139" spans="3:3" x14ac:dyDescent="0.75">
      <c r="C139" s="12" t="str">
        <f>IF(Subject!P24="*  ..  ##34###34# ##334###334#","//--- END",Subject!P24)</f>
        <v>* comorbidity.dementia insert ObligationActorAndCode($actor-headneck, #handle)</v>
      </c>
    </row>
    <row r="140" spans="3:3" x14ac:dyDescent="0.75">
      <c r="C140" s="12" t="str">
        <f>IF(Subject!P25="*  ..  ##34###34# ##334###334#","//--- END",Subject!P25)</f>
        <v>* comorbidity.chronicPulmonaryDisease insert ObligationActorAndCode($actor-headneck, #handle)</v>
      </c>
    </row>
    <row r="141" spans="3:3" x14ac:dyDescent="0.75">
      <c r="C141" s="12" t="str">
        <f>IF(Subject!P26="*  ..  ##34###34# ##334###334#","//--- END",Subject!P26)</f>
        <v>* comorbidity.connectiveTissueDisease insert ObligationActorAndCode($actor-headneck, #handle)</v>
      </c>
    </row>
    <row r="142" spans="3:3" x14ac:dyDescent="0.75">
      <c r="C142" s="12" t="str">
        <f>IF(Subject!P27="*  ..  ##34###34# ##334###334#","//--- END",Subject!P27)</f>
        <v>* comorbidity.ulcer insert ObligationActorAndCode($actor-headneck, #handle)</v>
      </c>
    </row>
    <row r="143" spans="3:3" x14ac:dyDescent="0.75">
      <c r="C143" s="12" t="str">
        <f>IF(Subject!P28="*  ..  ##34###34# ##334###334#","//--- END",Subject!P28)</f>
        <v>* comorbidity.mildLiverDisease insert ObligationActorAndCode($actor-headneck, #handle)</v>
      </c>
    </row>
    <row r="144" spans="3:3" x14ac:dyDescent="0.75">
      <c r="C144" s="12" t="str">
        <f>IF(Subject!P29="*  ..  ##34###34# ##334###334#","//--- END",Subject!P29)</f>
        <v>* comorbidity.moderateToSevereLiverDisease insert ObligationActorAndCode($actor-headneck, #handle)</v>
      </c>
    </row>
    <row r="145" spans="3:3" x14ac:dyDescent="0.75">
      <c r="C145" s="12" t="str">
        <f>IF(Subject!P30="*  ..  ##34###34# ##334###334#","//--- END",Subject!P30)</f>
        <v>* comorbidity.diabetesWithoutComplications insert ObligationActorAndCode($actor-headneck, #handle)</v>
      </c>
    </row>
    <row r="146" spans="3:3" x14ac:dyDescent="0.75">
      <c r="C146" s="12" t="str">
        <f>IF(Subject!P31="*  ..  ##34###34# ##334###334#","//--- END",Subject!P31)</f>
        <v>* comorbidity.diabetesWithEndOrganDamage insert ObligationActorAndCode($actor-headneck, #handle)</v>
      </c>
    </row>
    <row r="147" spans="3:3" x14ac:dyDescent="0.75">
      <c r="C147" s="12" t="str">
        <f>IF(Subject!P32="*  ..  ##34###34# ##334###334#","//--- END",Subject!P32)</f>
        <v>* comorbidity.hemiplegia insert ObligationActorAndCode($actor-headneck, #handle)</v>
      </c>
    </row>
    <row r="148" spans="3:3" x14ac:dyDescent="0.75">
      <c r="C148" s="12" t="str">
        <f>IF(Subject!P33="*  ..  ##34###34# ##334###334#","//--- END",Subject!P33)</f>
        <v>* comorbidity.moderateToSevereRenalDisease insert ObligationActorAndCode($actor-headneck, #handle)</v>
      </c>
    </row>
    <row r="149" spans="3:3" x14ac:dyDescent="0.75">
      <c r="C149" s="12" t="str">
        <f>IF(Subject!P34="*  ..  ##34###34# ##334###334#","//--- END",Subject!P34)</f>
        <v>* comorbidity.solidTumorNonMetastatic insert ObligationActorAndCode($actor-headneck, #handle)</v>
      </c>
    </row>
    <row r="150" spans="3:3" x14ac:dyDescent="0.75">
      <c r="C150" s="12" t="str">
        <f>IF(Subject!P35="*  ..  ##34###34# ##334###334#","//--- END",Subject!P35)</f>
        <v>* comorbidity.metastaticSolidTumor insert ObligationActorAndCode($actor-headneck, #handle)</v>
      </c>
    </row>
    <row r="151" spans="3:3" x14ac:dyDescent="0.75">
      <c r="C151" s="12" t="str">
        <f>IF(Subject!P36="*  ..  ##34###34# ##334###334#","//--- END",Subject!P36)</f>
        <v>* comorbidity.leukemia insert ObligationActorAndCode($actor-headneck, #handle)</v>
      </c>
    </row>
    <row r="152" spans="3:3" x14ac:dyDescent="0.75">
      <c r="C152" s="12" t="str">
        <f>IF(Subject!P37="*  ..  ##34###34# ##334###334#","//--- END",Subject!P37)</f>
        <v>* comorbidity.lymphoma insert ObligationActorAndCode($actor-headneck, #handle)</v>
      </c>
    </row>
    <row r="153" spans="3:3" x14ac:dyDescent="0.75">
      <c r="C153" s="12" t="str">
        <f>IF(Subject!P38="*  ..  ##34###34# ##334###334#","//--- END",Subject!P38)</f>
        <v>* comorbidity.multipleMyeloma insert ObligationActorAndCode($actor-headneck, #handle)</v>
      </c>
    </row>
    <row r="154" spans="3:3" x14ac:dyDescent="0.75">
      <c r="C154" s="12" t="str">
        <f>IF(Subject!P39="*  ..  ##34###34# ##334###334#","//--- END",Subject!P39)</f>
        <v>* comorbidity.aids insert ObligationActorAndCode($actor-headneck, #handle)</v>
      </c>
    </row>
    <row r="155" spans="3:3" x14ac:dyDescent="0.75">
      <c r="C155" s="12" t="str">
        <f>IF(Subject!P40="*  ..  ##34###34# ##334###334#","//--- END",Subject!P40)</f>
        <v>* ecogPsAtDiagnosis insert ObligationActorAndCode($actor-headneck, #handle)</v>
      </c>
    </row>
    <row r="156" spans="3:3" x14ac:dyDescent="0.75">
      <c r="C156" s="12" t="str">
        <f>IF(Subject!P41="*  ..  ##34###34# ##334###334#","//--- END",Subject!P41)</f>
        <v>* ecogPsLabel insert ObligationActorAndCode($actor-headneck, #handle)</v>
      </c>
    </row>
    <row r="157" spans="3:3" x14ac:dyDescent="0.75">
      <c r="C157" s="12" t="str">
        <f>IF(Subject!P42="*  ..  ##34###34# ##334###334#","//--- END",Subject!P42)</f>
        <v>* karnofsyIndexAtDiagnosis insert ObligationActorAndCode($actor-headneck, #handle)</v>
      </c>
    </row>
    <row r="158" spans="3:3" x14ac:dyDescent="0.75">
      <c r="C158" s="12" t="str">
        <f>IF(Subject!P43="*  ..  ##34###34# ##334###334#","//--- END",Subject!P43)</f>
        <v>* karnofsyIndexLabel insert ObligationActorAndCode($actor-headneck, #handle)</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#handle)</v>
      </c>
    </row>
    <row r="183" spans="3:3" x14ac:dyDescent="0.75">
      <c r="C183" s="12" t="str">
        <f>IF(Subject!R9="*  ..  ##34###34# ##334###334#","//--- END",Subject!R9)</f>
        <v/>
      </c>
    </row>
    <row r="184" spans="3:3" x14ac:dyDescent="0.75">
      <c r="C184" s="12" t="str">
        <f>IF(Subject!R10="*  ..  ##34###34# ##334###334#","//--- END",Subject!R10)</f>
        <v>* birthYear insert ObligationActorAndCode($actor-sarcoma-i4rc, #handle)</v>
      </c>
    </row>
    <row r="185" spans="3:3" x14ac:dyDescent="0.75">
      <c r="C185" s="12" t="str">
        <f>IF(Subject!R11="*  ..  ##34###34# ##334###334#","//--- END",Subject!R11)</f>
        <v>* countryOfResidence insert ObligationActorAndCode($actor-sarcoma-i4rc, #handle)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c>
    </row>
    <row r="191" spans="3:3" x14ac:dyDescent="0.75">
      <c r="C191" s="12" t="str">
        <f>IF(Subject!R17="*  ..  ##34###34# ##334###334#","//--- END",Subject!R17)</f>
        <v>* bMI insert ObligationActorAndCode($actor-sarcoma-i4rc, #handle)</v>
      </c>
    </row>
    <row r="192" spans="3:3" x14ac:dyDescent="0.75">
      <c r="C192" s="12" t="str">
        <f>IF(Subject!R18="*  ..  ##34###34# ##334###334#","//--- END",Subject!R18)</f>
        <v>* charlsonComorbidityIndex insert ObligationActorAndCode($actor-sarcoma-i4rc, #handle)</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c>
    </row>
    <row r="218" spans="3:3" x14ac:dyDescent="0.75">
      <c r="C218" s="12" t="str">
        <f>IF(Subject!R44="*  ..  ##34###34# ##334###334#","//--- END",Subject!R44)</f>
        <v>* noGeneticSyndromeWho2020 insert ObligationActorAndCode($actor-sarcoma-i4rc, #handle)</v>
      </c>
    </row>
    <row r="219" spans="3:3" x14ac:dyDescent="0.75">
      <c r="C219" s="12" t="str">
        <f>IF(Subject!R45="*  ..  ##34###34# ##334###334#","//--- END",Subject!R45)</f>
        <v>* noGeneticSyndromeWho2020.olliersDisease insert ObligationActorAndCode($actor-sarcoma-i4rc, #handle)</v>
      </c>
    </row>
    <row r="220" spans="3:3" x14ac:dyDescent="0.75">
      <c r="C220" s="12" t="str">
        <f>IF(Subject!R46="*  ..  ##34###34# ##334###334#","//--- END",Subject!R46)</f>
        <v>* noGeneticSyndromeWho2020.maffuciSyndrome insert ObligationActorAndCode($actor-sarcoma-i4rc, #handle)</v>
      </c>
    </row>
    <row r="221" spans="3:3" x14ac:dyDescent="0.75">
      <c r="C221" s="12" t="str">
        <f>IF(Subject!R47="*  ..  ##34###34# ##334###334#","//--- END",Subject!R47)</f>
        <v>* noGeneticSyndromeWho2020.liFraumeniSyndrome insert ObligationActorAndCode($actor-sarcoma-i4rc, #handle)</v>
      </c>
    </row>
    <row r="222" spans="3:3" x14ac:dyDescent="0.75">
      <c r="C222" s="12" t="str">
        <f>IF(Subject!R48="*  ..  ##34###34# ##334###334#","//--- END",Subject!R48)</f>
        <v>* noGeneticSyndromeWho2020.mcCuneAlbrightSyndrome insert ObligationActorAndCode($actor-sarcoma-i4rc, #handle)</v>
      </c>
    </row>
    <row r="223" spans="3:3" x14ac:dyDescent="0.75">
      <c r="C223" s="12" t="str">
        <f>IF(Subject!R49="*  ..  ##34###34# ##334###334#","//--- END",Subject!R49)</f>
        <v>* noGeneticSyndromeWho2020.multipleOsteochondromas insert ObligationActorAndCode($actor-sarcoma-i4rc, #handle)</v>
      </c>
    </row>
    <row r="224" spans="3:3" x14ac:dyDescent="0.75">
      <c r="C224" s="12" t="str">
        <f>IF(Subject!R50="*  ..  ##34###34# ##334###334#","//--- END",Subject!R50)</f>
        <v>* noGeneticSyndromeWho2020.neurofibromatosisType1 insert ObligationActorAndCode($actor-sarcoma-i4rc, #handle)</v>
      </c>
    </row>
    <row r="225" spans="3:3" x14ac:dyDescent="0.75">
      <c r="C225" s="12" t="str">
        <f>IF(Subject!R51="*  ..  ##34###34# ##334###334#","//--- END",Subject!R51)</f>
        <v>* noGeneticSyndromeWho2020.rothmundThomsonSyndrome insert ObligationActorAndCode($actor-sarcoma-i4rc, #handle)</v>
      </c>
    </row>
    <row r="226" spans="3:3" x14ac:dyDescent="0.75">
      <c r="C226" s="12" t="str">
        <f>IF(Subject!R52="*  ..  ##34###34# ##334###334#","//--- END",Subject!R52)</f>
        <v>* noGeneticSyndromeWho2020.wernerSyndrome insert ObligationActorAndCode($actor-sarcoma-i4rc, #handle)</v>
      </c>
    </row>
    <row r="227" spans="3:3" x14ac:dyDescent="0.75">
      <c r="C227" s="12" t="str">
        <f>IF(Subject!R53="*  ..  ##34###34# ##334###334#","//--- END",Subject!R53)</f>
        <v>* noGeneticSyndromeWho2020.retinoblastoma insert ObligationActorAndCode($actor-sarcoma-i4rc, #handle)</v>
      </c>
    </row>
    <row r="228" spans="3:3" x14ac:dyDescent="0.75">
      <c r="C228" s="12" t="str">
        <f>IF(Subject!R54="*  ..  ##34###34# ##334###334#","//--- END",Subject!R54)</f>
        <v>* noGeneticSyndromeWho2020.pagetDisease insert ObligationActorAndCode($actor-sarcoma-i4rc, #handle)</v>
      </c>
    </row>
    <row r="229" spans="3:3" x14ac:dyDescent="0.75">
      <c r="C229" s="12" t="str">
        <f>IF(Subject!R55="*  ..  ##34###34# ##334###334#","//--- END",Subject!R55)</f>
        <v>* noGeneticSyndromeWho2020.otherSyndromes insert ObligationActorAndCode($actor-sarcoma-i4rc, #handle)</v>
      </c>
    </row>
    <row r="230" spans="3:3" x14ac:dyDescent="0.75">
      <c r="C230" s="12" t="str">
        <f>IF(Subject!R56="*  ..  ##34###34# ##334###334#","//--- END",Subject!R56)</f>
        <v>* occurrenceOfOtherCancer insert ObligationActorAndCode($actor-sarcoma-i4rc, #handle)</v>
      </c>
    </row>
    <row r="231" spans="3:3" x14ac:dyDescent="0.75">
      <c r="C231" s="12" t="str">
        <f>IF(Subject!R57="*  ..  ##34###34# ##334###334#","//--- END",Subject!R57)</f>
        <v>* previousCancerTreatment insert ObligationActorAndCode($actor-sarcoma-i4rc, #handle)</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1"/>
  <sheetViews>
    <sheetView topLeftCell="I95" zoomScale="85" zoomScaleNormal="85" workbookViewId="0">
      <selection activeCell="P28" sqref="P28:S13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4" t="s">
        <v>1554</v>
      </c>
      <c r="F4" s="155"/>
      <c r="G4" s="155"/>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1554</v>
      </c>
      <c r="F7" s="155"/>
      <c r="G7" s="155"/>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2079</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INDEX('Subject-ConceptMap-1'!$I$15:$N$71,Q15+1,R15)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6" si="7">"* group[=].element[+].code = #"&amp;$B$14&amp;"."&amp;B16</f>
        <v>* group[=].element[+].code = #Subject.race</v>
      </c>
      <c r="J16" s="12" t="str">
        <f t="shared" ref="J16:J27" si="8">"* group[=].element[=].display = ##34#"&amp;C16&amp;"##34#"</f>
        <v>* group[=].element[=].display = ##34#Race##34#</v>
      </c>
      <c r="K16" s="12" t="str">
        <f t="shared" ref="K16:K27" si="9">IF(F16="unmatched","//-- unmatched","* group[=].element[=].target.code = #"&amp;$D$14&amp;"."&amp;D16)</f>
        <v>* group[=].element[=].target.code = #Patient.extension:race.value[x]</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27" si="13">IF(MOD(P16,$Q$8)=0,P16/$Q$8-1,INT(P16/$Q$8))</f>
        <v>0</v>
      </c>
      <c r="R16" s="11">
        <f t="shared" ref="R16:R27" si="14">IF(MOD(P16,$Q$8)=0,$Q$8,MOD(P16,$Q$8))</f>
        <v>2</v>
      </c>
      <c r="S16" s="12" t="str" cm="1">
        <f t="array" ref="S16">INDEX('Subject-ConceptMap-1'!$I$15:$N$71,Q16+1,R16)</f>
        <v>* group[=].element[=].display = ##34#Gender##34#</v>
      </c>
    </row>
    <row r="17" spans="1:19" ht="44.25" customHeight="1" x14ac:dyDescent="0.75">
      <c r="A17" s="44"/>
      <c r="B17" s="11" t="str">
        <f>Subject!B10</f>
        <v>birthYear</v>
      </c>
      <c r="C17" s="12" t="str">
        <f>Subject!C10</f>
        <v>Birth year</v>
      </c>
      <c r="D17" s="12" t="s">
        <v>2459</v>
      </c>
      <c r="E17" s="11"/>
      <c r="F17" s="49" t="s">
        <v>1316</v>
      </c>
      <c r="G17" s="49" t="s">
        <v>2460</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INDEX('Subject-ConceptMap-1'!$I$15:$N$71,Q17+1,R17)</f>
        <v>* group[=].element[=].target.code = #Patient.gender</v>
      </c>
    </row>
    <row r="18" spans="1:19" ht="103.25" customHeight="1" x14ac:dyDescent="0.75">
      <c r="A18" s="44"/>
      <c r="B18" s="11" t="str">
        <f>Subject!B11</f>
        <v>countryOfResidence</v>
      </c>
      <c r="C18" s="12" t="str">
        <f>Subject!C11</f>
        <v>Country of Residence</v>
      </c>
      <c r="D18" s="12" t="s">
        <v>1536</v>
      </c>
      <c r="E18" s="11"/>
      <c r="F18" s="49" t="s">
        <v>1316</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INDEX('Subject-ConceptMap-1'!$I$15:$N$71,Q18+1,R18)</f>
        <v>* group[=].element[=].target.display = ##34###34#</v>
      </c>
    </row>
    <row r="19" spans="1:19" ht="44.25" x14ac:dyDescent="0.75">
      <c r="A19" s="44"/>
      <c r="B19" s="11" t="str">
        <f>Subject!B12</f>
        <v>smoking</v>
      </c>
      <c r="C19" s="12" t="str">
        <f>Subject!C12</f>
        <v>Smoking</v>
      </c>
      <c r="D19" s="12"/>
      <c r="E19" s="11"/>
      <c r="F19" s="49" t="s">
        <v>1311</v>
      </c>
      <c r="G19" s="49"/>
      <c r="H19" s="43"/>
      <c r="I19" s="12" t="str">
        <f t="shared" si="7"/>
        <v>* group[=].element[+].code = #Subject.smoking</v>
      </c>
      <c r="J19" s="12" t="str">
        <f t="shared" si="8"/>
        <v>* group[=].element[=].display = ##34#Smoking##34#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INDEX('Subject-ConceptMap-1'!$I$15:$N$71,Q19+1,R19)</f>
        <v>* group[=].element[=].target.equivalence = #equivalent</v>
      </c>
    </row>
    <row r="20" spans="1:19" ht="44.25" x14ac:dyDescent="0.75">
      <c r="A20" s="44"/>
      <c r="B20" s="11" t="str">
        <f>Subject!B13</f>
        <v>smokingType</v>
      </c>
      <c r="C20" s="12" t="str">
        <f>Subject!C13</f>
        <v>Smoking type</v>
      </c>
      <c r="D20" s="12"/>
      <c r="E20" s="11"/>
      <c r="F20" s="49" t="s">
        <v>1311</v>
      </c>
      <c r="G20" s="49"/>
      <c r="H20" s="43"/>
      <c r="I20" s="12" t="str">
        <f t="shared" si="7"/>
        <v>* group[=].element[+].code = #Subject.smokingType</v>
      </c>
      <c r="J20" s="12" t="str">
        <f t="shared" si="8"/>
        <v>* group[=].element[=].display = ##34#Smoking type##34#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INDEX('Subject-ConceptMap-1'!$I$15:$N$71,Q20+1,R20)</f>
        <v>* group[=].element[=].target.comment = ##34#For the time being assumed to be the administrative gender##34#</v>
      </c>
    </row>
    <row r="21" spans="1:19" ht="29.5" customHeight="1" x14ac:dyDescent="0.75">
      <c r="A21" s="44"/>
      <c r="B21" s="11" t="str">
        <f>Subject!B14</f>
        <v>cigSmokedPerDay</v>
      </c>
      <c r="C21" s="12" t="str">
        <f>Subject!C14</f>
        <v>Cigarettes/cigars smoked per day</v>
      </c>
      <c r="D21" s="12"/>
      <c r="E21" s="11"/>
      <c r="F21" s="49" t="s">
        <v>1311</v>
      </c>
      <c r="G21" s="49"/>
      <c r="H21" s="43"/>
      <c r="I21" s="12" t="str">
        <f t="shared" si="7"/>
        <v>* group[=].element[+].code = #Subject.cigSmokedPerDay</v>
      </c>
      <c r="J21" s="12" t="str">
        <f t="shared" si="8"/>
        <v>* group[=].element[=].display = ##34#Cigarettes/cigars smoked per day##34#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INDEX('Subject-ConceptMap-1'!$I$15:$N$71,Q21+1,R21)</f>
        <v>* group[=].element[+].code = #Subject.race</v>
      </c>
    </row>
    <row r="22" spans="1:19" ht="44.25" x14ac:dyDescent="0.75">
      <c r="B22" s="11" t="str">
        <f>Subject!B15</f>
        <v>yearsAsSmoker</v>
      </c>
      <c r="C22" s="12" t="str">
        <f>Subject!C15</f>
        <v>Number of years as a smoker</v>
      </c>
      <c r="D22" s="12"/>
      <c r="E22" s="12"/>
      <c r="F22" s="49" t="s">
        <v>1311</v>
      </c>
      <c r="G22" s="11"/>
      <c r="I22" s="12" t="str">
        <f t="shared" si="7"/>
        <v>* group[=].element[+].code = #Subject.yearsAsSmoker</v>
      </c>
      <c r="J22" s="12" t="str">
        <f t="shared" si="8"/>
        <v>* group[=].element[=].display = ##34#Number of years as a smoker##34#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INDEX('Subject-ConceptMap-1'!$I$15:$N$71,Q22+1,R22)</f>
        <v>* group[=].element[=].display = ##34#Race##34#</v>
      </c>
    </row>
    <row r="23" spans="1:19" ht="44.25" x14ac:dyDescent="0.75">
      <c r="B23" s="11" t="str">
        <f>Subject!B16</f>
        <v>alcohol</v>
      </c>
      <c r="C23" s="12" t="str">
        <f>Subject!C16</f>
        <v>Alcohol</v>
      </c>
      <c r="D23" s="12"/>
      <c r="E23" s="12"/>
      <c r="F23" s="49" t="s">
        <v>1311</v>
      </c>
      <c r="G23" s="11"/>
      <c r="I23" s="12" t="str">
        <f t="shared" si="7"/>
        <v>* group[=].element[+].code = #Subject.alcohol</v>
      </c>
      <c r="J23" s="12" t="str">
        <f t="shared" si="8"/>
        <v>* group[=].element[=].display = ##34#Alcohol##34#</v>
      </c>
      <c r="K23" s="12" t="str">
        <f t="shared" si="9"/>
        <v>//-- unmatched</v>
      </c>
      <c r="L23" s="12" t="str">
        <f t="shared" si="10"/>
        <v>//-- unmatched</v>
      </c>
      <c r="M23" s="12" t="str">
        <f t="shared" si="11"/>
        <v>* group[=].element[=].target.equivalence = #unmatched</v>
      </c>
      <c r="N23" s="12" t="str">
        <f t="shared" si="12"/>
        <v/>
      </c>
      <c r="P23" s="11">
        <v>9</v>
      </c>
      <c r="Q23" s="11">
        <f t="shared" si="13"/>
        <v>1</v>
      </c>
      <c r="R23" s="11">
        <f t="shared" si="14"/>
        <v>3</v>
      </c>
      <c r="S23" s="12" t="str" cm="1">
        <f t="array" ref="S23">INDEX('Subject-ConceptMap-1'!$I$15:$N$71,Q23+1,R23)</f>
        <v>* group[=].element[=].target.code = #Patient.extension:race.value[x]</v>
      </c>
    </row>
    <row r="24" spans="1:19" ht="44.25" x14ac:dyDescent="0.75">
      <c r="B24" s="11" t="str">
        <f>Subject!B17</f>
        <v>bMI</v>
      </c>
      <c r="C24" s="12" t="str">
        <f>Subject!C17</f>
        <v xml:space="preserve">Height/weight (BMI)
</v>
      </c>
      <c r="D24" s="12"/>
      <c r="E24" s="12"/>
      <c r="F24" s="49" t="s">
        <v>1311</v>
      </c>
      <c r="G24" s="11"/>
      <c r="I24" s="12" t="str">
        <f t="shared" si="7"/>
        <v>* group[=].element[+].code = #Subject.bMI</v>
      </c>
      <c r="J24" s="12" t="str">
        <f t="shared" si="8"/>
        <v>* group[=].element[=].display = ##34#Height/weight (BMI)
##34#</v>
      </c>
      <c r="K24" s="12" t="str">
        <f t="shared" si="9"/>
        <v>//-- unmatched</v>
      </c>
      <c r="L24" s="12" t="str">
        <f t="shared" si="10"/>
        <v>//-- unmatched</v>
      </c>
      <c r="M24" s="12" t="str">
        <f t="shared" si="11"/>
        <v>* group[=].element[=].target.equivalence = #unmatched</v>
      </c>
      <c r="N24" s="12" t="str">
        <f t="shared" si="12"/>
        <v/>
      </c>
      <c r="P24" s="11">
        <v>10</v>
      </c>
      <c r="Q24" s="11">
        <f t="shared" si="13"/>
        <v>1</v>
      </c>
      <c r="R24" s="11">
        <f t="shared" si="14"/>
        <v>4</v>
      </c>
      <c r="S24" s="12" t="str" cm="1">
        <f t="array" ref="S24">INDEX('Subject-ConceptMap-1'!$I$15:$N$71,Q24+1,R24)</f>
        <v>* group[=].element[=].target.display = ##34###34#</v>
      </c>
    </row>
    <row r="25" spans="1:19" ht="44.25" x14ac:dyDescent="0.75">
      <c r="B25" s="11" t="str">
        <f>Subject!B18</f>
        <v>charlsonComorbidityIndex</v>
      </c>
      <c r="C25" s="12" t="str">
        <f>Subject!C18</f>
        <v>Charlson Comorbidity index</v>
      </c>
      <c r="D25" s="12"/>
      <c r="E25" s="12"/>
      <c r="F25" s="49" t="s">
        <v>1311</v>
      </c>
      <c r="G25" s="11"/>
      <c r="I25" s="12" t="str">
        <f t="shared" si="7"/>
        <v>* group[=].element[+].code = #Subject.charlsonComorbidityIndex</v>
      </c>
      <c r="J25" s="12" t="str">
        <f t="shared" si="8"/>
        <v>* group[=].element[=].display = ##34#Charlson Comorbidity index##34#</v>
      </c>
      <c r="K25" s="12" t="str">
        <f t="shared" si="9"/>
        <v>//-- unmatched</v>
      </c>
      <c r="L25" s="12" t="str">
        <f t="shared" si="10"/>
        <v>//-- unmatched</v>
      </c>
      <c r="M25" s="12" t="str">
        <f t="shared" si="11"/>
        <v>* group[=].element[=].target.equivalence = #unmatched</v>
      </c>
      <c r="N25" s="12" t="str">
        <f t="shared" si="12"/>
        <v/>
      </c>
      <c r="P25" s="11">
        <v>11</v>
      </c>
      <c r="Q25" s="11">
        <f t="shared" si="13"/>
        <v>1</v>
      </c>
      <c r="R25" s="11">
        <f t="shared" si="14"/>
        <v>5</v>
      </c>
      <c r="S25" s="12" t="str" cm="1">
        <f t="array" ref="S25">INDEX('Subject-ConceptMap-1'!$I$15:$N$71,Q25+1,R25)</f>
        <v>* group[=].element[=].target.equivalence = #equivalent</v>
      </c>
    </row>
    <row r="26" spans="1:19" ht="44.25" x14ac:dyDescent="0.75">
      <c r="B26" s="11" t="str">
        <f>Subject!B19</f>
        <v>comorbidity</v>
      </c>
      <c r="C26" s="12" t="str">
        <f>Subject!C19</f>
        <v>Comorbidity</v>
      </c>
      <c r="D26" s="12"/>
      <c r="E26" s="12"/>
      <c r="F26" s="49" t="s">
        <v>1311</v>
      </c>
      <c r="G26" s="11"/>
      <c r="I26" s="12" t="str">
        <f t="shared" si="7"/>
        <v>* group[=].element[+].code = #Subject.comorbidity</v>
      </c>
      <c r="J26" s="12" t="str">
        <f t="shared" si="8"/>
        <v>* group[=].element[=].display = ##34#Comorbidity##34#</v>
      </c>
      <c r="K26" s="12" t="str">
        <f t="shared" si="9"/>
        <v>//-- unmatched</v>
      </c>
      <c r="L26" s="12" t="str">
        <f t="shared" si="10"/>
        <v>//-- unmatched</v>
      </c>
      <c r="M26" s="12" t="str">
        <f t="shared" si="11"/>
        <v>* group[=].element[=].target.equivalence = #unmatched</v>
      </c>
      <c r="N26" s="12" t="str">
        <f t="shared" si="12"/>
        <v/>
      </c>
      <c r="P26" s="11">
        <v>12</v>
      </c>
      <c r="Q26" s="11">
        <f t="shared" si="13"/>
        <v>1</v>
      </c>
      <c r="R26" s="11">
        <f t="shared" si="14"/>
        <v>6</v>
      </c>
      <c r="S26" s="12" t="str" cm="1">
        <f t="array" ref="S26">INDEX('Subject-ConceptMap-1'!$I$15:$N$71,Q26+1,R26)</f>
        <v/>
      </c>
    </row>
    <row r="27" spans="1:19" ht="44.25" x14ac:dyDescent="0.75">
      <c r="B27" s="11" t="str">
        <f>Subject!B40</f>
        <v>ecogPsAtDiagnosis</v>
      </c>
      <c r="C27" s="12" t="str">
        <f>Subject!C40</f>
        <v>Eastern Cooperative Oncology Group performance status (ECOG PS)  at diagnosis</v>
      </c>
      <c r="D27" s="12"/>
      <c r="E27" s="12"/>
      <c r="F27" s="49" t="s">
        <v>1311</v>
      </c>
      <c r="G27" s="11"/>
      <c r="I27" s="12" t="str">
        <f>"* group[=].element[+].code = #"&amp;$B$14&amp;"."&amp;B27</f>
        <v>* group[=].element[+].code = #Subject.ecogPsAtDiagnosis</v>
      </c>
      <c r="J27" s="12" t="str">
        <f t="shared" si="8"/>
        <v>* group[=].element[=].display = ##34#Eastern Cooperative Oncology Group performance status (ECOG PS)  at diagnosis##34#</v>
      </c>
      <c r="K27" s="12" t="str">
        <f t="shared" si="9"/>
        <v>//-- unmatched</v>
      </c>
      <c r="L27" s="12" t="str">
        <f t="shared" si="10"/>
        <v>//-- unmatched</v>
      </c>
      <c r="M27" s="12" t="str">
        <f t="shared" si="11"/>
        <v>* group[=].element[=].target.equivalence = #unmatched</v>
      </c>
      <c r="N27" s="12" t="str">
        <f t="shared" si="12"/>
        <v/>
      </c>
      <c r="P27" s="11">
        <v>13</v>
      </c>
      <c r="Q27" s="11">
        <f t="shared" si="13"/>
        <v>2</v>
      </c>
      <c r="R27" s="11">
        <f t="shared" si="14"/>
        <v>1</v>
      </c>
      <c r="S27" s="12" t="str" cm="1">
        <f t="array" ref="S27">INDEX('Subject-ConceptMap-1'!$I$15:$N$71,Q27+1,R27)</f>
        <v>* group[=].element[+].code = #Subject.birthYear</v>
      </c>
    </row>
    <row r="28" spans="1:19" ht="44.25" x14ac:dyDescent="0.75">
      <c r="B28" s="11" t="str">
        <f>Subject!B41</f>
        <v>ecogPsLabel</v>
      </c>
      <c r="C28" s="12" t="str">
        <f>Subject!C41</f>
        <v>ECOG PS label</v>
      </c>
      <c r="D28" s="12"/>
      <c r="E28" s="12"/>
      <c r="F28" s="49" t="s">
        <v>1311</v>
      </c>
      <c r="G28" s="11"/>
      <c r="I28" s="12" t="str">
        <f t="shared" ref="I28:I33" si="15">"* group[=].element[+].code = #"&amp;$B$14&amp;"."&amp;B28</f>
        <v>* group[=].element[+].code = #Subject.ecogPsLabel</v>
      </c>
      <c r="J28" s="12" t="str">
        <f t="shared" ref="J28:J33" si="16">"* group[=].element[=].display = ##34#"&amp;C28&amp;"##34#"</f>
        <v>* group[=].element[=].display = ##34#ECOG PS label##34#</v>
      </c>
      <c r="K28" s="12" t="str">
        <f t="shared" ref="K28:K33" si="17">IF(F28="unmatched","//-- unmatched","* group[=].element[=].target.code = #"&amp;$D$14&amp;"."&amp;D28)</f>
        <v>//-- unmatched</v>
      </c>
      <c r="L28" s="12" t="str">
        <f t="shared" ref="L28:L33" si="18">IF(F28="unmatched","//-- unmatched","* group[=].element[=].target.display = ##34#"&amp;E28&amp;"##34#")</f>
        <v>//-- unmatched</v>
      </c>
      <c r="M28" s="12" t="str">
        <f t="shared" ref="M28:M33" si="19">"* group[=].element[=].target.equivalence = #"&amp;F28</f>
        <v>* group[=].element[=].target.equivalence = #unmatched</v>
      </c>
      <c r="N28" s="12" t="str">
        <f t="shared" ref="N28:N33" si="20">IF(G28&lt;&gt;"",CONCATENATE("* group[=].element[=].target.comment = ","##34#",G28,"##34#"),"")</f>
        <v/>
      </c>
      <c r="P28" s="11">
        <v>14</v>
      </c>
      <c r="Q28" s="11">
        <f t="shared" ref="Q28" si="21">IF(MOD(P28,$Q$8)=0,P28/$Q$8-1,INT(P28/$Q$8))</f>
        <v>2</v>
      </c>
      <c r="R28" s="11">
        <f t="shared" ref="R28" si="22">IF(MOD(P28,$Q$8)=0,$Q$8,MOD(P28,$Q$8))</f>
        <v>2</v>
      </c>
      <c r="S28" s="12" t="str" cm="1">
        <f t="array" ref="S28">INDEX('Subject-ConceptMap-1'!$I$15:$N$71,Q28+1,R28)</f>
        <v>* group[=].element[=].display = ##34#Birth year##34#</v>
      </c>
    </row>
    <row r="29" spans="1:19" ht="44.25" x14ac:dyDescent="0.75">
      <c r="B29" s="11" t="str">
        <f>Subject!B42</f>
        <v>karnofsyIndexAtDiagnosis</v>
      </c>
      <c r="C29" s="12" t="str">
        <f>Subject!C42</f>
        <v>Karnofsy index at diagnosis</v>
      </c>
      <c r="D29" s="12"/>
      <c r="E29" s="12"/>
      <c r="F29" s="49" t="s">
        <v>1311</v>
      </c>
      <c r="G29" s="11"/>
      <c r="I29" s="12" t="str">
        <f t="shared" si="15"/>
        <v>* group[=].element[+].code = #Subject.karnofsyIndexAtDiagnosis</v>
      </c>
      <c r="J29" s="12" t="str">
        <f t="shared" si="16"/>
        <v>* group[=].element[=].display = ##34#Karnofsy index at diagnosis##34#</v>
      </c>
      <c r="K29" s="12" t="str">
        <f t="shared" si="17"/>
        <v>//-- unmatched</v>
      </c>
      <c r="L29" s="12" t="str">
        <f t="shared" si="18"/>
        <v>//-- unmatched</v>
      </c>
      <c r="M29" s="12" t="str">
        <f t="shared" si="19"/>
        <v>* group[=].element[=].target.equivalence = #unmatched</v>
      </c>
      <c r="N29" s="12" t="str">
        <f t="shared" si="20"/>
        <v/>
      </c>
      <c r="P29" s="11">
        <v>15</v>
      </c>
      <c r="Q29" s="11">
        <f t="shared" ref="Q29:Q92" si="23">IF(MOD(P29,$Q$8)=0,P29/$Q$8-1,INT(P29/$Q$8))</f>
        <v>2</v>
      </c>
      <c r="R29" s="11">
        <f t="shared" ref="R29:R92" si="24">IF(MOD(P29,$Q$8)=0,$Q$8,MOD(P29,$Q$8))</f>
        <v>3</v>
      </c>
      <c r="S29" s="12" t="str" cm="1">
        <f t="array" ref="S29">INDEX('Subject-ConceptMap-1'!$I$15:$N$71,Q29+1,R29)</f>
        <v>* group[=].element[=].target.code = #Patient.birthDate</v>
      </c>
    </row>
    <row r="30" spans="1:19" ht="44.25" x14ac:dyDescent="0.75">
      <c r="B30" s="11" t="str">
        <f>Subject!B43</f>
        <v>karnofsyIndexLabel</v>
      </c>
      <c r="C30" s="12" t="str">
        <f>Subject!C43</f>
        <v>Karnofsy index label</v>
      </c>
      <c r="D30" s="12"/>
      <c r="E30" s="12"/>
      <c r="F30" s="49" t="s">
        <v>1311</v>
      </c>
      <c r="G30" s="11"/>
      <c r="I30" s="12" t="str">
        <f t="shared" si="15"/>
        <v>* group[=].element[+].code = #Subject.karnofsyIndexLabel</v>
      </c>
      <c r="J30" s="12" t="str">
        <f t="shared" si="16"/>
        <v>* group[=].element[=].display = ##34#Karnofsy index label##34#</v>
      </c>
      <c r="K30" s="12" t="str">
        <f t="shared" si="17"/>
        <v>//-- unmatched</v>
      </c>
      <c r="L30" s="12" t="str">
        <f t="shared" si="18"/>
        <v>//-- unmatched</v>
      </c>
      <c r="M30" s="12" t="str">
        <f t="shared" si="19"/>
        <v>* group[=].element[=].target.equivalence = #unmatched</v>
      </c>
      <c r="N30" s="12" t="str">
        <f t="shared" si="20"/>
        <v/>
      </c>
      <c r="P30" s="11">
        <v>16</v>
      </c>
      <c r="Q30" s="11">
        <f t="shared" si="23"/>
        <v>2</v>
      </c>
      <c r="R30" s="11">
        <f t="shared" si="24"/>
        <v>4</v>
      </c>
      <c r="S30" s="12" t="str" cm="1">
        <f t="array" ref="S30">INDEX('Subject-ConceptMap-1'!$I$15:$N$71,Q30+1,R30)</f>
        <v>* group[=].element[=].target.display = ##34###34#</v>
      </c>
    </row>
    <row r="31" spans="1:19" ht="44.25" x14ac:dyDescent="0.75">
      <c r="B31" s="11" t="str">
        <f>Subject!B44</f>
        <v>noGeneticSyndromeWho2020</v>
      </c>
      <c r="C31" s="12" t="str">
        <f>Subject!C44</f>
        <v xml:space="preserve">No Genetic syndrome WHO 2020 </v>
      </c>
      <c r="D31" s="12"/>
      <c r="E31" s="12"/>
      <c r="F31" s="49" t="s">
        <v>1311</v>
      </c>
      <c r="G31" s="11"/>
      <c r="I31" s="12" t="str">
        <f t="shared" si="15"/>
        <v>* group[=].element[+].code = #Subject.noGeneticSyndromeWho2020</v>
      </c>
      <c r="J31" s="12" t="str">
        <f t="shared" si="16"/>
        <v>* group[=].element[=].display = ##34#No Genetic syndrome WHO 2020 ##34#</v>
      </c>
      <c r="K31" s="12" t="str">
        <f t="shared" si="17"/>
        <v>//-- unmatched</v>
      </c>
      <c r="L31" s="12" t="str">
        <f t="shared" si="18"/>
        <v>//-- unmatched</v>
      </c>
      <c r="M31" s="12" t="str">
        <f t="shared" si="19"/>
        <v>* group[=].element[=].target.equivalence = #unmatched</v>
      </c>
      <c r="N31" s="12" t="str">
        <f t="shared" si="20"/>
        <v/>
      </c>
      <c r="P31" s="11">
        <v>17</v>
      </c>
      <c r="Q31" s="11">
        <f t="shared" si="23"/>
        <v>2</v>
      </c>
      <c r="R31" s="11">
        <f t="shared" si="24"/>
        <v>5</v>
      </c>
      <c r="S31" s="12" t="str" cm="1">
        <f t="array" ref="S31">INDEX('Subject-ConceptMap-1'!$I$15:$N$71,Q31+1,R31)</f>
        <v>* group[=].element[=].target.equivalence = #equivalent</v>
      </c>
    </row>
    <row r="32" spans="1:19" ht="44.25" x14ac:dyDescent="0.75">
      <c r="B32" s="11" t="str">
        <f>Subject!B56</f>
        <v>occurrenceOfOtherCancer</v>
      </c>
      <c r="C32" s="12" t="str">
        <f>Subject!C56</f>
        <v>Occurrence of other cancer</v>
      </c>
      <c r="D32" s="12"/>
      <c r="E32" s="12"/>
      <c r="F32" s="49" t="s">
        <v>1311</v>
      </c>
      <c r="G32" s="11"/>
      <c r="I32" s="12" t="str">
        <f t="shared" si="15"/>
        <v>* group[=].element[+].code = #Subject.occurrenceOfOtherCancer</v>
      </c>
      <c r="J32" s="12" t="str">
        <f t="shared" si="16"/>
        <v>* group[=].element[=].display = ##34#Occurrence of other cancer##34#</v>
      </c>
      <c r="K32" s="12" t="str">
        <f t="shared" si="17"/>
        <v>//-- unmatched</v>
      </c>
      <c r="L32" s="12" t="str">
        <f t="shared" si="18"/>
        <v>//-- unmatched</v>
      </c>
      <c r="M32" s="12" t="str">
        <f t="shared" si="19"/>
        <v>* group[=].element[=].target.equivalence = #unmatched</v>
      </c>
      <c r="N32" s="12" t="str">
        <f t="shared" si="20"/>
        <v/>
      </c>
      <c r="P32" s="11">
        <v>18</v>
      </c>
      <c r="Q32" s="11">
        <f t="shared" si="23"/>
        <v>2</v>
      </c>
      <c r="R32" s="11">
        <f t="shared" si="24"/>
        <v>6</v>
      </c>
      <c r="S32" s="12" t="str" cm="1">
        <f t="array" ref="S32">INDEX('Subject-ConceptMap-1'!$I$15:$N$71,Q32+1,R32)</f>
        <v>* group[=].element[=].target.comment = ##34#limited to the year##34#</v>
      </c>
    </row>
    <row r="33" spans="2:19" ht="44.25" x14ac:dyDescent="0.75">
      <c r="B33" s="11" t="str">
        <f>Subject!B57</f>
        <v>previousCancerTreatment</v>
      </c>
      <c r="C33" s="12" t="str">
        <f>Subject!C57</f>
        <v>Previous cancer treatment</v>
      </c>
      <c r="D33" s="12"/>
      <c r="E33" s="12"/>
      <c r="F33" s="49" t="s">
        <v>1311</v>
      </c>
      <c r="G33" s="11"/>
      <c r="I33" s="12" t="str">
        <f t="shared" si="15"/>
        <v>* group[=].element[+].code = #Subject.previousCancerTreatment</v>
      </c>
      <c r="J33" s="12" t="str">
        <f t="shared" si="16"/>
        <v>* group[=].element[=].display = ##34#Previous cancer treatment##34#</v>
      </c>
      <c r="K33" s="12" t="str">
        <f t="shared" si="17"/>
        <v>//-- unmatched</v>
      </c>
      <c r="L33" s="12" t="str">
        <f t="shared" si="18"/>
        <v>//-- unmatched</v>
      </c>
      <c r="M33" s="12" t="str">
        <f t="shared" si="19"/>
        <v>* group[=].element[=].target.equivalence = #unmatched</v>
      </c>
      <c r="N33" s="12" t="str">
        <f t="shared" si="20"/>
        <v/>
      </c>
      <c r="P33" s="11">
        <v>19</v>
      </c>
      <c r="Q33" s="11">
        <f t="shared" si="23"/>
        <v>3</v>
      </c>
      <c r="R33" s="11">
        <f t="shared" si="24"/>
        <v>1</v>
      </c>
      <c r="S33" s="12" t="str" cm="1">
        <f t="array" ref="S33">INDEX('Subject-ConceptMap-1'!$I$15:$N$71,Q33+1,R33)</f>
        <v>* group[=].element[+].code = #Subject.countryOfResidence</v>
      </c>
    </row>
    <row r="34" spans="2:19" x14ac:dyDescent="0.75">
      <c r="B34" s="46"/>
      <c r="C34" s="115"/>
      <c r="I34" s="12"/>
      <c r="J34" s="12"/>
      <c r="K34" s="12"/>
      <c r="L34" s="12"/>
      <c r="M34" s="12"/>
      <c r="N34" s="12" t="str">
        <f t="shared" ref="N34:N43" si="25">IF(G34&lt;&gt;"",CONCATENATE("* group[=].element[=].target.comment = ","##34#",G34,"##34#"),"")</f>
        <v/>
      </c>
      <c r="P34" s="11">
        <v>20</v>
      </c>
      <c r="Q34" s="11">
        <f t="shared" si="23"/>
        <v>3</v>
      </c>
      <c r="R34" s="11">
        <f t="shared" si="24"/>
        <v>2</v>
      </c>
      <c r="S34" s="12" t="str" cm="1">
        <f t="array" ref="S34">INDEX('Subject-ConceptMap-1'!$I$15:$N$71,Q34+1,R34)</f>
        <v>* group[=].element[=].display = ##34#Country of Residence##34#</v>
      </c>
    </row>
    <row r="35" spans="2:19" x14ac:dyDescent="0.75">
      <c r="B35" s="11"/>
      <c r="C35" s="12"/>
      <c r="I35" s="12"/>
      <c r="J35" s="12"/>
      <c r="K35" s="12"/>
      <c r="L35" s="12"/>
      <c r="M35" s="12"/>
      <c r="N35" s="12" t="str">
        <f t="shared" si="25"/>
        <v/>
      </c>
      <c r="P35" s="11">
        <v>21</v>
      </c>
      <c r="Q35" s="11">
        <f t="shared" si="23"/>
        <v>3</v>
      </c>
      <c r="R35" s="11">
        <f t="shared" si="24"/>
        <v>3</v>
      </c>
      <c r="S35" s="12" t="str" cm="1">
        <f t="array" ref="S35">INDEX('Subject-ConceptMap-1'!$I$15:$N$71,Q35+1,R35)</f>
        <v>* group[=].element[=].target.code = #Patient.address.country</v>
      </c>
    </row>
    <row r="36" spans="2:19" x14ac:dyDescent="0.75">
      <c r="B36" s="11"/>
      <c r="C36" s="12"/>
      <c r="I36" s="12"/>
      <c r="J36" s="12"/>
      <c r="K36" s="12"/>
      <c r="L36" s="12"/>
      <c r="M36" s="12"/>
      <c r="N36" s="12" t="str">
        <f t="shared" si="25"/>
        <v/>
      </c>
      <c r="P36" s="11">
        <v>22</v>
      </c>
      <c r="Q36" s="11">
        <f t="shared" si="23"/>
        <v>3</v>
      </c>
      <c r="R36" s="11">
        <f t="shared" si="24"/>
        <v>4</v>
      </c>
      <c r="S36" s="12" t="str" cm="1">
        <f t="array" ref="S36">INDEX('Subject-ConceptMap-1'!$I$15:$N$71,Q36+1,R36)</f>
        <v>* group[=].element[=].target.display = ##34###34#</v>
      </c>
    </row>
    <row r="37" spans="2:19" x14ac:dyDescent="0.75">
      <c r="B37" s="11"/>
      <c r="C37" s="12"/>
      <c r="I37" s="12"/>
      <c r="J37" s="12"/>
      <c r="K37" s="12"/>
      <c r="L37" s="12"/>
      <c r="M37" s="12"/>
      <c r="N37" s="12" t="str">
        <f t="shared" si="25"/>
        <v/>
      </c>
      <c r="P37" s="11">
        <v>23</v>
      </c>
      <c r="Q37" s="11">
        <f t="shared" si="23"/>
        <v>3</v>
      </c>
      <c r="R37" s="11">
        <f t="shared" si="24"/>
        <v>5</v>
      </c>
      <c r="S37" s="12" t="str" cm="1">
        <f t="array" ref="S37">INDEX('Subject-ConceptMap-1'!$I$15:$N$71,Q37+1,R37)</f>
        <v>* group[=].element[=].target.equivalence = #equivalent</v>
      </c>
    </row>
    <row r="38" spans="2:19" x14ac:dyDescent="0.75">
      <c r="B38" s="11"/>
      <c r="C38" s="12"/>
      <c r="I38" s="12"/>
      <c r="J38" s="12"/>
      <c r="K38" s="12"/>
      <c r="L38" s="12"/>
      <c r="M38" s="12"/>
      <c r="N38" s="12" t="str">
        <f t="shared" si="25"/>
        <v/>
      </c>
      <c r="P38" s="11">
        <v>24</v>
      </c>
      <c r="Q38" s="11">
        <f t="shared" si="23"/>
        <v>3</v>
      </c>
      <c r="R38" s="11">
        <f t="shared" si="24"/>
        <v>6</v>
      </c>
      <c r="S38" s="12" t="str" cm="1">
        <f t="array" ref="S38">INDEX('Subject-ConceptMap-1'!$I$15:$N$71,Q38+1,R38)</f>
        <v/>
      </c>
    </row>
    <row r="39" spans="2:19" x14ac:dyDescent="0.75">
      <c r="B39" s="11"/>
      <c r="C39" s="12"/>
      <c r="I39" s="12"/>
      <c r="J39" s="12"/>
      <c r="K39" s="12"/>
      <c r="L39" s="12"/>
      <c r="M39" s="12"/>
      <c r="N39" s="12" t="str">
        <f t="shared" si="25"/>
        <v/>
      </c>
      <c r="P39" s="11">
        <v>25</v>
      </c>
      <c r="Q39" s="11">
        <f t="shared" si="23"/>
        <v>4</v>
      </c>
      <c r="R39" s="11">
        <f t="shared" si="24"/>
        <v>1</v>
      </c>
      <c r="S39" s="12" t="str" cm="1">
        <f t="array" ref="S39">INDEX('Subject-ConceptMap-1'!$I$15:$N$71,Q39+1,R39)</f>
        <v>* group[=].element[+].code = #Subject.smoking</v>
      </c>
    </row>
    <row r="40" spans="2:19" x14ac:dyDescent="0.75">
      <c r="B40" s="11"/>
      <c r="C40" s="12"/>
      <c r="I40" s="12"/>
      <c r="J40" s="12"/>
      <c r="K40" s="12"/>
      <c r="L40" s="12"/>
      <c r="M40" s="12"/>
      <c r="N40" s="12" t="str">
        <f t="shared" si="25"/>
        <v/>
      </c>
      <c r="P40" s="11">
        <v>26</v>
      </c>
      <c r="Q40" s="11">
        <f t="shared" si="23"/>
        <v>4</v>
      </c>
      <c r="R40" s="11">
        <f t="shared" si="24"/>
        <v>2</v>
      </c>
      <c r="S40" s="12" t="str" cm="1">
        <f t="array" ref="S40">INDEX('Subject-ConceptMap-1'!$I$15:$N$71,Q40+1,R40)</f>
        <v>* group[=].element[=].display = ##34#Smoking##34#</v>
      </c>
    </row>
    <row r="41" spans="2:19" x14ac:dyDescent="0.75">
      <c r="I41" s="12"/>
      <c r="J41" s="12"/>
      <c r="K41" s="12"/>
      <c r="L41" s="12"/>
      <c r="M41" s="12"/>
      <c r="N41" s="12" t="str">
        <f t="shared" si="25"/>
        <v/>
      </c>
      <c r="P41" s="11">
        <v>27</v>
      </c>
      <c r="Q41" s="11">
        <f t="shared" si="23"/>
        <v>4</v>
      </c>
      <c r="R41" s="11">
        <f t="shared" si="24"/>
        <v>3</v>
      </c>
      <c r="S41" s="12" t="str" cm="1">
        <f t="array" ref="S41">INDEX('Subject-ConceptMap-1'!$I$15:$N$71,Q41+1,R41)</f>
        <v>//-- unmatched</v>
      </c>
    </row>
    <row r="42" spans="2:19" x14ac:dyDescent="0.75">
      <c r="I42" s="12"/>
      <c r="J42" s="12"/>
      <c r="K42" s="12"/>
      <c r="L42" s="12"/>
      <c r="M42" s="12"/>
      <c r="N42" s="12" t="str">
        <f t="shared" si="25"/>
        <v/>
      </c>
      <c r="P42" s="11">
        <v>28</v>
      </c>
      <c r="Q42" s="11">
        <f t="shared" si="23"/>
        <v>4</v>
      </c>
      <c r="R42" s="11">
        <f t="shared" si="24"/>
        <v>4</v>
      </c>
      <c r="S42" s="12" t="str" cm="1">
        <f t="array" ref="S42">INDEX('Subject-ConceptMap-1'!$I$15:$N$71,Q42+1,R42)</f>
        <v>//-- unmatched</v>
      </c>
    </row>
    <row r="43" spans="2:19" x14ac:dyDescent="0.75">
      <c r="I43" s="12"/>
      <c r="J43" s="12"/>
      <c r="K43" s="12"/>
      <c r="L43" s="12"/>
      <c r="M43" s="12"/>
      <c r="N43" s="12" t="str">
        <f t="shared" si="25"/>
        <v/>
      </c>
      <c r="P43" s="11">
        <v>29</v>
      </c>
      <c r="Q43" s="11">
        <f t="shared" si="23"/>
        <v>4</v>
      </c>
      <c r="R43" s="11">
        <f t="shared" si="24"/>
        <v>5</v>
      </c>
      <c r="S43" s="12" t="str" cm="1">
        <f t="array" ref="S43">INDEX('Subject-ConceptMap-1'!$I$15:$N$71,Q43+1,R43)</f>
        <v>* group[=].element[=].target.equivalence = #unmatched</v>
      </c>
    </row>
    <row r="44" spans="2:19" x14ac:dyDescent="0.75">
      <c r="P44" s="11">
        <v>30</v>
      </c>
      <c r="Q44" s="11">
        <f t="shared" si="23"/>
        <v>4</v>
      </c>
      <c r="R44" s="11">
        <f t="shared" si="24"/>
        <v>6</v>
      </c>
      <c r="S44" s="12" t="str" cm="1">
        <f t="array" ref="S44">INDEX('Subject-ConceptMap-1'!$I$15:$N$71,Q44+1,R44)</f>
        <v/>
      </c>
    </row>
    <row r="45" spans="2:19" x14ac:dyDescent="0.75">
      <c r="P45" s="11">
        <v>31</v>
      </c>
      <c r="Q45" s="11">
        <f t="shared" si="23"/>
        <v>5</v>
      </c>
      <c r="R45" s="11">
        <f t="shared" si="24"/>
        <v>1</v>
      </c>
      <c r="S45" s="12" t="str" cm="1">
        <f t="array" ref="S45">INDEX('Subject-ConceptMap-1'!$I$15:$N$71,Q45+1,R45)</f>
        <v>* group[=].element[+].code = #Subject.smokingType</v>
      </c>
    </row>
    <row r="46" spans="2:19" x14ac:dyDescent="0.75">
      <c r="P46" s="11">
        <v>32</v>
      </c>
      <c r="Q46" s="11">
        <f t="shared" si="23"/>
        <v>5</v>
      </c>
      <c r="R46" s="11">
        <f t="shared" si="24"/>
        <v>2</v>
      </c>
      <c r="S46" s="12" t="str" cm="1">
        <f t="array" ref="S46">INDEX('Subject-ConceptMap-1'!$I$15:$N$71,Q46+1,R46)</f>
        <v>* group[=].element[=].display = ##34#Smoking type##34#</v>
      </c>
    </row>
    <row r="47" spans="2:19" x14ac:dyDescent="0.75">
      <c r="P47" s="11">
        <v>33</v>
      </c>
      <c r="Q47" s="11">
        <f t="shared" si="23"/>
        <v>5</v>
      </c>
      <c r="R47" s="11">
        <f t="shared" si="24"/>
        <v>3</v>
      </c>
      <c r="S47" s="12" t="str" cm="1">
        <f t="array" ref="S47">INDEX('Subject-ConceptMap-1'!$I$15:$N$71,Q47+1,R47)</f>
        <v>//-- unmatched</v>
      </c>
    </row>
    <row r="48" spans="2:19" x14ac:dyDescent="0.75">
      <c r="P48" s="11">
        <v>34</v>
      </c>
      <c r="Q48" s="11">
        <f t="shared" si="23"/>
        <v>5</v>
      </c>
      <c r="R48" s="11">
        <f t="shared" si="24"/>
        <v>4</v>
      </c>
      <c r="S48" s="12" t="str" cm="1">
        <f t="array" ref="S48">INDEX('Subject-ConceptMap-1'!$I$15:$N$71,Q48+1,R48)</f>
        <v>//-- unmatched</v>
      </c>
    </row>
    <row r="49" spans="16:19" x14ac:dyDescent="0.75">
      <c r="P49" s="11">
        <v>35</v>
      </c>
      <c r="Q49" s="11">
        <f t="shared" si="23"/>
        <v>5</v>
      </c>
      <c r="R49" s="11">
        <f t="shared" si="24"/>
        <v>5</v>
      </c>
      <c r="S49" s="12" t="str" cm="1">
        <f t="array" ref="S49">INDEX('Subject-ConceptMap-1'!$I$15:$N$71,Q49+1,R49)</f>
        <v>* group[=].element[=].target.equivalence = #unmatched</v>
      </c>
    </row>
    <row r="50" spans="16:19" x14ac:dyDescent="0.75">
      <c r="P50" s="11">
        <v>36</v>
      </c>
      <c r="Q50" s="11">
        <f t="shared" si="23"/>
        <v>5</v>
      </c>
      <c r="R50" s="11">
        <f t="shared" si="24"/>
        <v>6</v>
      </c>
      <c r="S50" s="12" t="str" cm="1">
        <f t="array" ref="S50">INDEX('Subject-ConceptMap-1'!$I$15:$N$71,Q50+1,R50)</f>
        <v/>
      </c>
    </row>
    <row r="51" spans="16:19" x14ac:dyDescent="0.75">
      <c r="P51" s="11">
        <v>37</v>
      </c>
      <c r="Q51" s="11">
        <f t="shared" si="23"/>
        <v>6</v>
      </c>
      <c r="R51" s="11">
        <f t="shared" si="24"/>
        <v>1</v>
      </c>
      <c r="S51" s="12" t="str" cm="1">
        <f t="array" ref="S51">INDEX('Subject-ConceptMap-1'!$I$15:$N$71,Q51+1,R51)</f>
        <v>* group[=].element[+].code = #Subject.cigSmokedPerDay</v>
      </c>
    </row>
    <row r="52" spans="16:19" x14ac:dyDescent="0.75">
      <c r="P52" s="11">
        <v>38</v>
      </c>
      <c r="Q52" s="11">
        <f t="shared" si="23"/>
        <v>6</v>
      </c>
      <c r="R52" s="11">
        <f t="shared" si="24"/>
        <v>2</v>
      </c>
      <c r="S52" s="12" t="str" cm="1">
        <f t="array" ref="S52">INDEX('Subject-ConceptMap-1'!$I$15:$N$71,Q52+1,R52)</f>
        <v>* group[=].element[=].display = ##34#Cigarettes/cigars smoked per day##34#</v>
      </c>
    </row>
    <row r="53" spans="16:19" x14ac:dyDescent="0.75">
      <c r="P53" s="11">
        <v>39</v>
      </c>
      <c r="Q53" s="11">
        <f t="shared" si="23"/>
        <v>6</v>
      </c>
      <c r="R53" s="11">
        <f t="shared" si="24"/>
        <v>3</v>
      </c>
      <c r="S53" s="12" t="str" cm="1">
        <f t="array" ref="S53">INDEX('Subject-ConceptMap-1'!$I$15:$N$71,Q53+1,R53)</f>
        <v>//-- unmatched</v>
      </c>
    </row>
    <row r="54" spans="16:19" x14ac:dyDescent="0.75">
      <c r="P54" s="11">
        <v>40</v>
      </c>
      <c r="Q54" s="11">
        <f t="shared" si="23"/>
        <v>6</v>
      </c>
      <c r="R54" s="11">
        <f t="shared" si="24"/>
        <v>4</v>
      </c>
      <c r="S54" s="12" t="str" cm="1">
        <f t="array" ref="S54">INDEX('Subject-ConceptMap-1'!$I$15:$N$71,Q54+1,R54)</f>
        <v>//-- unmatched</v>
      </c>
    </row>
    <row r="55" spans="16:19" x14ac:dyDescent="0.75">
      <c r="P55" s="11">
        <v>41</v>
      </c>
      <c r="Q55" s="11">
        <f t="shared" si="23"/>
        <v>6</v>
      </c>
      <c r="R55" s="11">
        <f t="shared" si="24"/>
        <v>5</v>
      </c>
      <c r="S55" s="12" t="str" cm="1">
        <f t="array" ref="S55">INDEX('Subject-ConceptMap-1'!$I$15:$N$71,Q55+1,R55)</f>
        <v>* group[=].element[=].target.equivalence = #unmatched</v>
      </c>
    </row>
    <row r="56" spans="16:19" x14ac:dyDescent="0.75">
      <c r="P56" s="11">
        <v>42</v>
      </c>
      <c r="Q56" s="11">
        <f t="shared" si="23"/>
        <v>6</v>
      </c>
      <c r="R56" s="11">
        <f t="shared" si="24"/>
        <v>6</v>
      </c>
      <c r="S56" s="12" t="str" cm="1">
        <f t="array" ref="S56">INDEX('Subject-ConceptMap-1'!$I$15:$N$71,Q56+1,R56)</f>
        <v/>
      </c>
    </row>
    <row r="57" spans="16:19" x14ac:dyDescent="0.75">
      <c r="P57" s="11">
        <v>43</v>
      </c>
      <c r="Q57" s="11">
        <f t="shared" si="23"/>
        <v>7</v>
      </c>
      <c r="R57" s="11">
        <f t="shared" si="24"/>
        <v>1</v>
      </c>
      <c r="S57" s="12" t="str" cm="1">
        <f t="array" ref="S57">INDEX('Subject-ConceptMap-1'!$I$15:$N$71,Q57+1,R57)</f>
        <v>* group[=].element[+].code = #Subject.yearsAsSmoker</v>
      </c>
    </row>
    <row r="58" spans="16:19" x14ac:dyDescent="0.75">
      <c r="P58" s="11">
        <v>44</v>
      </c>
      <c r="Q58" s="11">
        <f t="shared" si="23"/>
        <v>7</v>
      </c>
      <c r="R58" s="11">
        <f t="shared" si="24"/>
        <v>2</v>
      </c>
      <c r="S58" s="12" t="str" cm="1">
        <f t="array" ref="S58">INDEX('Subject-ConceptMap-1'!$I$15:$N$71,Q58+1,R58)</f>
        <v>* group[=].element[=].display = ##34#Number of years as a smoker##34#</v>
      </c>
    </row>
    <row r="59" spans="16:19" x14ac:dyDescent="0.75">
      <c r="P59" s="11">
        <v>45</v>
      </c>
      <c r="Q59" s="11">
        <f t="shared" si="23"/>
        <v>7</v>
      </c>
      <c r="R59" s="11">
        <f t="shared" si="24"/>
        <v>3</v>
      </c>
      <c r="S59" s="12" t="str" cm="1">
        <f t="array" ref="S59">INDEX('Subject-ConceptMap-1'!$I$15:$N$71,Q59+1,R59)</f>
        <v>//-- unmatched</v>
      </c>
    </row>
    <row r="60" spans="16:19" x14ac:dyDescent="0.75">
      <c r="P60" s="11">
        <v>46</v>
      </c>
      <c r="Q60" s="11">
        <f t="shared" si="23"/>
        <v>7</v>
      </c>
      <c r="R60" s="11">
        <f t="shared" si="24"/>
        <v>4</v>
      </c>
      <c r="S60" s="12" t="str" cm="1">
        <f t="array" ref="S60">INDEX('Subject-ConceptMap-1'!$I$15:$N$71,Q60+1,R60)</f>
        <v>//-- unmatched</v>
      </c>
    </row>
    <row r="61" spans="16:19" x14ac:dyDescent="0.75">
      <c r="P61" s="11">
        <v>47</v>
      </c>
      <c r="Q61" s="11">
        <f t="shared" si="23"/>
        <v>7</v>
      </c>
      <c r="R61" s="11">
        <f t="shared" si="24"/>
        <v>5</v>
      </c>
      <c r="S61" s="12" t="str" cm="1">
        <f t="array" ref="S61">INDEX('Subject-ConceptMap-1'!$I$15:$N$71,Q61+1,R61)</f>
        <v>* group[=].element[=].target.equivalence = #unmatched</v>
      </c>
    </row>
    <row r="62" spans="16:19" x14ac:dyDescent="0.75">
      <c r="P62" s="11">
        <v>48</v>
      </c>
      <c r="Q62" s="11">
        <f t="shared" si="23"/>
        <v>7</v>
      </c>
      <c r="R62" s="11">
        <f t="shared" si="24"/>
        <v>6</v>
      </c>
      <c r="S62" s="12" t="str" cm="1">
        <f t="array" ref="S62">INDEX('Subject-ConceptMap-1'!$I$15:$N$71,Q62+1,R62)</f>
        <v/>
      </c>
    </row>
    <row r="63" spans="16:19" x14ac:dyDescent="0.75">
      <c r="P63" s="11">
        <v>49</v>
      </c>
      <c r="Q63" s="11">
        <f t="shared" si="23"/>
        <v>8</v>
      </c>
      <c r="R63" s="11">
        <f t="shared" si="24"/>
        <v>1</v>
      </c>
      <c r="S63" s="12" t="str" cm="1">
        <f t="array" ref="S63">INDEX('Subject-ConceptMap-1'!$I$15:$N$71,Q63+1,R63)</f>
        <v>* group[=].element[+].code = #Subject.alcohol</v>
      </c>
    </row>
    <row r="64" spans="16:19" x14ac:dyDescent="0.75">
      <c r="P64" s="11">
        <v>50</v>
      </c>
      <c r="Q64" s="11">
        <f t="shared" si="23"/>
        <v>8</v>
      </c>
      <c r="R64" s="11">
        <f t="shared" si="24"/>
        <v>2</v>
      </c>
      <c r="S64" s="12" t="str" cm="1">
        <f t="array" ref="S64">INDEX('Subject-ConceptMap-1'!$I$15:$N$71,Q64+1,R64)</f>
        <v>* group[=].element[=].display = ##34#Alcohol##34#</v>
      </c>
    </row>
    <row r="65" spans="16:19" x14ac:dyDescent="0.75">
      <c r="P65" s="11">
        <v>51</v>
      </c>
      <c r="Q65" s="11">
        <f t="shared" si="23"/>
        <v>8</v>
      </c>
      <c r="R65" s="11">
        <f t="shared" si="24"/>
        <v>3</v>
      </c>
      <c r="S65" s="12" t="str" cm="1">
        <f t="array" ref="S65">INDEX('Subject-ConceptMap-1'!$I$15:$N$71,Q65+1,R65)</f>
        <v>//-- unmatched</v>
      </c>
    </row>
    <row r="66" spans="16:19" x14ac:dyDescent="0.75">
      <c r="P66" s="11">
        <v>52</v>
      </c>
      <c r="Q66" s="11">
        <f t="shared" si="23"/>
        <v>8</v>
      </c>
      <c r="R66" s="11">
        <f t="shared" si="24"/>
        <v>4</v>
      </c>
      <c r="S66" s="12" t="str" cm="1">
        <f t="array" ref="S66">INDEX('Subject-ConceptMap-1'!$I$15:$N$71,Q66+1,R66)</f>
        <v>//-- unmatched</v>
      </c>
    </row>
    <row r="67" spans="16:19" x14ac:dyDescent="0.75">
      <c r="P67" s="11">
        <v>53</v>
      </c>
      <c r="Q67" s="11">
        <f t="shared" si="23"/>
        <v>8</v>
      </c>
      <c r="R67" s="11">
        <f t="shared" si="24"/>
        <v>5</v>
      </c>
      <c r="S67" s="12" t="str" cm="1">
        <f t="array" ref="S67">INDEX('Subject-ConceptMap-1'!$I$15:$N$71,Q67+1,R67)</f>
        <v>* group[=].element[=].target.equivalence = #unmatched</v>
      </c>
    </row>
    <row r="68" spans="16:19" x14ac:dyDescent="0.75">
      <c r="P68" s="11">
        <v>54</v>
      </c>
      <c r="Q68" s="11">
        <f t="shared" si="23"/>
        <v>8</v>
      </c>
      <c r="R68" s="11">
        <f t="shared" si="24"/>
        <v>6</v>
      </c>
      <c r="S68" s="12" t="str" cm="1">
        <f t="array" ref="S68">INDEX('Subject-ConceptMap-1'!$I$15:$N$71,Q68+1,R68)</f>
        <v/>
      </c>
    </row>
    <row r="69" spans="16:19" x14ac:dyDescent="0.75">
      <c r="P69" s="11">
        <v>55</v>
      </c>
      <c r="Q69" s="11">
        <f t="shared" si="23"/>
        <v>9</v>
      </c>
      <c r="R69" s="11">
        <f t="shared" si="24"/>
        <v>1</v>
      </c>
      <c r="S69" s="12" t="str" cm="1">
        <f t="array" ref="S69">INDEX('Subject-ConceptMap-1'!$I$15:$N$71,Q69+1,R69)</f>
        <v>* group[=].element[+].code = #Subject.bMI</v>
      </c>
    </row>
    <row r="70" spans="16:19" x14ac:dyDescent="0.75">
      <c r="P70" s="11">
        <v>56</v>
      </c>
      <c r="Q70" s="11">
        <f t="shared" si="23"/>
        <v>9</v>
      </c>
      <c r="R70" s="11">
        <f t="shared" si="24"/>
        <v>2</v>
      </c>
      <c r="S70" s="12" t="str" cm="1">
        <f t="array" ref="S70">INDEX('Subject-ConceptMap-1'!$I$15:$N$71,Q70+1,R70)</f>
        <v>* group[=].element[=].display = ##34#Height/weight (BMI)
##34#</v>
      </c>
    </row>
    <row r="71" spans="16:19" x14ac:dyDescent="0.75">
      <c r="P71" s="11">
        <v>57</v>
      </c>
      <c r="Q71" s="11">
        <f t="shared" si="23"/>
        <v>9</v>
      </c>
      <c r="R71" s="11">
        <f t="shared" si="24"/>
        <v>3</v>
      </c>
      <c r="S71" s="12" t="str" cm="1">
        <f t="array" ref="S71">INDEX('Subject-ConceptMap-1'!$I$15:$N$71,Q71+1,R71)</f>
        <v>//-- unmatched</v>
      </c>
    </row>
    <row r="72" spans="16:19" x14ac:dyDescent="0.75">
      <c r="P72" s="11">
        <v>58</v>
      </c>
      <c r="Q72" s="11">
        <f t="shared" si="23"/>
        <v>9</v>
      </c>
      <c r="R72" s="11">
        <f t="shared" si="24"/>
        <v>4</v>
      </c>
      <c r="S72" s="12" t="str" cm="1">
        <f t="array" ref="S72">INDEX('Subject-ConceptMap-1'!$I$15:$N$71,Q72+1,R72)</f>
        <v>//-- unmatched</v>
      </c>
    </row>
    <row r="73" spans="16:19" x14ac:dyDescent="0.75">
      <c r="P73" s="11">
        <v>59</v>
      </c>
      <c r="Q73" s="11">
        <f t="shared" si="23"/>
        <v>9</v>
      </c>
      <c r="R73" s="11">
        <f t="shared" si="24"/>
        <v>5</v>
      </c>
      <c r="S73" s="12" t="str" cm="1">
        <f t="array" ref="S73">INDEX('Subject-ConceptMap-1'!$I$15:$N$71,Q73+1,R73)</f>
        <v>* group[=].element[=].target.equivalence = #unmatched</v>
      </c>
    </row>
    <row r="74" spans="16:19" x14ac:dyDescent="0.75">
      <c r="P74" s="11">
        <v>60</v>
      </c>
      <c r="Q74" s="11">
        <f t="shared" si="23"/>
        <v>9</v>
      </c>
      <c r="R74" s="11">
        <f t="shared" si="24"/>
        <v>6</v>
      </c>
      <c r="S74" s="12" t="str" cm="1">
        <f t="array" ref="S74">INDEX('Subject-ConceptMap-1'!$I$15:$N$71,Q74+1,R74)</f>
        <v/>
      </c>
    </row>
    <row r="75" spans="16:19" x14ac:dyDescent="0.75">
      <c r="P75" s="11">
        <v>61</v>
      </c>
      <c r="Q75" s="11">
        <f t="shared" si="23"/>
        <v>10</v>
      </c>
      <c r="R75" s="11">
        <f t="shared" si="24"/>
        <v>1</v>
      </c>
      <c r="S75" s="12" t="str" cm="1">
        <f t="array" ref="S75">INDEX('Subject-ConceptMap-1'!$I$15:$N$71,Q75+1,R75)</f>
        <v>* group[=].element[+].code = #Subject.charlsonComorbidityIndex</v>
      </c>
    </row>
    <row r="76" spans="16:19" x14ac:dyDescent="0.75">
      <c r="P76" s="11">
        <v>62</v>
      </c>
      <c r="Q76" s="11">
        <f t="shared" si="23"/>
        <v>10</v>
      </c>
      <c r="R76" s="11">
        <f t="shared" si="24"/>
        <v>2</v>
      </c>
      <c r="S76" s="12" t="str" cm="1">
        <f t="array" ref="S76">INDEX('Subject-ConceptMap-1'!$I$15:$N$71,Q76+1,R76)</f>
        <v>* group[=].element[=].display = ##34#Charlson Comorbidity index##34#</v>
      </c>
    </row>
    <row r="77" spans="16:19" x14ac:dyDescent="0.75">
      <c r="P77" s="11">
        <v>63</v>
      </c>
      <c r="Q77" s="11">
        <f t="shared" si="23"/>
        <v>10</v>
      </c>
      <c r="R77" s="11">
        <f t="shared" si="24"/>
        <v>3</v>
      </c>
      <c r="S77" s="12" t="str" cm="1">
        <f t="array" ref="S77">INDEX('Subject-ConceptMap-1'!$I$15:$N$71,Q77+1,R77)</f>
        <v>//-- unmatched</v>
      </c>
    </row>
    <row r="78" spans="16:19" x14ac:dyDescent="0.75">
      <c r="P78" s="11">
        <v>64</v>
      </c>
      <c r="Q78" s="11">
        <f t="shared" si="23"/>
        <v>10</v>
      </c>
      <c r="R78" s="11">
        <f t="shared" si="24"/>
        <v>4</v>
      </c>
      <c r="S78" s="12" t="str" cm="1">
        <f t="array" ref="S78">INDEX('Subject-ConceptMap-1'!$I$15:$N$71,Q78+1,R78)</f>
        <v>//-- unmatched</v>
      </c>
    </row>
    <row r="79" spans="16:19" x14ac:dyDescent="0.75">
      <c r="P79" s="11">
        <v>65</v>
      </c>
      <c r="Q79" s="11">
        <f t="shared" si="23"/>
        <v>10</v>
      </c>
      <c r="R79" s="11">
        <f t="shared" si="24"/>
        <v>5</v>
      </c>
      <c r="S79" s="12" t="str" cm="1">
        <f t="array" ref="S79">INDEX('Subject-ConceptMap-1'!$I$15:$N$71,Q79+1,R79)</f>
        <v>* group[=].element[=].target.equivalence = #unmatched</v>
      </c>
    </row>
    <row r="80" spans="16:19" x14ac:dyDescent="0.75">
      <c r="P80" s="11">
        <v>66</v>
      </c>
      <c r="Q80" s="11">
        <f t="shared" si="23"/>
        <v>10</v>
      </c>
      <c r="R80" s="11">
        <f t="shared" si="24"/>
        <v>6</v>
      </c>
      <c r="S80" s="12" t="str" cm="1">
        <f t="array" ref="S80">INDEX('Subject-ConceptMap-1'!$I$15:$N$71,Q80+1,R80)</f>
        <v/>
      </c>
    </row>
    <row r="81" spans="16:19" x14ac:dyDescent="0.75">
      <c r="P81" s="11">
        <v>67</v>
      </c>
      <c r="Q81" s="11">
        <f t="shared" si="23"/>
        <v>11</v>
      </c>
      <c r="R81" s="11">
        <f t="shared" si="24"/>
        <v>1</v>
      </c>
      <c r="S81" s="12" t="str" cm="1">
        <f t="array" ref="S81">INDEX('Subject-ConceptMap-1'!$I$15:$N$71,Q81+1,R81)</f>
        <v>* group[=].element[+].code = #Subject.comorbidity</v>
      </c>
    </row>
    <row r="82" spans="16:19" x14ac:dyDescent="0.75">
      <c r="P82" s="11">
        <v>68</v>
      </c>
      <c r="Q82" s="11">
        <f t="shared" si="23"/>
        <v>11</v>
      </c>
      <c r="R82" s="11">
        <f t="shared" si="24"/>
        <v>2</v>
      </c>
      <c r="S82" s="12" t="str" cm="1">
        <f t="array" ref="S82">INDEX('Subject-ConceptMap-1'!$I$15:$N$71,Q82+1,R82)</f>
        <v>* group[=].element[=].display = ##34#Comorbidity##34#</v>
      </c>
    </row>
    <row r="83" spans="16:19" x14ac:dyDescent="0.75">
      <c r="P83" s="11">
        <v>69</v>
      </c>
      <c r="Q83" s="11">
        <f t="shared" si="23"/>
        <v>11</v>
      </c>
      <c r="R83" s="11">
        <f t="shared" si="24"/>
        <v>3</v>
      </c>
      <c r="S83" s="12" t="str" cm="1">
        <f t="array" ref="S83">INDEX('Subject-ConceptMap-1'!$I$15:$N$71,Q83+1,R83)</f>
        <v>//-- unmatched</v>
      </c>
    </row>
    <row r="84" spans="16:19" x14ac:dyDescent="0.75">
      <c r="P84" s="11">
        <v>70</v>
      </c>
      <c r="Q84" s="11">
        <f t="shared" si="23"/>
        <v>11</v>
      </c>
      <c r="R84" s="11">
        <f t="shared" si="24"/>
        <v>4</v>
      </c>
      <c r="S84" s="12" t="str" cm="1">
        <f t="array" ref="S84">INDEX('Subject-ConceptMap-1'!$I$15:$N$71,Q84+1,R84)</f>
        <v>//-- unmatched</v>
      </c>
    </row>
    <row r="85" spans="16:19" x14ac:dyDescent="0.75">
      <c r="P85" s="11">
        <v>71</v>
      </c>
      <c r="Q85" s="11">
        <f t="shared" si="23"/>
        <v>11</v>
      </c>
      <c r="R85" s="11">
        <f t="shared" si="24"/>
        <v>5</v>
      </c>
      <c r="S85" s="12" t="str" cm="1">
        <f t="array" ref="S85">INDEX('Subject-ConceptMap-1'!$I$15:$N$71,Q85+1,R85)</f>
        <v>* group[=].element[=].target.equivalence = #unmatched</v>
      </c>
    </row>
    <row r="86" spans="16:19" x14ac:dyDescent="0.75">
      <c r="P86" s="11">
        <v>72</v>
      </c>
      <c r="Q86" s="11">
        <f t="shared" si="23"/>
        <v>11</v>
      </c>
      <c r="R86" s="11">
        <f t="shared" si="24"/>
        <v>6</v>
      </c>
      <c r="S86" s="12" t="str" cm="1">
        <f t="array" ref="S86">INDEX('Subject-ConceptMap-1'!$I$15:$N$71,Q86+1,R86)</f>
        <v/>
      </c>
    </row>
    <row r="87" spans="16:19" x14ac:dyDescent="0.75">
      <c r="P87" s="11">
        <v>73</v>
      </c>
      <c r="Q87" s="11">
        <f t="shared" si="23"/>
        <v>12</v>
      </c>
      <c r="R87" s="11">
        <f t="shared" si="24"/>
        <v>1</v>
      </c>
      <c r="S87" s="12" t="str" cm="1">
        <f t="array" ref="S87">INDEX('Subject-ConceptMap-1'!$I$15:$N$71,Q87+1,R87)</f>
        <v>* group[=].element[+].code = #Subject.ecogPsAtDiagnosis</v>
      </c>
    </row>
    <row r="88" spans="16:19" x14ac:dyDescent="0.75">
      <c r="P88" s="11">
        <v>74</v>
      </c>
      <c r="Q88" s="11">
        <f t="shared" si="23"/>
        <v>12</v>
      </c>
      <c r="R88" s="11">
        <f t="shared" si="24"/>
        <v>2</v>
      </c>
      <c r="S88" s="12" t="str" cm="1">
        <f t="array" ref="S88">INDEX('Subject-ConceptMap-1'!$I$15:$N$71,Q88+1,R88)</f>
        <v>* group[=].element[=].display = ##34#Eastern Cooperative Oncology Group performance status (ECOG PS)  at diagnosis##34#</v>
      </c>
    </row>
    <row r="89" spans="16:19" x14ac:dyDescent="0.75">
      <c r="P89" s="11">
        <v>75</v>
      </c>
      <c r="Q89" s="11">
        <f t="shared" si="23"/>
        <v>12</v>
      </c>
      <c r="R89" s="11">
        <f t="shared" si="24"/>
        <v>3</v>
      </c>
      <c r="S89" s="12" t="str" cm="1">
        <f t="array" ref="S89">INDEX('Subject-ConceptMap-1'!$I$15:$N$71,Q89+1,R89)</f>
        <v>//-- unmatched</v>
      </c>
    </row>
    <row r="90" spans="16:19" x14ac:dyDescent="0.75">
      <c r="P90" s="11">
        <v>76</v>
      </c>
      <c r="Q90" s="11">
        <f t="shared" si="23"/>
        <v>12</v>
      </c>
      <c r="R90" s="11">
        <f t="shared" si="24"/>
        <v>4</v>
      </c>
      <c r="S90" s="12" t="str" cm="1">
        <f t="array" ref="S90">INDEX('Subject-ConceptMap-1'!$I$15:$N$71,Q90+1,R90)</f>
        <v>//-- unmatched</v>
      </c>
    </row>
    <row r="91" spans="16:19" x14ac:dyDescent="0.75">
      <c r="P91" s="11">
        <v>77</v>
      </c>
      <c r="Q91" s="11">
        <f t="shared" si="23"/>
        <v>12</v>
      </c>
      <c r="R91" s="11">
        <f t="shared" si="24"/>
        <v>5</v>
      </c>
      <c r="S91" s="12" t="str" cm="1">
        <f t="array" ref="S91">INDEX('Subject-ConceptMap-1'!$I$15:$N$71,Q91+1,R91)</f>
        <v>* group[=].element[=].target.equivalence = #unmatched</v>
      </c>
    </row>
    <row r="92" spans="16:19" x14ac:dyDescent="0.75">
      <c r="P92" s="11">
        <v>78</v>
      </c>
      <c r="Q92" s="11">
        <f t="shared" si="23"/>
        <v>12</v>
      </c>
      <c r="R92" s="11">
        <f t="shared" si="24"/>
        <v>6</v>
      </c>
      <c r="S92" s="12" t="str" cm="1">
        <f t="array" ref="S92">INDEX('Subject-ConceptMap-1'!$I$15:$N$71,Q92+1,R92)</f>
        <v/>
      </c>
    </row>
    <row r="93" spans="16:19" x14ac:dyDescent="0.75">
      <c r="P93" s="11">
        <v>79</v>
      </c>
      <c r="Q93" s="11">
        <f t="shared" ref="Q93:Q132" si="26">IF(MOD(P93,$Q$8)=0,P93/$Q$8-1,INT(P93/$Q$8))</f>
        <v>13</v>
      </c>
      <c r="R93" s="11">
        <f t="shared" ref="R93:R132" si="27">IF(MOD(P93,$Q$8)=0,$Q$8,MOD(P93,$Q$8))</f>
        <v>1</v>
      </c>
      <c r="S93" s="12" t="str" cm="1">
        <f t="array" ref="S93">INDEX('Subject-ConceptMap-1'!$I$15:$N$71,Q93+1,R93)</f>
        <v>* group[=].element[+].code = #Subject.ecogPsLabel</v>
      </c>
    </row>
    <row r="94" spans="16:19" x14ac:dyDescent="0.75">
      <c r="P94" s="11">
        <v>80</v>
      </c>
      <c r="Q94" s="11">
        <f t="shared" si="26"/>
        <v>13</v>
      </c>
      <c r="R94" s="11">
        <f t="shared" si="27"/>
        <v>2</v>
      </c>
      <c r="S94" s="12" t="str" cm="1">
        <f t="array" ref="S94">INDEX('Subject-ConceptMap-1'!$I$15:$N$71,Q94+1,R94)</f>
        <v>* group[=].element[=].display = ##34#ECOG PS label##34#</v>
      </c>
    </row>
    <row r="95" spans="16:19" x14ac:dyDescent="0.75">
      <c r="P95" s="11">
        <v>81</v>
      </c>
      <c r="Q95" s="11">
        <f t="shared" si="26"/>
        <v>13</v>
      </c>
      <c r="R95" s="11">
        <f t="shared" si="27"/>
        <v>3</v>
      </c>
      <c r="S95" s="12" t="str" cm="1">
        <f t="array" ref="S95">INDEX('Subject-ConceptMap-1'!$I$15:$N$71,Q95+1,R95)</f>
        <v>//-- unmatched</v>
      </c>
    </row>
    <row r="96" spans="16:19" x14ac:dyDescent="0.75">
      <c r="P96" s="11">
        <v>82</v>
      </c>
      <c r="Q96" s="11">
        <f t="shared" si="26"/>
        <v>13</v>
      </c>
      <c r="R96" s="11">
        <f t="shared" si="27"/>
        <v>4</v>
      </c>
      <c r="S96" s="12" t="str" cm="1">
        <f t="array" ref="S96">INDEX('Subject-ConceptMap-1'!$I$15:$N$71,Q96+1,R96)</f>
        <v>//-- unmatched</v>
      </c>
    </row>
    <row r="97" spans="16:19" x14ac:dyDescent="0.75">
      <c r="P97" s="11">
        <v>83</v>
      </c>
      <c r="Q97" s="11">
        <f t="shared" si="26"/>
        <v>13</v>
      </c>
      <c r="R97" s="11">
        <f t="shared" si="27"/>
        <v>5</v>
      </c>
      <c r="S97" s="12" t="str" cm="1">
        <f t="array" ref="S97">INDEX('Subject-ConceptMap-1'!$I$15:$N$71,Q97+1,R97)</f>
        <v>* group[=].element[=].target.equivalence = #unmatched</v>
      </c>
    </row>
    <row r="98" spans="16:19" x14ac:dyDescent="0.75">
      <c r="P98" s="11">
        <v>84</v>
      </c>
      <c r="Q98" s="11">
        <f t="shared" si="26"/>
        <v>13</v>
      </c>
      <c r="R98" s="11">
        <f t="shared" si="27"/>
        <v>6</v>
      </c>
      <c r="S98" s="12" t="str" cm="1">
        <f t="array" ref="S98">INDEX('Subject-ConceptMap-1'!$I$15:$N$71,Q98+1,R98)</f>
        <v/>
      </c>
    </row>
    <row r="99" spans="16:19" x14ac:dyDescent="0.75">
      <c r="P99" s="11">
        <v>85</v>
      </c>
      <c r="Q99" s="11">
        <f t="shared" si="26"/>
        <v>14</v>
      </c>
      <c r="R99" s="11">
        <f t="shared" si="27"/>
        <v>1</v>
      </c>
      <c r="S99" s="12" t="str" cm="1">
        <f t="array" ref="S99">INDEX('Subject-ConceptMap-1'!$I$15:$N$71,Q99+1,R99)</f>
        <v>* group[=].element[+].code = #Subject.karnofsyIndexAtDiagnosis</v>
      </c>
    </row>
    <row r="100" spans="16:19" x14ac:dyDescent="0.75">
      <c r="P100" s="11">
        <v>86</v>
      </c>
      <c r="Q100" s="11">
        <f t="shared" si="26"/>
        <v>14</v>
      </c>
      <c r="R100" s="11">
        <f t="shared" si="27"/>
        <v>2</v>
      </c>
      <c r="S100" s="12" t="str" cm="1">
        <f t="array" ref="S100">INDEX('Subject-ConceptMap-1'!$I$15:$N$71,Q100+1,R100)</f>
        <v>* group[=].element[=].display = ##34#Karnofsy index at diagnosis##34#</v>
      </c>
    </row>
    <row r="101" spans="16:19" x14ac:dyDescent="0.75">
      <c r="P101" s="11">
        <v>87</v>
      </c>
      <c r="Q101" s="11">
        <f t="shared" si="26"/>
        <v>14</v>
      </c>
      <c r="R101" s="11">
        <f t="shared" si="27"/>
        <v>3</v>
      </c>
      <c r="S101" s="12" t="str" cm="1">
        <f t="array" ref="S101">INDEX('Subject-ConceptMap-1'!$I$15:$N$71,Q101+1,R101)</f>
        <v>//-- unmatched</v>
      </c>
    </row>
    <row r="102" spans="16:19" x14ac:dyDescent="0.75">
      <c r="P102" s="11">
        <v>88</v>
      </c>
      <c r="Q102" s="11">
        <f t="shared" si="26"/>
        <v>14</v>
      </c>
      <c r="R102" s="11">
        <f t="shared" si="27"/>
        <v>4</v>
      </c>
      <c r="S102" s="12" t="str" cm="1">
        <f t="array" ref="S102">INDEX('Subject-ConceptMap-1'!$I$15:$N$71,Q102+1,R102)</f>
        <v>//-- unmatched</v>
      </c>
    </row>
    <row r="103" spans="16:19" x14ac:dyDescent="0.75">
      <c r="P103" s="11">
        <v>89</v>
      </c>
      <c r="Q103" s="11">
        <f t="shared" si="26"/>
        <v>14</v>
      </c>
      <c r="R103" s="11">
        <f t="shared" si="27"/>
        <v>5</v>
      </c>
      <c r="S103" s="12" t="str" cm="1">
        <f t="array" ref="S103">INDEX('Subject-ConceptMap-1'!$I$15:$N$71,Q103+1,R103)</f>
        <v>* group[=].element[=].target.equivalence = #unmatched</v>
      </c>
    </row>
    <row r="104" spans="16:19" x14ac:dyDescent="0.75">
      <c r="P104" s="11">
        <v>90</v>
      </c>
      <c r="Q104" s="11">
        <f t="shared" si="26"/>
        <v>14</v>
      </c>
      <c r="R104" s="11">
        <f t="shared" si="27"/>
        <v>6</v>
      </c>
      <c r="S104" s="12" t="str" cm="1">
        <f t="array" ref="S104">INDEX('Subject-ConceptMap-1'!$I$15:$N$71,Q104+1,R104)</f>
        <v/>
      </c>
    </row>
    <row r="105" spans="16:19" x14ac:dyDescent="0.75">
      <c r="P105" s="11">
        <v>91</v>
      </c>
      <c r="Q105" s="11">
        <f t="shared" si="26"/>
        <v>15</v>
      </c>
      <c r="R105" s="11">
        <f t="shared" si="27"/>
        <v>1</v>
      </c>
      <c r="S105" s="12" t="str" cm="1">
        <f t="array" ref="S105">INDEX('Subject-ConceptMap-1'!$I$15:$N$71,Q105+1,R105)</f>
        <v>* group[=].element[+].code = #Subject.karnofsyIndexLabel</v>
      </c>
    </row>
    <row r="106" spans="16:19" x14ac:dyDescent="0.75">
      <c r="P106" s="11">
        <v>92</v>
      </c>
      <c r="Q106" s="11">
        <f t="shared" si="26"/>
        <v>15</v>
      </c>
      <c r="R106" s="11">
        <f t="shared" si="27"/>
        <v>2</v>
      </c>
      <c r="S106" s="12" t="str" cm="1">
        <f t="array" ref="S106">INDEX('Subject-ConceptMap-1'!$I$15:$N$71,Q106+1,R106)</f>
        <v>* group[=].element[=].display = ##34#Karnofsy index label##34#</v>
      </c>
    </row>
    <row r="107" spans="16:19" x14ac:dyDescent="0.75">
      <c r="P107" s="11">
        <v>93</v>
      </c>
      <c r="Q107" s="11">
        <f t="shared" si="26"/>
        <v>15</v>
      </c>
      <c r="R107" s="11">
        <f t="shared" si="27"/>
        <v>3</v>
      </c>
      <c r="S107" s="12" t="str" cm="1">
        <f t="array" ref="S107">INDEX('Subject-ConceptMap-1'!$I$15:$N$71,Q107+1,R107)</f>
        <v>//-- unmatched</v>
      </c>
    </row>
    <row r="108" spans="16:19" x14ac:dyDescent="0.75">
      <c r="P108" s="11">
        <v>94</v>
      </c>
      <c r="Q108" s="11">
        <f t="shared" si="26"/>
        <v>15</v>
      </c>
      <c r="R108" s="11">
        <f t="shared" si="27"/>
        <v>4</v>
      </c>
      <c r="S108" s="12" t="str" cm="1">
        <f t="array" ref="S108">INDEX('Subject-ConceptMap-1'!$I$15:$N$71,Q108+1,R108)</f>
        <v>//-- unmatched</v>
      </c>
    </row>
    <row r="109" spans="16:19" x14ac:dyDescent="0.75">
      <c r="P109" s="11">
        <v>95</v>
      </c>
      <c r="Q109" s="11">
        <f t="shared" si="26"/>
        <v>15</v>
      </c>
      <c r="R109" s="11">
        <f t="shared" si="27"/>
        <v>5</v>
      </c>
      <c r="S109" s="12" t="str" cm="1">
        <f t="array" ref="S109">INDEX('Subject-ConceptMap-1'!$I$15:$N$71,Q109+1,R109)</f>
        <v>* group[=].element[=].target.equivalence = #unmatched</v>
      </c>
    </row>
    <row r="110" spans="16:19" x14ac:dyDescent="0.75">
      <c r="P110" s="11">
        <v>96</v>
      </c>
      <c r="Q110" s="11">
        <f t="shared" si="26"/>
        <v>15</v>
      </c>
      <c r="R110" s="11">
        <f t="shared" si="27"/>
        <v>6</v>
      </c>
      <c r="S110" s="12" t="str" cm="1">
        <f t="array" ref="S110">INDEX('Subject-ConceptMap-1'!$I$15:$N$71,Q110+1,R110)</f>
        <v/>
      </c>
    </row>
    <row r="111" spans="16:19" x14ac:dyDescent="0.75">
      <c r="P111" s="11">
        <v>97</v>
      </c>
      <c r="Q111" s="11">
        <f t="shared" si="26"/>
        <v>16</v>
      </c>
      <c r="R111" s="11">
        <f t="shared" si="27"/>
        <v>1</v>
      </c>
      <c r="S111" s="12" t="str" cm="1">
        <f t="array" ref="S111">INDEX('Subject-ConceptMap-1'!$I$15:$N$71,Q111+1,R111)</f>
        <v>* group[=].element[+].code = #Subject.noGeneticSyndromeWho2020</v>
      </c>
    </row>
    <row r="112" spans="16:19" x14ac:dyDescent="0.75">
      <c r="P112" s="11">
        <v>98</v>
      </c>
      <c r="Q112" s="11">
        <f t="shared" si="26"/>
        <v>16</v>
      </c>
      <c r="R112" s="11">
        <f t="shared" si="27"/>
        <v>2</v>
      </c>
      <c r="S112" s="12" t="str" cm="1">
        <f t="array" ref="S112">INDEX('Subject-ConceptMap-1'!$I$15:$N$71,Q112+1,R112)</f>
        <v>* group[=].element[=].display = ##34#No Genetic syndrome WHO 2020 ##34#</v>
      </c>
    </row>
    <row r="113" spans="16:19" x14ac:dyDescent="0.75">
      <c r="P113" s="11">
        <v>99</v>
      </c>
      <c r="Q113" s="11">
        <f t="shared" si="26"/>
        <v>16</v>
      </c>
      <c r="R113" s="11">
        <f t="shared" si="27"/>
        <v>3</v>
      </c>
      <c r="S113" s="12" t="str" cm="1">
        <f t="array" ref="S113">INDEX('Subject-ConceptMap-1'!$I$15:$N$71,Q113+1,R113)</f>
        <v>//-- unmatched</v>
      </c>
    </row>
    <row r="114" spans="16:19" x14ac:dyDescent="0.75">
      <c r="P114" s="11">
        <v>100</v>
      </c>
      <c r="Q114" s="11">
        <f t="shared" si="26"/>
        <v>16</v>
      </c>
      <c r="R114" s="11">
        <f t="shared" si="27"/>
        <v>4</v>
      </c>
      <c r="S114" s="12" t="str" cm="1">
        <f t="array" ref="S114">INDEX('Subject-ConceptMap-1'!$I$15:$N$71,Q114+1,R114)</f>
        <v>//-- unmatched</v>
      </c>
    </row>
    <row r="115" spans="16:19" x14ac:dyDescent="0.75">
      <c r="P115" s="11">
        <v>101</v>
      </c>
      <c r="Q115" s="11">
        <f t="shared" si="26"/>
        <v>16</v>
      </c>
      <c r="R115" s="11">
        <f t="shared" si="27"/>
        <v>5</v>
      </c>
      <c r="S115" s="12" t="str" cm="1">
        <f t="array" ref="S115">INDEX('Subject-ConceptMap-1'!$I$15:$N$71,Q115+1,R115)</f>
        <v>* group[=].element[=].target.equivalence = #unmatched</v>
      </c>
    </row>
    <row r="116" spans="16:19" x14ac:dyDescent="0.75">
      <c r="P116" s="11">
        <v>102</v>
      </c>
      <c r="Q116" s="11">
        <f t="shared" si="26"/>
        <v>16</v>
      </c>
      <c r="R116" s="11">
        <f t="shared" si="27"/>
        <v>6</v>
      </c>
      <c r="S116" s="12" t="str" cm="1">
        <f t="array" ref="S116">INDEX('Subject-ConceptMap-1'!$I$15:$N$71,Q116+1,R116)</f>
        <v/>
      </c>
    </row>
    <row r="117" spans="16:19" x14ac:dyDescent="0.75">
      <c r="P117" s="11">
        <v>103</v>
      </c>
      <c r="Q117" s="11">
        <f t="shared" si="26"/>
        <v>17</v>
      </c>
      <c r="R117" s="11">
        <f t="shared" si="27"/>
        <v>1</v>
      </c>
      <c r="S117" s="12" t="str" cm="1">
        <f t="array" ref="S117">INDEX('Subject-ConceptMap-1'!$I$15:$N$71,Q117+1,R117)</f>
        <v>* group[=].element[+].code = #Subject.occurrenceOfOtherCancer</v>
      </c>
    </row>
    <row r="118" spans="16:19" x14ac:dyDescent="0.75">
      <c r="P118" s="11">
        <v>104</v>
      </c>
      <c r="Q118" s="11">
        <f t="shared" si="26"/>
        <v>17</v>
      </c>
      <c r="R118" s="11">
        <f t="shared" si="27"/>
        <v>2</v>
      </c>
      <c r="S118" s="12" t="str" cm="1">
        <f t="array" ref="S118">INDEX('Subject-ConceptMap-1'!$I$15:$N$71,Q118+1,R118)</f>
        <v>* group[=].element[=].display = ##34#Occurrence of other cancer##34#</v>
      </c>
    </row>
    <row r="119" spans="16:19" x14ac:dyDescent="0.75">
      <c r="P119" s="11">
        <v>105</v>
      </c>
      <c r="Q119" s="11">
        <f t="shared" si="26"/>
        <v>17</v>
      </c>
      <c r="R119" s="11">
        <f t="shared" si="27"/>
        <v>3</v>
      </c>
      <c r="S119" s="12" t="str" cm="1">
        <f t="array" ref="S119">INDEX('Subject-ConceptMap-1'!$I$15:$N$71,Q119+1,R119)</f>
        <v>//-- unmatched</v>
      </c>
    </row>
    <row r="120" spans="16:19" x14ac:dyDescent="0.75">
      <c r="P120" s="11">
        <v>106</v>
      </c>
      <c r="Q120" s="11">
        <f t="shared" si="26"/>
        <v>17</v>
      </c>
      <c r="R120" s="11">
        <f t="shared" si="27"/>
        <v>4</v>
      </c>
      <c r="S120" s="12" t="str" cm="1">
        <f t="array" ref="S120">INDEX('Subject-ConceptMap-1'!$I$15:$N$71,Q120+1,R120)</f>
        <v>//-- unmatched</v>
      </c>
    </row>
    <row r="121" spans="16:19" x14ac:dyDescent="0.75">
      <c r="P121" s="11">
        <v>107</v>
      </c>
      <c r="Q121" s="11">
        <f t="shared" si="26"/>
        <v>17</v>
      </c>
      <c r="R121" s="11">
        <f t="shared" si="27"/>
        <v>5</v>
      </c>
      <c r="S121" s="12" t="str" cm="1">
        <f t="array" ref="S121">INDEX('Subject-ConceptMap-1'!$I$15:$N$71,Q121+1,R121)</f>
        <v>* group[=].element[=].target.equivalence = #unmatched</v>
      </c>
    </row>
    <row r="122" spans="16:19" x14ac:dyDescent="0.75">
      <c r="P122" s="11">
        <v>108</v>
      </c>
      <c r="Q122" s="11">
        <f t="shared" si="26"/>
        <v>17</v>
      </c>
      <c r="R122" s="11">
        <f t="shared" si="27"/>
        <v>6</v>
      </c>
      <c r="S122" s="12" t="str" cm="1">
        <f t="array" ref="S122">INDEX('Subject-ConceptMap-1'!$I$15:$N$71,Q122+1,R122)</f>
        <v/>
      </c>
    </row>
    <row r="123" spans="16:19" x14ac:dyDescent="0.75">
      <c r="P123" s="11">
        <v>109</v>
      </c>
      <c r="Q123" s="11">
        <f t="shared" si="26"/>
        <v>18</v>
      </c>
      <c r="R123" s="11">
        <f t="shared" si="27"/>
        <v>1</v>
      </c>
      <c r="S123" s="12" t="str" cm="1">
        <f t="array" ref="S123">INDEX('Subject-ConceptMap-1'!$I$15:$N$71,Q123+1,R123)</f>
        <v>* group[=].element[+].code = #Subject.previousCancerTreatment</v>
      </c>
    </row>
    <row r="124" spans="16:19" x14ac:dyDescent="0.75">
      <c r="P124" s="11">
        <v>110</v>
      </c>
      <c r="Q124" s="11">
        <f t="shared" si="26"/>
        <v>18</v>
      </c>
      <c r="R124" s="11">
        <f t="shared" si="27"/>
        <v>2</v>
      </c>
      <c r="S124" s="12" t="str" cm="1">
        <f t="array" ref="S124">INDEX('Subject-ConceptMap-1'!$I$15:$N$71,Q124+1,R124)</f>
        <v>* group[=].element[=].display = ##34#Previous cancer treatment##34#</v>
      </c>
    </row>
    <row r="125" spans="16:19" x14ac:dyDescent="0.75">
      <c r="P125" s="11">
        <v>111</v>
      </c>
      <c r="Q125" s="11">
        <f t="shared" si="26"/>
        <v>18</v>
      </c>
      <c r="R125" s="11">
        <f t="shared" si="27"/>
        <v>3</v>
      </c>
      <c r="S125" s="12" t="str" cm="1">
        <f t="array" ref="S125">INDEX('Subject-ConceptMap-1'!$I$15:$N$71,Q125+1,R125)</f>
        <v>//-- unmatched</v>
      </c>
    </row>
    <row r="126" spans="16:19" x14ac:dyDescent="0.75">
      <c r="P126" s="11">
        <v>112</v>
      </c>
      <c r="Q126" s="11">
        <f t="shared" si="26"/>
        <v>18</v>
      </c>
      <c r="R126" s="11">
        <f t="shared" si="27"/>
        <v>4</v>
      </c>
      <c r="S126" s="12" t="str" cm="1">
        <f t="array" ref="S126">INDEX('Subject-ConceptMap-1'!$I$15:$N$71,Q126+1,R126)</f>
        <v>//-- unmatched</v>
      </c>
    </row>
    <row r="127" spans="16:19" x14ac:dyDescent="0.75">
      <c r="P127" s="11">
        <v>113</v>
      </c>
      <c r="Q127" s="11">
        <f t="shared" si="26"/>
        <v>18</v>
      </c>
      <c r="R127" s="11">
        <f t="shared" si="27"/>
        <v>5</v>
      </c>
      <c r="S127" s="12" t="str" cm="1">
        <f t="array" ref="S127">INDEX('Subject-ConceptMap-1'!$I$15:$N$71,Q127+1,R127)</f>
        <v>* group[=].element[=].target.equivalence = #unmatched</v>
      </c>
    </row>
    <row r="128" spans="16:19" x14ac:dyDescent="0.75">
      <c r="P128" s="11">
        <v>114</v>
      </c>
      <c r="Q128" s="11">
        <f t="shared" si="26"/>
        <v>18</v>
      </c>
      <c r="R128" s="11">
        <f t="shared" si="27"/>
        <v>6</v>
      </c>
      <c r="S128" s="12" t="str" cm="1">
        <f t="array" ref="S128">INDEX('Subject-ConceptMap-1'!$I$15:$N$71,Q128+1,R128)</f>
        <v/>
      </c>
    </row>
    <row r="129" spans="16:19" x14ac:dyDescent="0.75">
      <c r="P129" s="11">
        <v>115</v>
      </c>
      <c r="Q129" s="11">
        <f t="shared" si="26"/>
        <v>19</v>
      </c>
      <c r="R129" s="11">
        <f t="shared" si="27"/>
        <v>1</v>
      </c>
      <c r="S129" s="12" cm="1">
        <f t="array" ref="S129">INDEX('Subject-ConceptMap-1'!$I$15:$N$71,Q129+1,R129)</f>
        <v>0</v>
      </c>
    </row>
    <row r="130" spans="16:19" x14ac:dyDescent="0.75">
      <c r="P130" s="11">
        <v>116</v>
      </c>
      <c r="Q130" s="11">
        <f t="shared" si="26"/>
        <v>19</v>
      </c>
      <c r="R130" s="11">
        <f t="shared" si="27"/>
        <v>2</v>
      </c>
      <c r="S130" s="12" cm="1">
        <f t="array" ref="S130">INDEX('Subject-ConceptMap-1'!$I$15:$N$71,Q130+1,R130)</f>
        <v>0</v>
      </c>
    </row>
    <row r="131" spans="16:19" x14ac:dyDescent="0.75">
      <c r="P131" s="11">
        <v>117</v>
      </c>
      <c r="Q131" s="11">
        <f t="shared" si="26"/>
        <v>19</v>
      </c>
      <c r="R131" s="11">
        <f t="shared" si="27"/>
        <v>3</v>
      </c>
      <c r="S131" s="12" cm="1">
        <f t="array" ref="S131">INDEX('Subject-ConceptMap-1'!$I$15:$N$71,Q131+1,R131)</f>
        <v>0</v>
      </c>
    </row>
    <row r="132" spans="16:19" x14ac:dyDescent="0.75">
      <c r="P132" s="11">
        <v>118</v>
      </c>
      <c r="Q132" s="11">
        <f t="shared" si="26"/>
        <v>19</v>
      </c>
      <c r="R132" s="11">
        <f t="shared" si="27"/>
        <v>4</v>
      </c>
      <c r="S132" s="12" cm="1">
        <f t="array" ref="S132">INDEX('Subject-ConceptMap-1'!$I$15:$N$71,Q132+1,R132)</f>
        <v>0</v>
      </c>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1537</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Subject!B12</f>
        <v>smoking</v>
      </c>
      <c r="C15" s="11" t="str">
        <f>Subject!C12</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Subject!B13</f>
        <v>smokingType</v>
      </c>
      <c r="C16" s="11" t="str">
        <f>Subject!C13</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Subject!B14</f>
        <v>cigSmokedPerDay</v>
      </c>
      <c r="C17" s="11" t="str">
        <f>Subject!C14</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Subject!B15</f>
        <v>yearsAsSmoker</v>
      </c>
      <c r="C18" s="11" t="str">
        <f>Subject!C15</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1543</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Subject!B16</f>
        <v>alcohol</v>
      </c>
      <c r="C15" s="11" t="str">
        <f>Subject!C16</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5"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1545</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Subject!B19</f>
        <v>comorbidity</v>
      </c>
      <c r="C15" s="11" t="str">
        <f>Subject!C19</f>
        <v>Comorbidity</v>
      </c>
      <c r="D15" s="12"/>
      <c r="E15" s="12"/>
      <c r="F15" s="49" t="s">
        <v>1294</v>
      </c>
      <c r="G15" s="77" t="s">
        <v>1984</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Subject!B20</f>
        <v>comorbidity.myocardialInfarction</v>
      </c>
      <c r="C16" s="11" t="str">
        <f>Subject!C20</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Subject!B21</f>
        <v>comorbidity.congestiveHeartFailure</v>
      </c>
      <c r="C17" s="11" t="str">
        <f>Subject!C21</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Subject!B22</f>
        <v>comorbidity.peripheralVascularDisease</v>
      </c>
      <c r="C18" s="11" t="str">
        <f>Subject!C22</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Subject!B23</f>
        <v>comorbidity.cerebrovascularAccidentExceptHemiplegia</v>
      </c>
      <c r="C19" s="11" t="str">
        <f>Subject!C23</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Subject!B24</f>
        <v>comorbidity.dementia</v>
      </c>
      <c r="C20" s="11" t="str">
        <f>Subject!C24</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Subject!B25</f>
        <v>comorbidity.chronicPulmonaryDisease</v>
      </c>
      <c r="C21" s="11" t="str">
        <f>Subject!C25</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Subject!B26</f>
        <v>comorbidity.connectiveTissueDisease</v>
      </c>
      <c r="C22" s="11" t="str">
        <f>Subject!C26</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Subject!B27</f>
        <v>comorbidity.ulcer</v>
      </c>
      <c r="C23" s="11" t="str">
        <f>Subject!C27</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Subject!B28</f>
        <v>comorbidity.mildLiverDisease</v>
      </c>
      <c r="C24" s="11" t="str">
        <f>Subject!C28</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Subject!B29</f>
        <v>comorbidity.moderateToSevereLiverDisease</v>
      </c>
      <c r="C25" s="11" t="str">
        <f>Subject!C29</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Subject!B30</f>
        <v>comorbidity.diabetesWithoutComplications</v>
      </c>
      <c r="C26" s="11" t="str">
        <f>Subject!C30</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Subject!B31</f>
        <v>comorbidity.diabetesWithEndOrganDamage</v>
      </c>
      <c r="C27" s="11" t="str">
        <f>Subject!C31</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Subject!B32</f>
        <v>comorbidity.hemiplegia</v>
      </c>
      <c r="C28" s="11" t="str">
        <f>Subject!C32</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Subject!B33</f>
        <v>comorbidity.moderateToSevereRenalDisease</v>
      </c>
      <c r="C29" s="11" t="str">
        <f>Subject!C33</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Subject!B34</f>
        <v>comorbidity.solidTumorNonMetastatic</v>
      </c>
      <c r="C30" s="11" t="str">
        <f>Subject!C34</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Subject!B35</f>
        <v>comorbidity.metastaticSolidTumor</v>
      </c>
      <c r="C31" s="11" t="str">
        <f>Subject!C35</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Subject!B36</f>
        <v>comorbidity.leukemia</v>
      </c>
      <c r="C32" s="11" t="str">
        <f>Subject!C36</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Subject!B37</f>
        <v>comorbidity.lymphoma</v>
      </c>
      <c r="C33" s="11" t="str">
        <f>Subject!C37</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Subject!B38</f>
        <v>comorbidity.multipleMyeloma</v>
      </c>
      <c r="C34" s="11" t="str">
        <f>Subject!C38</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Subject!B39</f>
        <v>comorbidity.aids</v>
      </c>
      <c r="C35" s="11" t="str">
        <f>Subject!C39</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Subject!B44</f>
        <v>noGeneticSyndromeWho2020</v>
      </c>
      <c r="C36" s="11" t="str">
        <f>Subject!C44</f>
        <v xml:space="preserve">No Genetic syndrome WHO 2020 </v>
      </c>
      <c r="D36" s="12" t="s">
        <v>1546</v>
      </c>
      <c r="E36" s="12"/>
      <c r="F36" s="49" t="s">
        <v>1316</v>
      </c>
      <c r="G36" s="77" t="s">
        <v>1984</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Subject!B45</f>
        <v>noGeneticSyndromeWho2020.olliersDisease</v>
      </c>
      <c r="C37" s="11" t="str">
        <f>Subject!C45</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Subject!B46</f>
        <v>noGeneticSyndromeWho2020.maffuciSyndrome</v>
      </c>
      <c r="C38" s="11" t="str">
        <f>Subject!C46</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Subject!B47</f>
        <v>noGeneticSyndromeWho2020.liFraumeniSyndrome</v>
      </c>
      <c r="C39" s="11" t="str">
        <f>Subject!C47</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Subject!B48</f>
        <v>noGeneticSyndromeWho2020.mcCuneAlbrightSyndrome</v>
      </c>
      <c r="C40" s="11" t="str">
        <f>Subject!C48</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Subject!B49</f>
        <v>noGeneticSyndromeWho2020.multipleOsteochondromas</v>
      </c>
      <c r="C41" s="11" t="str">
        <f>Subject!C49</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Subject!B50</f>
        <v>noGeneticSyndromeWho2020.neurofibromatosisType1</v>
      </c>
      <c r="C42" s="11" t="str">
        <f>Subject!C50</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Subject!B51</f>
        <v>noGeneticSyndromeWho2020.rothmundThomsonSyndrome</v>
      </c>
      <c r="C43" s="11" t="str">
        <f>Subject!C51</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Subject!B52</f>
        <v>noGeneticSyndromeWho2020.wernerSyndrome</v>
      </c>
      <c r="C44" s="11" t="str">
        <f>Subject!C52</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Subject!B53</f>
        <v>noGeneticSyndromeWho2020.retinoblastoma</v>
      </c>
      <c r="C45" s="11" t="str">
        <f>Subject!C53</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Subject!B54</f>
        <v>noGeneticSyndromeWho2020.pagetDisease</v>
      </c>
      <c r="C46" s="11" t="str">
        <f>Subject!C54</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Subject!B55</f>
        <v>noGeneticSyndromeWho2020.otherSyndromes</v>
      </c>
      <c r="C47" s="11" t="str">
        <f>Subject!C55</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B22" zoomScale="85" zoomScaleNormal="85" workbookViewId="0">
      <selection activeCell="P31" sqref="P31:S4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4" t="str">
        <f>E3</f>
        <v>http://hl7.eu/fhir/ig/idea4rc/StructureDefinition/Subject</v>
      </c>
      <c r="F6" s="155"/>
      <c r="G6" s="155"/>
    </row>
    <row r="7" spans="1:19" x14ac:dyDescent="0.75">
      <c r="B7" s="47" t="s">
        <v>15</v>
      </c>
      <c r="C7" s="82"/>
      <c r="D7" s="47" t="s">
        <v>1476</v>
      </c>
      <c r="E7" s="154" t="s">
        <v>1547</v>
      </c>
      <c r="F7" s="155"/>
      <c r="G7" s="155"/>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Subject!B42</f>
        <v>karnofsyIndexAtDiagnosis</v>
      </c>
      <c r="C15" s="11" t="str">
        <f>Subject!C42</f>
        <v>Karnofsy index at diagnosis</v>
      </c>
      <c r="D15" s="12" t="s">
        <v>1548</v>
      </c>
      <c r="E15" s="12"/>
      <c r="F15" s="49" t="s">
        <v>1317</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Subject!B43</f>
        <v>karnofsyIndexLabel</v>
      </c>
      <c r="C16" s="11" t="str">
        <f>Subject!C43</f>
        <v>Karnofsy index label</v>
      </c>
      <c r="D16" s="4" t="s">
        <v>2461</v>
      </c>
      <c r="E16" s="12"/>
      <c r="F16" s="49" t="s">
        <v>1316</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1475</v>
      </c>
      <c r="E28" s="88" t="str">
        <f>$E$3</f>
        <v>http://hl7.eu/fhir/ig/idea4rc/StructureDefinition/Subject</v>
      </c>
      <c r="F28" s="89"/>
      <c r="G28" s="90"/>
      <c r="H28" s="43"/>
      <c r="I28" s="16" t="s">
        <v>1331</v>
      </c>
      <c r="J28" s="52" t="s">
        <v>1332</v>
      </c>
      <c r="K28" s="16" t="s">
        <v>1329</v>
      </c>
      <c r="L28" s="52" t="s">
        <v>1330</v>
      </c>
      <c r="M28" s="48" t="s">
        <v>1324</v>
      </c>
      <c r="N28" s="51" t="s">
        <v>1384</v>
      </c>
      <c r="P28" s="11"/>
      <c r="Q28" s="11"/>
      <c r="R28" s="11"/>
      <c r="S28" s="12"/>
    </row>
    <row r="29" spans="1:19" ht="44.25" customHeight="1" x14ac:dyDescent="0.75">
      <c r="A29" s="44"/>
      <c r="B29" s="68"/>
      <c r="C29" s="68"/>
      <c r="D29" s="87" t="s">
        <v>1476</v>
      </c>
      <c r="E29" s="88" t="s">
        <v>1549</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Subject!B40</f>
        <v>ecogPsAtDiagnosis</v>
      </c>
      <c r="C31" s="11" t="str">
        <f>Subject!C40</f>
        <v>Eastern Cooperative Oncology Group performance status (ECOG PS)  at diagnosis</v>
      </c>
      <c r="D31" s="12" t="s">
        <v>1630</v>
      </c>
      <c r="E31" s="12"/>
      <c r="F31" s="49" t="s">
        <v>1317</v>
      </c>
      <c r="G31" s="134" t="s">
        <v>2281</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Subject!B41</f>
        <v>ecogPsLabel</v>
      </c>
      <c r="C32" s="11" t="str">
        <f>Subject!C41</f>
        <v>ECOG PS label</v>
      </c>
      <c r="D32" s="4" t="s">
        <v>2461</v>
      </c>
      <c r="E32" s="12"/>
      <c r="F32" s="49" t="s">
        <v>1316</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1475</v>
      </c>
      <c r="E49" s="88" t="str">
        <f>$E$3</f>
        <v>http://hl7.eu/fhir/ig/idea4rc/StructureDefinition/Subject</v>
      </c>
      <c r="F49" s="89"/>
      <c r="G49" s="90"/>
      <c r="H49" s="43"/>
      <c r="I49" s="16" t="s">
        <v>1331</v>
      </c>
      <c r="J49" s="52" t="s">
        <v>1332</v>
      </c>
      <c r="K49" s="16" t="s">
        <v>1329</v>
      </c>
      <c r="L49" s="52" t="s">
        <v>1330</v>
      </c>
      <c r="M49" s="48" t="s">
        <v>1324</v>
      </c>
      <c r="N49" s="51" t="s">
        <v>1384</v>
      </c>
      <c r="P49" s="11"/>
      <c r="Q49" s="11"/>
      <c r="R49" s="11"/>
      <c r="S49" s="12"/>
    </row>
    <row r="50" spans="1:19" ht="44.25" customHeight="1" x14ac:dyDescent="0.75">
      <c r="A50" s="44"/>
      <c r="B50" s="68"/>
      <c r="C50" s="68"/>
      <c r="D50" s="87" t="s">
        <v>1476</v>
      </c>
      <c r="E50" s="88" t="s">
        <v>1987</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Subject!B18</f>
        <v>charlsonComorbidityIndex</v>
      </c>
      <c r="C52" s="11" t="str">
        <f>Subject!C18</f>
        <v>Charlson Comorbidity index</v>
      </c>
      <c r="D52" s="12" t="s">
        <v>1548</v>
      </c>
      <c r="E52" s="12"/>
      <c r="F52" s="49" t="s">
        <v>1317</v>
      </c>
      <c r="G52" s="134" t="s">
        <v>2280</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1475</v>
      </c>
      <c r="E66" s="88" t="str">
        <f>$E$3</f>
        <v>http://hl7.eu/fhir/ig/idea4rc/StructureDefinition/Subject</v>
      </c>
      <c r="F66" s="89"/>
      <c r="G66" s="90"/>
      <c r="H66" s="43"/>
      <c r="I66" s="16" t="s">
        <v>1331</v>
      </c>
      <c r="J66" s="52" t="s">
        <v>1332</v>
      </c>
      <c r="K66" s="16" t="s">
        <v>1329</v>
      </c>
      <c r="L66" s="52" t="s">
        <v>1330</v>
      </c>
      <c r="M66" s="48" t="s">
        <v>1324</v>
      </c>
      <c r="N66" s="51" t="s">
        <v>1384</v>
      </c>
      <c r="P66" s="11"/>
      <c r="Q66" s="11"/>
      <c r="R66" s="11"/>
      <c r="S66" s="12"/>
    </row>
    <row r="67" spans="1:19" ht="44.25" customHeight="1" x14ac:dyDescent="0.75">
      <c r="A67" s="44"/>
      <c r="B67" s="68"/>
      <c r="C67" s="68"/>
      <c r="D67" s="87" t="s">
        <v>1476</v>
      </c>
      <c r="E67" s="88" t="s">
        <v>1988</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Subject!B17</f>
        <v>bMI</v>
      </c>
      <c r="C69" s="11" t="str">
        <f>Subject!C17</f>
        <v xml:space="preserve">Height/weight (BMI)
</v>
      </c>
      <c r="D69" s="12" t="s">
        <v>1630</v>
      </c>
      <c r="E69" s="12"/>
      <c r="F69" s="49" t="s">
        <v>1317</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1475</v>
      </c>
      <c r="E78" s="88" t="str">
        <f>$E$3</f>
        <v>http://hl7.eu/fhir/ig/idea4rc/StructureDefinition/Subject</v>
      </c>
      <c r="F78" s="89"/>
      <c r="G78" s="90"/>
      <c r="H78" s="43"/>
      <c r="I78" s="16" t="s">
        <v>1331</v>
      </c>
      <c r="J78" s="52" t="s">
        <v>1332</v>
      </c>
      <c r="K78" s="16" t="s">
        <v>1329</v>
      </c>
      <c r="L78" s="52" t="s">
        <v>1330</v>
      </c>
      <c r="M78" s="48" t="s">
        <v>1324</v>
      </c>
      <c r="N78" s="51" t="s">
        <v>1384</v>
      </c>
      <c r="P78" s="11"/>
      <c r="Q78" s="11"/>
      <c r="R78" s="11"/>
      <c r="S78" s="12"/>
    </row>
    <row r="79" spans="1:19" ht="44.25" customHeight="1" x14ac:dyDescent="0.75">
      <c r="A79" s="44"/>
      <c r="B79" s="68"/>
      <c r="C79" s="68"/>
      <c r="D79" s="87" t="s">
        <v>1476</v>
      </c>
      <c r="E79" s="88" t="s">
        <v>2273</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1" t="str">
        <f>Subject!B56</f>
        <v>occurrenceOfOtherCancer</v>
      </c>
      <c r="C81" s="11" t="str">
        <f>Subject!C56</f>
        <v>Occurrence of other cancer</v>
      </c>
      <c r="D81" s="12" t="s">
        <v>1630</v>
      </c>
      <c r="E81" s="12"/>
      <c r="F81" s="49" t="s">
        <v>1317</v>
      </c>
      <c r="G81" s="134" t="s">
        <v>2274</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F82" s="49"/>
      <c r="G82" s="43"/>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1475</v>
      </c>
      <c r="E90" s="88" t="str">
        <f>$E$3</f>
        <v>http://hl7.eu/fhir/ig/idea4rc/StructureDefinition/Subject</v>
      </c>
      <c r="F90" s="89"/>
      <c r="G90" s="90"/>
      <c r="H90" s="43"/>
      <c r="I90" s="16" t="s">
        <v>1331</v>
      </c>
      <c r="J90" s="52" t="s">
        <v>1332</v>
      </c>
      <c r="K90" s="16" t="s">
        <v>1329</v>
      </c>
      <c r="L90" s="52" t="s">
        <v>1330</v>
      </c>
      <c r="M90" s="48" t="s">
        <v>1324</v>
      </c>
      <c r="N90" s="51" t="s">
        <v>1384</v>
      </c>
      <c r="P90" s="11"/>
      <c r="Q90" s="11"/>
      <c r="R90" s="11"/>
      <c r="S90" s="12"/>
    </row>
    <row r="91" spans="1:19" ht="44.25" customHeight="1" x14ac:dyDescent="0.75">
      <c r="A91" s="44"/>
      <c r="B91" s="68"/>
      <c r="C91" s="68"/>
      <c r="D91" s="87" t="s">
        <v>1476</v>
      </c>
      <c r="E91" s="88" t="s">
        <v>2275</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Subject!B57</f>
        <v>previousCancerTreatment</v>
      </c>
      <c r="C93" s="11" t="str">
        <f>Subject!C57</f>
        <v>Previous cancer treatment</v>
      </c>
      <c r="D93" s="12" t="s">
        <v>1630</v>
      </c>
      <c r="E93" s="12"/>
      <c r="F93" s="49" t="s">
        <v>1317</v>
      </c>
      <c r="G93" s="134" t="s">
        <v>2276</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1475</v>
      </c>
      <c r="E103" s="88" t="str">
        <f>$E$3</f>
        <v>http://hl7.eu/fhir/ig/idea4rc/StructureDefinition/Subject</v>
      </c>
      <c r="F103" s="89"/>
      <c r="G103" s="90"/>
      <c r="H103" s="43"/>
      <c r="I103" s="16" t="s">
        <v>1331</v>
      </c>
      <c r="J103" s="52" t="s">
        <v>1332</v>
      </c>
      <c r="K103" s="16" t="s">
        <v>1329</v>
      </c>
      <c r="L103" s="52" t="s">
        <v>1330</v>
      </c>
      <c r="M103" s="48" t="s">
        <v>1324</v>
      </c>
      <c r="N103" s="51" t="s">
        <v>1384</v>
      </c>
      <c r="P103" s="11"/>
      <c r="Q103" s="11"/>
      <c r="R103" s="11"/>
      <c r="S103" s="12"/>
    </row>
    <row r="104" spans="1:19" ht="44.25" customHeight="1" x14ac:dyDescent="0.75">
      <c r="A104" s="44"/>
      <c r="B104" s="68"/>
      <c r="C104" s="68"/>
      <c r="D104" s="87" t="s">
        <v>1476</v>
      </c>
      <c r="E104" s="88" t="s">
        <v>2279</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2278</v>
      </c>
      <c r="E106" s="12"/>
      <c r="F106" s="49" t="s">
        <v>1317</v>
      </c>
      <c r="G106" s="134" t="s">
        <v>2277</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87"/>
  <sheetViews>
    <sheetView workbookViewId="0">
      <selection activeCell="B493" sqref="B493"/>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 group[=].element[+].code = #Subject.smoking</v>
      </c>
    </row>
    <row r="44" spans="2:2" x14ac:dyDescent="0.75">
      <c r="B44" s="12" t="str">
        <f>IF('Subject-ConceptMap-1'!S40=0,"//---END",'Subject-ConceptMap-1'!S40)</f>
        <v>* group[=].element[=].display = ##34#Smoking##34#</v>
      </c>
    </row>
    <row r="45" spans="2:2" x14ac:dyDescent="0.75">
      <c r="B45" s="12" t="str">
        <f>IF('Subject-ConceptMap-1'!S41=0,"//---END",'Subject-ConceptMap-1'!S41)</f>
        <v>//-- unmatched</v>
      </c>
    </row>
    <row r="46" spans="2:2" x14ac:dyDescent="0.75">
      <c r="B46" s="12" t="str">
        <f>IF('Subject-ConceptMap-1'!S42=0,"//---END",'Subject-ConceptMap-1'!S42)</f>
        <v>//-- unmatched</v>
      </c>
    </row>
    <row r="47" spans="2:2" x14ac:dyDescent="0.75">
      <c r="B47" s="12" t="str">
        <f>IF('Subject-ConceptMap-1'!S43=0,"//---END",'Subject-ConceptMap-1'!S43)</f>
        <v>* group[=].element[=].target.equivalence = #unmatched</v>
      </c>
    </row>
    <row r="48" spans="2:2" x14ac:dyDescent="0.75">
      <c r="B48" s="12" t="str">
        <f>IF('Subject-ConceptMap-1'!S44=0,"//---END",'Subject-ConceptMap-1'!S44)</f>
        <v/>
      </c>
    </row>
    <row r="49" spans="2:2" x14ac:dyDescent="0.75">
      <c r="B49" s="12" t="str">
        <f>IF('Subject-ConceptMap-1'!S45=0,"//---END",'Subject-ConceptMap-1'!S45)</f>
        <v>* group[=].element[+].code = #Subject.smokingType</v>
      </c>
    </row>
    <row r="50" spans="2:2" x14ac:dyDescent="0.75">
      <c r="B50" s="12" t="str">
        <f>IF('Subject-ConceptMap-1'!S46=0,"//---END",'Subject-ConceptMap-1'!S46)</f>
        <v>* group[=].element[=].display = ##34#Smoking type##34#</v>
      </c>
    </row>
    <row r="51" spans="2:2" x14ac:dyDescent="0.75">
      <c r="B51" s="12" t="str">
        <f>IF('Subject-ConceptMap-1'!S47=0,"//---END",'Subject-ConceptMap-1'!S47)</f>
        <v>//-- unmatched</v>
      </c>
    </row>
    <row r="52" spans="2:2" x14ac:dyDescent="0.75">
      <c r="B52" s="12" t="str">
        <f>IF('Subject-ConceptMap-1'!S48=0,"//---END",'Subject-ConceptMap-1'!S48)</f>
        <v>//-- unmatched</v>
      </c>
    </row>
    <row r="53" spans="2:2" x14ac:dyDescent="0.75">
      <c r="B53" s="12" t="str">
        <f>IF('Subject-ConceptMap-1'!S49=0,"//---END",'Subject-ConceptMap-1'!S49)</f>
        <v>* group[=].element[=].target.equivalence = #unmatched</v>
      </c>
    </row>
    <row r="54" spans="2:2" x14ac:dyDescent="0.75">
      <c r="B54" s="12" t="str">
        <f>IF('Subject-ConceptMap-1'!S50=0,"//---END",'Subject-ConceptMap-1'!S50)</f>
        <v/>
      </c>
    </row>
    <row r="55" spans="2:2" x14ac:dyDescent="0.75">
      <c r="B55" s="12" t="str">
        <f>IF('Subject-ConceptMap-1'!S51=0,"//---END",'Subject-ConceptMap-1'!S51)</f>
        <v>* group[=].element[+].code = #Subject.cigSmokedPerDay</v>
      </c>
    </row>
    <row r="56" spans="2:2" x14ac:dyDescent="0.75">
      <c r="B56" s="12" t="str">
        <f>IF('Subject-ConceptMap-1'!S52=0,"//---END",'Subject-ConceptMap-1'!S52)</f>
        <v>* group[=].element[=].display = ##34#Cigarettes/cigars smoked per day##34#</v>
      </c>
    </row>
    <row r="57" spans="2:2" x14ac:dyDescent="0.75">
      <c r="B57" s="12" t="str">
        <f>IF('Subject-ConceptMap-1'!S53=0,"//---END",'Subject-ConceptMap-1'!S53)</f>
        <v>//-- unmatched</v>
      </c>
    </row>
    <row r="58" spans="2:2" x14ac:dyDescent="0.75">
      <c r="B58" s="12" t="str">
        <f>IF('Subject-ConceptMap-1'!S54=0,"//---END",'Subject-ConceptMap-1'!S54)</f>
        <v>//-- unmatched</v>
      </c>
    </row>
    <row r="59" spans="2:2" x14ac:dyDescent="0.75">
      <c r="B59" s="12" t="str">
        <f>IF('Subject-ConceptMap-1'!S55=0,"//---END",'Subject-ConceptMap-1'!S55)</f>
        <v>* group[=].element[=].target.equivalence = #unmatched</v>
      </c>
    </row>
    <row r="60" spans="2:2" x14ac:dyDescent="0.75">
      <c r="B60" s="12" t="str">
        <f>IF('Subject-ConceptMap-1'!S56=0,"//---END",'Subject-ConceptMap-1'!S56)</f>
        <v/>
      </c>
    </row>
    <row r="61" spans="2:2" x14ac:dyDescent="0.75">
      <c r="B61" s="12" t="str">
        <f>IF('Subject-ConceptMap-1'!S57=0,"//---END",'Subject-ConceptMap-1'!S57)</f>
        <v>* group[=].element[+].code = #Subject.yearsAsSmoker</v>
      </c>
    </row>
    <row r="62" spans="2:2" x14ac:dyDescent="0.75">
      <c r="B62" s="12" t="str">
        <f>IF('Subject-ConceptMap-1'!S58=0,"//---END",'Subject-ConceptMap-1'!S58)</f>
        <v>* group[=].element[=].display = ##34#Number of years as a smoker##34#</v>
      </c>
    </row>
    <row r="63" spans="2:2" x14ac:dyDescent="0.75">
      <c r="B63" s="12" t="str">
        <f>IF('Subject-ConceptMap-1'!S59=0,"//---END",'Subject-ConceptMap-1'!S59)</f>
        <v>//-- unmatched</v>
      </c>
    </row>
    <row r="64" spans="2:2" x14ac:dyDescent="0.75">
      <c r="B64" s="12" t="str">
        <f>IF('Subject-ConceptMap-1'!S60=0,"//---END",'Subject-ConceptMap-1'!S60)</f>
        <v>//-- unmatched</v>
      </c>
    </row>
    <row r="65" spans="2:2" x14ac:dyDescent="0.75">
      <c r="B65" s="12" t="str">
        <f>IF('Subject-ConceptMap-1'!S61=0,"//---END",'Subject-ConceptMap-1'!S61)</f>
        <v>* group[=].element[=].target.equivalence = #unmatched</v>
      </c>
    </row>
    <row r="66" spans="2:2" x14ac:dyDescent="0.75">
      <c r="B66" s="12" t="str">
        <f>IF('Subject-ConceptMap-1'!S62=0,"//---END",'Subject-ConceptMap-1'!S62)</f>
        <v/>
      </c>
    </row>
    <row r="67" spans="2:2" x14ac:dyDescent="0.75">
      <c r="B67" s="12" t="str">
        <f>IF('Subject-ConceptMap-1'!S63=0,"//---END",'Subject-ConceptMap-1'!S63)</f>
        <v>* group[=].element[+].code = #Subject.alcohol</v>
      </c>
    </row>
    <row r="68" spans="2:2" x14ac:dyDescent="0.75">
      <c r="B68" s="12" t="str">
        <f>IF('Subject-ConceptMap-1'!S64=0,"//---END",'Subject-ConceptMap-1'!S64)</f>
        <v>* group[=].element[=].display = ##34#Alcohol##34#</v>
      </c>
    </row>
    <row r="69" spans="2:2" x14ac:dyDescent="0.75">
      <c r="B69" s="12" t="str">
        <f>IF('Subject-ConceptMap-1'!S65=0,"//---END",'Subject-ConceptMap-1'!S65)</f>
        <v>//-- unmatched</v>
      </c>
    </row>
    <row r="70" spans="2:2" x14ac:dyDescent="0.75">
      <c r="B70" s="12" t="str">
        <f>IF('Subject-ConceptMap-1'!S66=0,"//---END",'Subject-ConceptMap-1'!S66)</f>
        <v>//-- unmatched</v>
      </c>
    </row>
    <row r="71" spans="2:2" x14ac:dyDescent="0.75">
      <c r="B71" s="12" t="str">
        <f>IF('Subject-ConceptMap-1'!S67=0,"//---END",'Subject-ConceptMap-1'!S67)</f>
        <v>* group[=].element[=].target.equivalence = #unmatched</v>
      </c>
    </row>
    <row r="72" spans="2:2" x14ac:dyDescent="0.75">
      <c r="B72" s="12" t="str">
        <f>IF('Subject-ConceptMap-1'!S68=0,"//---END",'Subject-ConceptMap-1'!S68)</f>
        <v/>
      </c>
    </row>
    <row r="73" spans="2:2" x14ac:dyDescent="0.75">
      <c r="B73" s="12" t="str">
        <f>IF('Subject-ConceptMap-1'!S69=0,"//---END",'Subject-ConceptMap-1'!S69)</f>
        <v>* group[=].element[+].code = #Subject.bMI</v>
      </c>
    </row>
    <row r="74" spans="2:2" ht="29.5" x14ac:dyDescent="0.75">
      <c r="B74" s="12" t="str">
        <f>IF('Subject-ConceptMap-1'!S70=0,"//---END",'Subject-ConceptMap-1'!S70)</f>
        <v>* group[=].element[=].display = ##34#Height/weight (BMI)
##34#</v>
      </c>
    </row>
    <row r="75" spans="2:2" x14ac:dyDescent="0.75">
      <c r="B75" s="12" t="str">
        <f>IF('Subject-ConceptMap-1'!S71=0,"//---END",'Subject-ConceptMap-1'!S71)</f>
        <v>//-- unmatched</v>
      </c>
    </row>
    <row r="76" spans="2:2" x14ac:dyDescent="0.75">
      <c r="B76" s="12" t="str">
        <f>IF('Subject-ConceptMap-1'!S72=0,"//---END",'Subject-ConceptMap-1'!S72)</f>
        <v>//-- unmatched</v>
      </c>
    </row>
    <row r="77" spans="2:2" x14ac:dyDescent="0.75">
      <c r="B77" s="12" t="str">
        <f>IF('Subject-ConceptMap-1'!S73=0,"//---END",'Subject-ConceptMap-1'!S73)</f>
        <v>* group[=].element[=].target.equivalence = #unmatched</v>
      </c>
    </row>
    <row r="78" spans="2:2" x14ac:dyDescent="0.75">
      <c r="B78" s="12" t="str">
        <f>IF('Subject-ConceptMap-1'!S74=0,"//---END",'Subject-ConceptMap-1'!S74)</f>
        <v/>
      </c>
    </row>
    <row r="79" spans="2:2" x14ac:dyDescent="0.75">
      <c r="B79" s="12" t="str">
        <f>IF('Subject-ConceptMap-1'!S75=0,"//---END",'Subject-ConceptMap-1'!S75)</f>
        <v>* group[=].element[+].code = #Subject.charlsonComorbidityIndex</v>
      </c>
    </row>
    <row r="80" spans="2:2" x14ac:dyDescent="0.75">
      <c r="B80" s="12" t="str">
        <f>IF('Subject-ConceptMap-1'!S76=0,"//---END",'Subject-ConceptMap-1'!S76)</f>
        <v>* group[=].element[=].display = ##34#Charlson Comorbidity index##34#</v>
      </c>
    </row>
    <row r="81" spans="2:2" x14ac:dyDescent="0.75">
      <c r="B81" s="12" t="str">
        <f>IF('Subject-ConceptMap-1'!S77=0,"//---END",'Subject-ConceptMap-1'!S77)</f>
        <v>//-- unmatched</v>
      </c>
    </row>
    <row r="82" spans="2:2" x14ac:dyDescent="0.75">
      <c r="B82" s="12" t="str">
        <f>IF('Subject-ConceptMap-1'!S78=0,"//---END",'Subject-ConceptMap-1'!S78)</f>
        <v>//-- unmatched</v>
      </c>
    </row>
    <row r="83" spans="2:2" x14ac:dyDescent="0.75">
      <c r="B83" s="12" t="str">
        <f>IF('Subject-ConceptMap-1'!S79=0,"//---END",'Subject-ConceptMap-1'!S79)</f>
        <v>* group[=].element[=].target.equivalence = #unmatched</v>
      </c>
    </row>
    <row r="84" spans="2:2" x14ac:dyDescent="0.75">
      <c r="B84" s="12" t="str">
        <f>IF('Subject-ConceptMap-1'!S80=0,"//---END",'Subject-ConceptMap-1'!S80)</f>
        <v/>
      </c>
    </row>
    <row r="85" spans="2:2" x14ac:dyDescent="0.75">
      <c r="B85" s="12" t="str">
        <f>IF('Subject-ConceptMap-1'!S81=0,"//---END",'Subject-ConceptMap-1'!S81)</f>
        <v>* group[=].element[+].code = #Subject.comorbidity</v>
      </c>
    </row>
    <row r="86" spans="2:2" x14ac:dyDescent="0.75">
      <c r="B86" s="12" t="str">
        <f>IF('Subject-ConceptMap-1'!S82=0,"//---END",'Subject-ConceptMap-1'!S82)</f>
        <v>* group[=].element[=].display = ##34#Comorbidity##34#</v>
      </c>
    </row>
    <row r="87" spans="2:2" x14ac:dyDescent="0.75">
      <c r="B87" s="12" t="str">
        <f>IF('Subject-ConceptMap-1'!S83=0,"//---END",'Subject-ConceptMap-1'!S83)</f>
        <v>//-- unmatched</v>
      </c>
    </row>
    <row r="88" spans="2:2" x14ac:dyDescent="0.75">
      <c r="B88" s="12" t="str">
        <f>IF('Subject-ConceptMap-1'!S84=0,"//---END",'Subject-ConceptMap-1'!S84)</f>
        <v>//-- unmatched</v>
      </c>
    </row>
    <row r="89" spans="2:2" x14ac:dyDescent="0.75">
      <c r="B89" s="12" t="str">
        <f>IF('Subject-ConceptMap-1'!S85=0,"//---END",'Subject-ConceptMap-1'!S85)</f>
        <v>* group[=].element[=].target.equivalence = #unmatched</v>
      </c>
    </row>
    <row r="90" spans="2:2" x14ac:dyDescent="0.75">
      <c r="B90" s="12" t="str">
        <f>IF('Subject-ConceptMap-1'!S86=0,"//---END",'Subject-ConceptMap-1'!S86)</f>
        <v/>
      </c>
    </row>
    <row r="91" spans="2:2" x14ac:dyDescent="0.75">
      <c r="B91" s="12" t="str">
        <f>IF('Subject-ConceptMap-1'!S87=0,"//---END",'Subject-ConceptMap-1'!S87)</f>
        <v>* group[=].element[+].code = #Subject.ecogPsAtDiagnosis</v>
      </c>
    </row>
    <row r="92" spans="2:2" x14ac:dyDescent="0.75">
      <c r="B92" s="12" t="str">
        <f>IF('Subject-ConceptMap-1'!S88=0,"//---END",'Subject-ConceptMap-1'!S88)</f>
        <v>* group[=].element[=].display = ##34#Eastern Cooperative Oncology Group performance status (ECOG PS)  at diagnosis##34#</v>
      </c>
    </row>
    <row r="93" spans="2:2" x14ac:dyDescent="0.75">
      <c r="B93" s="12" t="str">
        <f>IF('Subject-ConceptMap-1'!S89=0,"//---END",'Subject-ConceptMap-1'!S89)</f>
        <v>//-- unmatched</v>
      </c>
    </row>
    <row r="94" spans="2:2" x14ac:dyDescent="0.75">
      <c r="B94" s="12" t="str">
        <f>IF('Subject-ConceptMap-1'!S90=0,"//---END",'Subject-ConceptMap-1'!S90)</f>
        <v>//-- unmatched</v>
      </c>
    </row>
    <row r="95" spans="2:2" x14ac:dyDescent="0.75">
      <c r="B95" s="12" t="str">
        <f>IF('Subject-ConceptMap-1'!S91=0,"//---END",'Subject-ConceptMap-1'!S91)</f>
        <v>* group[=].element[=].target.equivalence = #unmatched</v>
      </c>
    </row>
    <row r="96" spans="2:2" x14ac:dyDescent="0.75">
      <c r="B96" s="12" t="str">
        <f>IF('Subject-ConceptMap-1'!S92=0,"//---END",'Subject-ConceptMap-1'!S92)</f>
        <v/>
      </c>
    </row>
    <row r="97" spans="2:2" x14ac:dyDescent="0.75">
      <c r="B97" s="12" t="str">
        <f>IF('Subject-ConceptMap-1'!S93=0,"//---END",'Subject-ConceptMap-1'!S93)</f>
        <v>* group[=].element[+].code = #Subject.ecogPsLabel</v>
      </c>
    </row>
    <row r="98" spans="2:2" x14ac:dyDescent="0.75">
      <c r="B98" s="12" t="str">
        <f>IF('Subject-ConceptMap-1'!S94=0,"//---END",'Subject-ConceptMap-1'!S94)</f>
        <v>* group[=].element[=].display = ##34#ECOG PS label##34#</v>
      </c>
    </row>
    <row r="99" spans="2:2" x14ac:dyDescent="0.75">
      <c r="B99" s="12" t="str">
        <f>IF('Subject-ConceptMap-1'!S95=0,"//---END",'Subject-ConceptMap-1'!S95)</f>
        <v>//-- unmatched</v>
      </c>
    </row>
    <row r="100" spans="2:2" x14ac:dyDescent="0.75">
      <c r="B100" s="12" t="str">
        <f>IF('Subject-ConceptMap-1'!S96=0,"//---END",'Subject-ConceptMap-1'!S96)</f>
        <v>//-- unmatched</v>
      </c>
    </row>
    <row r="101" spans="2:2" x14ac:dyDescent="0.75">
      <c r="B101" s="12" t="str">
        <f>IF('Subject-ConceptMap-1'!S97=0,"//---END",'Subject-ConceptMap-1'!S97)</f>
        <v>* group[=].element[=].target.equivalence = #unmatched</v>
      </c>
    </row>
    <row r="102" spans="2:2" x14ac:dyDescent="0.75">
      <c r="B102" s="12" t="str">
        <f>IF('Subject-ConceptMap-1'!S98=0,"//---END",'Subject-ConceptMap-1'!S98)</f>
        <v/>
      </c>
    </row>
    <row r="103" spans="2:2" x14ac:dyDescent="0.75">
      <c r="B103" s="12" t="str">
        <f>IF('Subject-ConceptMap-1'!S99=0,"//---END",'Subject-ConceptMap-1'!S99)</f>
        <v>* group[=].element[+].code = #Subject.karnofsyIndexAtDiagnosis</v>
      </c>
    </row>
    <row r="104" spans="2:2" x14ac:dyDescent="0.75">
      <c r="B104" s="12" t="str">
        <f>IF('Subject-ConceptMap-1'!S100=0,"//---END",'Subject-ConceptMap-1'!S100)</f>
        <v>* group[=].element[=].display = ##34#Karnofsy index at diagnosis##34#</v>
      </c>
    </row>
    <row r="105" spans="2:2" x14ac:dyDescent="0.75">
      <c r="B105" s="12" t="str">
        <f>IF('Subject-ConceptMap-1'!S101=0,"//---END",'Subject-ConceptMap-1'!S101)</f>
        <v>//-- unmatched</v>
      </c>
    </row>
    <row r="106" spans="2:2" x14ac:dyDescent="0.75">
      <c r="B106" s="12" t="str">
        <f>IF('Subject-ConceptMap-1'!S102=0,"//---END",'Subject-ConceptMap-1'!S102)</f>
        <v>//-- unmatched</v>
      </c>
    </row>
    <row r="107" spans="2:2" x14ac:dyDescent="0.75">
      <c r="B107" s="12" t="str">
        <f>IF('Subject-ConceptMap-1'!S103=0,"//---END",'Subject-ConceptMap-1'!S103)</f>
        <v>* group[=].element[=].target.equivalence = #unmatched</v>
      </c>
    </row>
    <row r="108" spans="2:2" x14ac:dyDescent="0.75">
      <c r="B108" s="12" t="str">
        <f>IF('Subject-ConceptMap-1'!S104=0,"//---END",'Subject-ConceptMap-1'!S104)</f>
        <v/>
      </c>
    </row>
    <row r="109" spans="2:2" x14ac:dyDescent="0.75">
      <c r="B109" s="12" t="str">
        <f>IF('Subject-ConceptMap-1'!S105=0,"//---END",'Subject-ConceptMap-1'!S105)</f>
        <v>* group[=].element[+].code = #Subject.karnofsyIndexLabel</v>
      </c>
    </row>
    <row r="110" spans="2:2" x14ac:dyDescent="0.75">
      <c r="B110" s="12" t="str">
        <f>IF('Subject-ConceptMap-1'!S106=0,"//---END",'Subject-ConceptMap-1'!S106)</f>
        <v>* group[=].element[=].display = ##34#Karnofsy index label##34#</v>
      </c>
    </row>
    <row r="111" spans="2:2" x14ac:dyDescent="0.75">
      <c r="B111" s="12" t="str">
        <f>IF('Subject-ConceptMap-1'!S107=0,"//---END",'Subject-ConceptMap-1'!S107)</f>
        <v>//-- unmatched</v>
      </c>
    </row>
    <row r="112" spans="2:2" x14ac:dyDescent="0.75">
      <c r="B112" s="12" t="str">
        <f>IF('Subject-ConceptMap-1'!S108=0,"//---END",'Subject-ConceptMap-1'!S108)</f>
        <v>//-- unmatched</v>
      </c>
    </row>
    <row r="113" spans="2:2" x14ac:dyDescent="0.75">
      <c r="B113" s="12" t="str">
        <f>IF('Subject-ConceptMap-1'!S109=0,"//---END",'Subject-ConceptMap-1'!S109)</f>
        <v>* group[=].element[=].target.equivalence = #unmatched</v>
      </c>
    </row>
    <row r="114" spans="2:2" x14ac:dyDescent="0.75">
      <c r="B114" s="12" t="str">
        <f>IF('Subject-ConceptMap-1'!S110=0,"//---END",'Subject-ConceptMap-1'!S110)</f>
        <v/>
      </c>
    </row>
    <row r="115" spans="2:2" x14ac:dyDescent="0.75">
      <c r="B115" s="12" t="str">
        <f>IF('Subject-ConceptMap-1'!S111=0,"//---END",'Subject-ConceptMap-1'!S111)</f>
        <v>* group[=].element[+].code = #Subject.noGeneticSyndromeWho2020</v>
      </c>
    </row>
    <row r="116" spans="2:2" x14ac:dyDescent="0.75">
      <c r="B116" s="12" t="str">
        <f>IF('Subject-ConceptMap-1'!S112=0,"//---END",'Subject-ConceptMap-1'!S112)</f>
        <v>* group[=].element[=].display = ##34#No Genetic syndrome WHO 2020 ##34#</v>
      </c>
    </row>
    <row r="117" spans="2:2" x14ac:dyDescent="0.75">
      <c r="B117" s="12" t="str">
        <f>IF('Subject-ConceptMap-1'!S113=0,"//---END",'Subject-ConceptMap-1'!S113)</f>
        <v>//-- unmatched</v>
      </c>
    </row>
    <row r="118" spans="2:2" x14ac:dyDescent="0.75">
      <c r="B118" s="12" t="str">
        <f>IF('Subject-ConceptMap-1'!S114=0,"//---END",'Subject-ConceptMap-1'!S114)</f>
        <v>//-- unmatched</v>
      </c>
    </row>
    <row r="119" spans="2:2" x14ac:dyDescent="0.75">
      <c r="B119" s="12" t="str">
        <f>IF('Subject-ConceptMap-1'!S115=0,"//---END",'Subject-ConceptMap-1'!S115)</f>
        <v>* group[=].element[=].target.equivalence = #unmatched</v>
      </c>
    </row>
    <row r="120" spans="2:2" x14ac:dyDescent="0.75">
      <c r="B120" s="12" t="str">
        <f>IF('Subject-ConceptMap-1'!S116=0,"//---END",'Subject-ConceptMap-1'!S116)</f>
        <v/>
      </c>
    </row>
    <row r="121" spans="2:2" x14ac:dyDescent="0.75">
      <c r="B121" s="12" t="str">
        <f>IF('Subject-ConceptMap-1'!S117=0,"//---END",'Subject-ConceptMap-1'!S117)</f>
        <v>* group[=].element[+].code = #Subject.occurrenceOfOtherCancer</v>
      </c>
    </row>
    <row r="122" spans="2:2" x14ac:dyDescent="0.75">
      <c r="B122" s="12" t="str">
        <f>IF('Subject-ConceptMap-1'!S118=0,"//---END",'Subject-ConceptMap-1'!S118)</f>
        <v>* group[=].element[=].display = ##34#Occurrence of other cancer##34#</v>
      </c>
    </row>
    <row r="123" spans="2:2" x14ac:dyDescent="0.75">
      <c r="B123" s="12" t="str">
        <f>IF('Subject-ConceptMap-1'!S119=0,"//---END",'Subject-ConceptMap-1'!S119)</f>
        <v>//-- unmatched</v>
      </c>
    </row>
    <row r="124" spans="2:2" x14ac:dyDescent="0.75">
      <c r="B124" s="12" t="str">
        <f>IF('Subject-ConceptMap-1'!S120=0,"//---END",'Subject-ConceptMap-1'!S120)</f>
        <v>//-- unmatched</v>
      </c>
    </row>
    <row r="125" spans="2:2" x14ac:dyDescent="0.75">
      <c r="B125" s="12" t="str">
        <f>IF('Subject-ConceptMap-1'!S121=0,"//---END",'Subject-ConceptMap-1'!S121)</f>
        <v>* group[=].element[=].target.equivalence = #unmatched</v>
      </c>
    </row>
    <row r="126" spans="2:2" x14ac:dyDescent="0.75">
      <c r="B126" s="12" t="str">
        <f>IF('Subject-ConceptMap-1'!S122=0,"//---END",'Subject-ConceptMap-1'!S122)</f>
        <v/>
      </c>
    </row>
    <row r="127" spans="2:2" x14ac:dyDescent="0.75">
      <c r="B127" s="12" t="str">
        <f>IF('Subject-ConceptMap-1'!S123=0,"//---END",'Subject-ConceptMap-1'!S123)</f>
        <v>* group[=].element[+].code = #Subject.previousCancerTreatment</v>
      </c>
    </row>
    <row r="128" spans="2:2" x14ac:dyDescent="0.75">
      <c r="B128" s="12" t="str">
        <f>IF('Subject-ConceptMap-1'!S124=0,"//---END",'Subject-ConceptMap-1'!S124)</f>
        <v>* group[=].element[=].display = ##34#Previous cancer treatment##34#</v>
      </c>
    </row>
    <row r="129" spans="2:2" x14ac:dyDescent="0.75">
      <c r="B129" s="12" t="str">
        <f>IF('Subject-ConceptMap-1'!S125=0,"//---END",'Subject-ConceptMap-1'!S125)</f>
        <v>//-- unmatched</v>
      </c>
    </row>
    <row r="130" spans="2:2" x14ac:dyDescent="0.75">
      <c r="B130" s="12" t="str">
        <f>IF('Subject-ConceptMap-1'!S126=0,"//---END",'Subject-ConceptMap-1'!S126)</f>
        <v>//-- unmatched</v>
      </c>
    </row>
    <row r="131" spans="2:2" x14ac:dyDescent="0.75">
      <c r="B131" s="12" t="str">
        <f>IF('Subject-ConceptMap-1'!S127=0,"//---END",'Subject-ConceptMap-1'!S127)</f>
        <v>* group[=].element[=].target.equivalence = #unmatched</v>
      </c>
    </row>
    <row r="132" spans="2:2" x14ac:dyDescent="0.75">
      <c r="B132" s="12" t="str">
        <f>IF('Subject-ConceptMap-1'!S128=0,"//---END",'Subject-ConceptMap-1'!S128)</f>
        <v/>
      </c>
    </row>
    <row r="133" spans="2:2" x14ac:dyDescent="0.75">
      <c r="B133" s="12" t="str">
        <f>IF('Subject-ConceptMap-1'!S129=0,"//---END",'Subject-ConceptMap-1'!S129)</f>
        <v>//---END</v>
      </c>
    </row>
    <row r="134" spans="2:2" x14ac:dyDescent="0.75">
      <c r="B134" s="12" t="str">
        <f>IF('Subject-ConceptMap-1'!S130=0,"//---END",'Subject-ConceptMap-1'!S130)</f>
        <v>//---END</v>
      </c>
    </row>
    <row r="135" spans="2:2" x14ac:dyDescent="0.75">
      <c r="B135" s="12" t="str">
        <f>IF('Subject-ConceptMap-1'!S131=0,"//---END",'Subject-ConceptMap-1'!S131)</f>
        <v>//---END</v>
      </c>
    </row>
    <row r="136" spans="2:2" x14ac:dyDescent="0.75">
      <c r="B136" s="12" t="str">
        <f>IF('Subject-ConceptMap-1'!S132=0,"//---END",'Subject-ConceptMap-1'!S132)</f>
        <v>//---END</v>
      </c>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07"/>
    </row>
    <row r="145" spans="2:2" x14ac:dyDescent="0.75">
      <c r="B145" s="105" t="str">
        <f>"* group[+].source = ##34#"&amp;'Subject-ConceptMap-2'!E6&amp;"##34#"</f>
        <v>* group[+].source = ##34#http://hl7.eu/fhir/ig/idea4rc/StructureDefinition/Subject##34#</v>
      </c>
    </row>
    <row r="146" spans="2:2" x14ac:dyDescent="0.75">
      <c r="B146" s="108" t="str">
        <f>"* group[=].target = ##34#"&amp;'Subject-ConceptMap-2'!E7&amp;"##34#"</f>
        <v>* group[=].target = ##34#http://hl7.eu/fhir/ig/idea4rc/StructureDefinition/observation-tobaccouse-eu-i4rc##34#</v>
      </c>
    </row>
    <row r="147" spans="2:2" x14ac:dyDescent="0.75">
      <c r="B147" s="109"/>
    </row>
    <row r="148" spans="2:2" x14ac:dyDescent="0.75">
      <c r="B148" s="12" t="str">
        <f>IF('Subject-ConceptMap-2'!S15=0,"//---END",'Subject-ConceptMap-2'!S15)</f>
        <v>* group[=].element[+].code = #Subject.smoking</v>
      </c>
    </row>
    <row r="149" spans="2:2" x14ac:dyDescent="0.75">
      <c r="B149" s="12" t="str">
        <f>IF('Subject-ConceptMap-2'!S16=0,"//---END",'Subject-ConceptMap-2'!S16)</f>
        <v>* group[=].element[=].display = ##34#Smoking##34#</v>
      </c>
    </row>
    <row r="150" spans="2:2" x14ac:dyDescent="0.75">
      <c r="B150" s="12" t="str">
        <f>IF('Subject-ConceptMap-2'!S17=0,"//---END",'Subject-ConceptMap-2'!S17)</f>
        <v>* group[=].element[=].target.code = #Observation.component:smokingStatus.value[x]:valueCodeableConcept</v>
      </c>
    </row>
    <row r="151" spans="2:2" x14ac:dyDescent="0.75">
      <c r="B151" s="12" t="str">
        <f>IF('Subject-ConceptMap-2'!S18=0,"//---END",'Subject-ConceptMap-2'!S18)</f>
        <v>* group[=].element[=].target.display = ##34###34#</v>
      </c>
    </row>
    <row r="152" spans="2:2" x14ac:dyDescent="0.75">
      <c r="B152" s="12" t="str">
        <f>IF('Subject-ConceptMap-2'!S19=0,"//---END",'Subject-ConceptMap-2'!S19)</f>
        <v>* group[=].element[=].target.equivalence = #equivalent</v>
      </c>
    </row>
    <row r="153" spans="2:2" x14ac:dyDescent="0.75">
      <c r="B153" s="12" t="str">
        <f>IF('Subject-ConceptMap-2'!S20=0,"//---END",'Subject-ConceptMap-2'!S20)</f>
        <v/>
      </c>
    </row>
    <row r="154" spans="2:2" x14ac:dyDescent="0.75">
      <c r="B154" s="12" t="str">
        <f>IF('Subject-ConceptMap-2'!S21=0,"//---END",'Subject-ConceptMap-2'!S21)</f>
        <v>* group[=].element[+].code = #Subject.smokingType</v>
      </c>
    </row>
    <row r="155" spans="2:2" x14ac:dyDescent="0.75">
      <c r="B155" s="12" t="str">
        <f>IF('Subject-ConceptMap-2'!S22=0,"//---END",'Subject-ConceptMap-2'!S22)</f>
        <v>* group[=].element[=].display = ##34#Smoking type##34#</v>
      </c>
    </row>
    <row r="156" spans="2:2" x14ac:dyDescent="0.75">
      <c r="B156" s="12" t="str">
        <f>IF('Subject-ConceptMap-2'!S23=0,"//---END",'Subject-ConceptMap-2'!S23)</f>
        <v>* group[=].element[=].target.code = #Observation.component:tobaccoProduct.value[x]:valueCodeableConcept</v>
      </c>
    </row>
    <row r="157" spans="2:2" x14ac:dyDescent="0.75">
      <c r="B157" s="12" t="str">
        <f>IF('Subject-ConceptMap-2'!S24=0,"//---END",'Subject-ConceptMap-2'!S24)</f>
        <v>* group[=].element[=].target.display = ##34###34#</v>
      </c>
    </row>
    <row r="158" spans="2:2" x14ac:dyDescent="0.75">
      <c r="B158" s="12" t="str">
        <f>IF('Subject-ConceptMap-2'!S25=0,"//---END",'Subject-ConceptMap-2'!S25)</f>
        <v>* group[=].element[=].target.equivalence = #equivalent</v>
      </c>
    </row>
    <row r="159" spans="2:2" x14ac:dyDescent="0.75">
      <c r="B159" s="12" t="str">
        <f>IF('Subject-ConceptMap-2'!S26=0,"//---END",'Subject-ConceptMap-2'!S26)</f>
        <v/>
      </c>
    </row>
    <row r="160" spans="2:2" x14ac:dyDescent="0.75">
      <c r="B160" s="12" t="str">
        <f>IF('Subject-ConceptMap-2'!S27=0,"//---END",'Subject-ConceptMap-2'!S27)</f>
        <v>* group[=].element[+].code = #Subject.cigSmokedPerDay</v>
      </c>
    </row>
    <row r="161" spans="2:2" x14ac:dyDescent="0.75">
      <c r="B161" s="12" t="str">
        <f>IF('Subject-ConceptMap-2'!S28=0,"//---END",'Subject-ConceptMap-2'!S28)</f>
        <v>* group[=].element[=].display = ##34#Cigarettes/cigars smoked per day##34#</v>
      </c>
    </row>
    <row r="162" spans="2:2" x14ac:dyDescent="0.75">
      <c r="B162" s="12" t="str">
        <f>IF('Subject-ConceptMap-2'!S29=0,"//---END",'Subject-ConceptMap-2'!S29)</f>
        <v>* group[=].element[=].target.code = #Observation.component:numberPerDay.value[x]:valueQuantity</v>
      </c>
    </row>
    <row r="163" spans="2:2" x14ac:dyDescent="0.75">
      <c r="B163" s="12" t="str">
        <f>IF('Subject-ConceptMap-2'!S30=0,"//---END",'Subject-ConceptMap-2'!S30)</f>
        <v>* group[=].element[=].target.display = ##34###34#</v>
      </c>
    </row>
    <row r="164" spans="2:2" x14ac:dyDescent="0.75">
      <c r="B164" s="12" t="str">
        <f>IF('Subject-ConceptMap-2'!S31=0,"//---END",'Subject-ConceptMap-2'!S31)</f>
        <v>* group[=].element[=].target.equivalence = #equivalent</v>
      </c>
    </row>
    <row r="165" spans="2:2" x14ac:dyDescent="0.75">
      <c r="B165" s="12" t="str">
        <f>IF('Subject-ConceptMap-2'!S32=0,"//---END",'Subject-ConceptMap-2'!S32)</f>
        <v/>
      </c>
    </row>
    <row r="166" spans="2:2" x14ac:dyDescent="0.75">
      <c r="B166" s="12" t="str">
        <f>IF('Subject-ConceptMap-2'!S33=0,"//---END",'Subject-ConceptMap-2'!S33)</f>
        <v>* group[=].element[+].code = #Subject.yearsAsSmoker</v>
      </c>
    </row>
    <row r="167" spans="2:2" x14ac:dyDescent="0.75">
      <c r="B167" s="12" t="str">
        <f>IF('Subject-ConceptMap-2'!S34=0,"//---END",'Subject-ConceptMap-2'!S34)</f>
        <v>* group[=].element[=].display = ##34#Number of years as a smoker##34#</v>
      </c>
    </row>
    <row r="168" spans="2:2" x14ac:dyDescent="0.75">
      <c r="B168" s="12" t="str">
        <f>IF('Subject-ConceptMap-2'!S35=0,"//---END",'Subject-ConceptMap-2'!S35)</f>
        <v>* group[=].element[=].target.code = #Observation.component:yearsAsSmokervalue[x]:valueQuantity</v>
      </c>
    </row>
    <row r="169" spans="2:2" x14ac:dyDescent="0.75">
      <c r="B169" s="12" t="str">
        <f>IF('Subject-ConceptMap-2'!S36=0,"//---END",'Subject-ConceptMap-2'!S36)</f>
        <v>* group[=].element[=].target.display = ##34###34#</v>
      </c>
    </row>
    <row r="170" spans="2:2" x14ac:dyDescent="0.75">
      <c r="B170" s="12" t="str">
        <f>IF('Subject-ConceptMap-2'!S37=0,"//---END",'Subject-ConceptMap-2'!S37)</f>
        <v>* group[=].element[=].target.equivalence = #equivalent</v>
      </c>
    </row>
    <row r="171" spans="2:2" x14ac:dyDescent="0.75">
      <c r="B171" s="12" t="str">
        <f>IF('Subject-ConceptMap-2'!S38=0,"//---END",'Subject-ConceptMap-2'!S38)</f>
        <v/>
      </c>
    </row>
    <row r="172" spans="2:2" x14ac:dyDescent="0.75">
      <c r="B172" s="12" t="str">
        <f>IF('Subject-ConceptMap-2'!S39=0,"//---END",'Subject-ConceptMap-2'!S39)</f>
        <v>//---END</v>
      </c>
    </row>
    <row r="173" spans="2:2" x14ac:dyDescent="0.75">
      <c r="B173" s="12" t="str">
        <f>IF('Subject-ConceptMap-2'!S40=0,"//---END",'Subject-ConceptMap-2'!S40)</f>
        <v>//---END</v>
      </c>
    </row>
    <row r="174" spans="2:2" x14ac:dyDescent="0.75">
      <c r="B174" s="12" t="str">
        <f>IF('Subject-ConceptMap-2'!S41=0,"//---END",'Subject-ConceptMap-2'!S41)</f>
        <v>//---END</v>
      </c>
    </row>
    <row r="176" spans="2:2" x14ac:dyDescent="0.75">
      <c r="B176" s="107"/>
    </row>
    <row r="177" spans="2:3" x14ac:dyDescent="0.75">
      <c r="B177" s="105" t="str">
        <f>"* group[+].source = ##34#"&amp;'Subject-ConceptMap-3'!E6&amp;"##34#"</f>
        <v>* group[+].source = ##34#http://hl7.eu/fhir/ig/idea4rc/StructureDefinition/Subject##34#</v>
      </c>
    </row>
    <row r="178" spans="2:3" x14ac:dyDescent="0.75">
      <c r="B178" s="108" t="str">
        <f>"* group[=].target = ##34#"&amp;'Subject-ConceptMap-3'!E7&amp;"##34#"</f>
        <v>* group[=].target = ##34#http://hl7.eu/fhir/ig/idea4rc/StructureDefinition/observation-alcoholuse-eu-i4rc##34#</v>
      </c>
    </row>
    <row r="179" spans="2:3" x14ac:dyDescent="0.75">
      <c r="B179" s="110"/>
    </row>
    <row r="180" spans="2:3" x14ac:dyDescent="0.75">
      <c r="B180" s="12" t="str">
        <f>IF('Subject-ConceptMap-3'!S15=0,"//---END",'Subject-ConceptMap-3'!S15)</f>
        <v>* group[=].element[+].code = #Subject.alcohol</v>
      </c>
      <c r="C180" s="11"/>
    </row>
    <row r="181" spans="2:3" x14ac:dyDescent="0.75">
      <c r="B181" s="12" t="str">
        <f>IF('Subject-ConceptMap-3'!S16=0,"//---END",'Subject-ConceptMap-3'!S16)</f>
        <v>* group[=].element[=].display = ##34#Alcohol##34#</v>
      </c>
      <c r="C181" s="11"/>
    </row>
    <row r="182" spans="2:3" x14ac:dyDescent="0.75">
      <c r="B182" s="12" t="str">
        <f>IF('Subject-ConceptMap-3'!S17=0,"//---END",'Subject-ConceptMap-3'!S17)</f>
        <v>* group[=].element[=].target.code = #Observation.value[x]:valueCodeableConcept</v>
      </c>
      <c r="C182" s="11"/>
    </row>
    <row r="183" spans="2:3" x14ac:dyDescent="0.75">
      <c r="B183" s="12" t="str">
        <f>IF('Subject-ConceptMap-3'!S18=0,"//---END",'Subject-ConceptMap-3'!S18)</f>
        <v>* group[=].element[=].target.display = ##34###34#</v>
      </c>
      <c r="C183" s="11"/>
    </row>
    <row r="184" spans="2:3" x14ac:dyDescent="0.75">
      <c r="B184" s="12" t="str">
        <f>IF('Subject-ConceptMap-3'!S19=0,"//---END",'Subject-ConceptMap-3'!S19)</f>
        <v>* group[=].element[=].target.equivalence = #equivalent</v>
      </c>
      <c r="C184" s="11"/>
    </row>
    <row r="185" spans="2:3" x14ac:dyDescent="0.75">
      <c r="B185" s="12" t="str">
        <f>IF('Subject-ConceptMap-3'!S20=0,"//---END",'Subject-ConceptMap-3'!S20)</f>
        <v/>
      </c>
      <c r="C185" s="11"/>
    </row>
    <row r="186" spans="2:3" x14ac:dyDescent="0.75">
      <c r="B186" s="12" t="str">
        <f>IF('Subject-ConceptMap-3'!S21=0,"//---END",'Subject-ConceptMap-3'!S21)</f>
        <v>//---END</v>
      </c>
      <c r="C186" s="11"/>
    </row>
    <row r="187" spans="2:3" x14ac:dyDescent="0.75">
      <c r="B187" s="12" t="str">
        <f>IF('Subject-ConceptMap-3'!S22=0,"//---END",'Subject-ConceptMap-3'!S22)</f>
        <v>//---END</v>
      </c>
      <c r="C187" s="11"/>
    </row>
    <row r="188" spans="2:3" x14ac:dyDescent="0.75">
      <c r="B188" s="12" t="str">
        <f>IF('Subject-ConceptMap-3'!S23=0,"//---END",'Subject-ConceptMap-3'!S23)</f>
        <v>//---END</v>
      </c>
      <c r="C188" s="11"/>
    </row>
    <row r="189" spans="2:3" x14ac:dyDescent="0.75">
      <c r="B189" s="12"/>
    </row>
    <row r="190" spans="2:3" x14ac:dyDescent="0.75">
      <c r="B190" s="107"/>
    </row>
    <row r="191" spans="2:3" x14ac:dyDescent="0.75">
      <c r="B191" s="108" t="str">
        <f>"* group[+].source = ##34#"&amp;'Subject-ConceptMap-4'!E6&amp;"##34#"</f>
        <v>* group[+].source = ##34#http://hl7.eu/fhir/ig/idea4rc/StructureDefinition/Subject##34#</v>
      </c>
    </row>
    <row r="192" spans="2:3" x14ac:dyDescent="0.75">
      <c r="B192" s="108" t="str">
        <f>"* group[=].target = ##34#"&amp;'Subject-ConceptMap-4'!E7&amp;"##34#"</f>
        <v>* group[=].target = ##34#http://hl7.eu/fhir/ig/idea4rc/StructureDefinition/observation-comorbidity-eu-i4rc##34#</v>
      </c>
    </row>
    <row r="193" spans="2:2" x14ac:dyDescent="0.75">
      <c r="B193" s="109"/>
    </row>
    <row r="194" spans="2:2" x14ac:dyDescent="0.75">
      <c r="B194" s="12" t="str">
        <f>IF('Subject-ConceptMap-4'!S15=0,"//---END",'Subject-ConceptMap-4'!S15)</f>
        <v>* group[=].element[+].code = #Subject.comorbidity</v>
      </c>
    </row>
    <row r="195" spans="2:2" x14ac:dyDescent="0.75">
      <c r="B195" s="12" t="str">
        <f>IF('Subject-ConceptMap-4'!S16=0,"//---END",'Subject-ConceptMap-4'!S16)</f>
        <v>* group[=].element[=].display = ##34#Comorbidity##34#</v>
      </c>
    </row>
    <row r="196" spans="2:2" x14ac:dyDescent="0.75">
      <c r="B196" s="12" t="str">
        <f>IF('Subject-ConceptMap-4'!S17=0,"//---END",'Subject-ConceptMap-4'!S17)</f>
        <v>* group[=].element[=].target.code = #Observation.</v>
      </c>
    </row>
    <row r="197" spans="2:2" x14ac:dyDescent="0.75">
      <c r="B197" s="12" t="str">
        <f>IF('Subject-ConceptMap-4'!S18=0,"//---END",'Subject-ConceptMap-4'!S18)</f>
        <v>* group[=].element[=].target.display = ##34###34#</v>
      </c>
    </row>
    <row r="198" spans="2:2" x14ac:dyDescent="0.75">
      <c r="B198" s="12" t="str">
        <f>IF('Subject-ConceptMap-4'!S19=0,"//---END",'Subject-ConceptMap-4'!S19)</f>
        <v>* group[=].element[=].target.equivalence = #relatedto</v>
      </c>
    </row>
    <row r="199" spans="2:2" ht="73.75" x14ac:dyDescent="0.75">
      <c r="B19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00" spans="2:2" x14ac:dyDescent="0.75">
      <c r="B200" s="12" t="str">
        <f>IF('Subject-ConceptMap-4'!S21=0,"//---END",'Subject-ConceptMap-4'!S21)</f>
        <v>* group[=].element[+].code = #Subject.comorbidity.myocardialInfarction</v>
      </c>
    </row>
    <row r="201" spans="2:2" x14ac:dyDescent="0.75">
      <c r="B201" s="12" t="str">
        <f>IF('Subject-ConceptMap-4'!S22=0,"//---END",'Subject-ConceptMap-4'!S22)</f>
        <v>* group[=].element[=].display = ##34#Myocardial infarction##34#</v>
      </c>
    </row>
    <row r="202" spans="2:2" x14ac:dyDescent="0.75">
      <c r="B202" s="12" t="str">
        <f>IF('Subject-ConceptMap-4'!S23=0,"//---END",'Subject-ConceptMap-4'!S23)</f>
        <v>* group[=].element[=].target.code = #Observation.extension:comorbidConditionPresent</v>
      </c>
    </row>
    <row r="203" spans="2:2" x14ac:dyDescent="0.75">
      <c r="B203" s="12" t="str">
        <f>IF('Subject-ConceptMap-4'!S24=0,"//---END",'Subject-ConceptMap-4'!S24)</f>
        <v>* group[=].element[=].target.display = ##34###34#</v>
      </c>
    </row>
    <row r="204" spans="2:2" x14ac:dyDescent="0.75">
      <c r="B204" s="12" t="str">
        <f>IF('Subject-ConceptMap-4'!S25=0,"//---END",'Subject-ConceptMap-4'!S25)</f>
        <v>* group[=].element[=].target.equivalence = #relatedto</v>
      </c>
    </row>
    <row r="205" spans="2:2" x14ac:dyDescent="0.75">
      <c r="B205" s="12" t="str">
        <f>IF('Subject-ConceptMap-4'!S26=0,"//---END",'Subject-ConceptMap-4'!S26)</f>
        <v/>
      </c>
    </row>
    <row r="206" spans="2:2" x14ac:dyDescent="0.75">
      <c r="B206" s="12" t="str">
        <f>IF('Subject-ConceptMap-4'!S27=0,"//---END",'Subject-ConceptMap-4'!S27)</f>
        <v>* group[=].element[+].code = #Subject.comorbidity.congestiveHeartFailure</v>
      </c>
    </row>
    <row r="207" spans="2:2" x14ac:dyDescent="0.75">
      <c r="B207" s="12" t="str">
        <f>IF('Subject-ConceptMap-4'!S28=0,"//---END",'Subject-ConceptMap-4'!S28)</f>
        <v>* group[=].element[=].display = ##34#Congestive heart failure##34#</v>
      </c>
    </row>
    <row r="208" spans="2:2" x14ac:dyDescent="0.75">
      <c r="B208" s="12" t="str">
        <f>IF('Subject-ConceptMap-4'!S29=0,"//---END",'Subject-ConceptMap-4'!S29)</f>
        <v>* group[=].element[=].target.code = #Observation.extension:comorbidConditionPresent</v>
      </c>
    </row>
    <row r="209" spans="2:2" x14ac:dyDescent="0.75">
      <c r="B209" s="12" t="str">
        <f>IF('Subject-ConceptMap-4'!S30=0,"//---END",'Subject-ConceptMap-4'!S30)</f>
        <v>* group[=].element[=].target.display = ##34###34#</v>
      </c>
    </row>
    <row r="210" spans="2:2" x14ac:dyDescent="0.75">
      <c r="B210" s="12" t="str">
        <f>IF('Subject-ConceptMap-4'!S31=0,"//---END",'Subject-ConceptMap-4'!S31)</f>
        <v>* group[=].element[=].target.equivalence = #equivalent</v>
      </c>
    </row>
    <row r="211" spans="2:2" x14ac:dyDescent="0.75">
      <c r="B211" s="12" t="str">
        <f>IF('Subject-ConceptMap-4'!S32=0,"//---END",'Subject-ConceptMap-4'!S32)</f>
        <v/>
      </c>
    </row>
    <row r="212" spans="2:2" x14ac:dyDescent="0.75">
      <c r="B212" s="12" t="str">
        <f>IF('Subject-ConceptMap-4'!S33=0,"//---END",'Subject-ConceptMap-4'!S33)</f>
        <v>* group[=].element[+].code = #Subject.comorbidity.peripheralVascularDisease</v>
      </c>
    </row>
    <row r="213" spans="2:2" x14ac:dyDescent="0.75">
      <c r="B213" s="12" t="str">
        <f>IF('Subject-ConceptMap-4'!S34=0,"//---END",'Subject-ConceptMap-4'!S34)</f>
        <v>* group[=].element[=].display = ##34#Peripheral vascular disease##34#</v>
      </c>
    </row>
    <row r="214" spans="2:2" x14ac:dyDescent="0.75">
      <c r="B214" s="12" t="str">
        <f>IF('Subject-ConceptMap-4'!S35=0,"//---END",'Subject-ConceptMap-4'!S35)</f>
        <v>* group[=].element[=].target.code = #Observation.extension:comorbidConditionPresent</v>
      </c>
    </row>
    <row r="215" spans="2:2" x14ac:dyDescent="0.75">
      <c r="B215" s="12" t="str">
        <f>IF('Subject-ConceptMap-4'!S36=0,"//---END",'Subject-ConceptMap-4'!S36)</f>
        <v>* group[=].element[=].target.display = ##34###34#</v>
      </c>
    </row>
    <row r="216" spans="2:2" x14ac:dyDescent="0.75">
      <c r="B216" s="12" t="str">
        <f>IF('Subject-ConceptMap-4'!S37=0,"//---END",'Subject-ConceptMap-4'!S37)</f>
        <v>* group[=].element[=].target.equivalence = #equivalent</v>
      </c>
    </row>
    <row r="217" spans="2:2" x14ac:dyDescent="0.75">
      <c r="B217" s="12" t="str">
        <f>IF('Subject-ConceptMap-4'!S38=0,"//---END",'Subject-ConceptMap-4'!S38)</f>
        <v/>
      </c>
    </row>
    <row r="218" spans="2:2" x14ac:dyDescent="0.75">
      <c r="B218" s="12" t="str">
        <f>IF('Subject-ConceptMap-4'!S39=0,"//---END",'Subject-ConceptMap-4'!S39)</f>
        <v>* group[=].element[+].code = #Subject.comorbidity.cerebrovascularAccidentExceptHemiplegia</v>
      </c>
    </row>
    <row r="219" spans="2:2" x14ac:dyDescent="0.75">
      <c r="B219" s="12" t="str">
        <f>IF('Subject-ConceptMap-4'!S40=0,"//---END",'Subject-ConceptMap-4'!S40)</f>
        <v>* group[=].element[=].display = ##34#Cerebrovascular accident  (except hemiplegia)##34#</v>
      </c>
    </row>
    <row r="220" spans="2:2" x14ac:dyDescent="0.75">
      <c r="B220" s="12" t="str">
        <f>IF('Subject-ConceptMap-4'!S41=0,"//---END",'Subject-ConceptMap-4'!S41)</f>
        <v>* group[=].element[=].target.code = #Observation.extension:comorbidConditionPresent</v>
      </c>
    </row>
    <row r="221" spans="2:2" x14ac:dyDescent="0.75">
      <c r="B221" s="12" t="str">
        <f>IF('Subject-ConceptMap-4'!S42=0,"//---END",'Subject-ConceptMap-4'!S42)</f>
        <v>* group[=].element[=].target.display = ##34###34#</v>
      </c>
    </row>
    <row r="222" spans="2:2" x14ac:dyDescent="0.75">
      <c r="B222" s="12" t="str">
        <f>IF('Subject-ConceptMap-4'!S43=0,"//---END",'Subject-ConceptMap-4'!S43)</f>
        <v>* group[=].element[=].target.equivalence = #equivalent</v>
      </c>
    </row>
    <row r="223" spans="2:2" x14ac:dyDescent="0.75">
      <c r="B223" s="12" t="str">
        <f>IF('Subject-ConceptMap-4'!S44=0,"//---END",'Subject-ConceptMap-4'!S44)</f>
        <v/>
      </c>
    </row>
    <row r="224" spans="2:2" x14ac:dyDescent="0.75">
      <c r="B224" s="12" t="str">
        <f>IF('Subject-ConceptMap-4'!S45=0,"//---END",'Subject-ConceptMap-4'!S45)</f>
        <v>* group[=].element[+].code = #Subject.comorbidity.dementia</v>
      </c>
    </row>
    <row r="225" spans="2:2" x14ac:dyDescent="0.75">
      <c r="B225" s="12" t="str">
        <f>IF('Subject-ConceptMap-4'!S46=0,"//---END",'Subject-ConceptMap-4'!S46)</f>
        <v>* group[=].element[=].display = ##34#Dementia##34#</v>
      </c>
    </row>
    <row r="226" spans="2:2" x14ac:dyDescent="0.75">
      <c r="B226" s="12" t="str">
        <f>IF('Subject-ConceptMap-4'!S47=0,"//---END",'Subject-ConceptMap-4'!S47)</f>
        <v>* group[=].element[=].target.code = #Observation.extension:comorbidConditionPresent</v>
      </c>
    </row>
    <row r="227" spans="2:2" x14ac:dyDescent="0.75">
      <c r="B227" s="12" t="str">
        <f>IF('Subject-ConceptMap-4'!S48=0,"//---END",'Subject-ConceptMap-4'!S48)</f>
        <v>* group[=].element[=].target.display = ##34###34#</v>
      </c>
    </row>
    <row r="228" spans="2:2" x14ac:dyDescent="0.75">
      <c r="B228" s="12" t="str">
        <f>IF('Subject-ConceptMap-4'!S49=0,"//---END",'Subject-ConceptMap-4'!S49)</f>
        <v>* group[=].element[=].target.equivalence = #equivalent</v>
      </c>
    </row>
    <row r="229" spans="2:2" x14ac:dyDescent="0.75">
      <c r="B229" s="12" t="str">
        <f>IF('Subject-ConceptMap-4'!S50=0,"//---END",'Subject-ConceptMap-4'!S50)</f>
        <v/>
      </c>
    </row>
    <row r="230" spans="2:2" x14ac:dyDescent="0.75">
      <c r="B230" s="12" t="str">
        <f>IF('Subject-ConceptMap-4'!S51=0,"//---END",'Subject-ConceptMap-4'!S51)</f>
        <v>* group[=].element[+].code = #Subject.comorbidity.chronicPulmonaryDisease</v>
      </c>
    </row>
    <row r="231" spans="2:2" x14ac:dyDescent="0.75">
      <c r="B231" s="12" t="str">
        <f>IF('Subject-ConceptMap-4'!S52=0,"//---END",'Subject-ConceptMap-4'!S52)</f>
        <v>* group[=].element[=].display = ##34#Chronic pulmonary disease##34#</v>
      </c>
    </row>
    <row r="232" spans="2:2" x14ac:dyDescent="0.75">
      <c r="B232" s="12" t="str">
        <f>IF('Subject-ConceptMap-4'!S53=0,"//---END",'Subject-ConceptMap-4'!S53)</f>
        <v>* group[=].element[=].target.code = #Observation.extension:comorbidConditionPresent</v>
      </c>
    </row>
    <row r="233" spans="2:2" x14ac:dyDescent="0.75">
      <c r="B233" s="12" t="str">
        <f>IF('Subject-ConceptMap-4'!S54=0,"//---END",'Subject-ConceptMap-4'!S54)</f>
        <v>* group[=].element[=].target.display = ##34###34#</v>
      </c>
    </row>
    <row r="234" spans="2:2" x14ac:dyDescent="0.75">
      <c r="B234" s="12" t="str">
        <f>IF('Subject-ConceptMap-4'!S55=0,"//---END",'Subject-ConceptMap-4'!S55)</f>
        <v>* group[=].element[=].target.equivalence = #equivalent</v>
      </c>
    </row>
    <row r="235" spans="2:2" x14ac:dyDescent="0.75">
      <c r="B235" s="12" t="str">
        <f>IF('Subject-ConceptMap-4'!S56=0,"//---END",'Subject-ConceptMap-4'!S56)</f>
        <v/>
      </c>
    </row>
    <row r="236" spans="2:2" x14ac:dyDescent="0.75">
      <c r="B236" s="12" t="str">
        <f>IF('Subject-ConceptMap-4'!S57=0,"//---END",'Subject-ConceptMap-4'!S57)</f>
        <v>* group[=].element[+].code = #Subject.comorbidity.connectiveTissueDisease</v>
      </c>
    </row>
    <row r="237" spans="2:2" x14ac:dyDescent="0.75">
      <c r="B237" s="12" t="str">
        <f>IF('Subject-ConceptMap-4'!S58=0,"//---END",'Subject-ConceptMap-4'!S58)</f>
        <v>* group[=].element[=].display = ##34#Connective tissue disease##34#</v>
      </c>
    </row>
    <row r="238" spans="2:2" x14ac:dyDescent="0.75">
      <c r="B238" s="12" t="str">
        <f>IF('Subject-ConceptMap-4'!S59=0,"//---END",'Subject-ConceptMap-4'!S59)</f>
        <v>* group[=].element[=].target.code = #Observation.extension:comorbidConditionPresent</v>
      </c>
    </row>
    <row r="239" spans="2:2" x14ac:dyDescent="0.75">
      <c r="B239" s="12" t="str">
        <f>IF('Subject-ConceptMap-4'!S60=0,"//---END",'Subject-ConceptMap-4'!S60)</f>
        <v>* group[=].element[=].target.display = ##34###34#</v>
      </c>
    </row>
    <row r="240" spans="2:2" x14ac:dyDescent="0.75">
      <c r="B240" s="12" t="str">
        <f>IF('Subject-ConceptMap-4'!S61=0,"//---END",'Subject-ConceptMap-4'!S61)</f>
        <v>* group[=].element[=].target.equivalence = #equivalent</v>
      </c>
    </row>
    <row r="241" spans="2:2" x14ac:dyDescent="0.75">
      <c r="B241" s="12" t="str">
        <f>IF('Subject-ConceptMap-4'!S62=0,"//---END",'Subject-ConceptMap-4'!S62)</f>
        <v/>
      </c>
    </row>
    <row r="242" spans="2:2" x14ac:dyDescent="0.75">
      <c r="B242" s="12" t="str">
        <f>IF('Subject-ConceptMap-4'!S63=0,"//---END",'Subject-ConceptMap-4'!S63)</f>
        <v>* group[=].element[+].code = #Subject.comorbidity.ulcer</v>
      </c>
    </row>
    <row r="243" spans="2:2" x14ac:dyDescent="0.75">
      <c r="B243" s="12" t="str">
        <f>IF('Subject-ConceptMap-4'!S64=0,"//---END",'Subject-ConceptMap-4'!S64)</f>
        <v>* group[=].element[=].display = ##34#Ulcer##34#</v>
      </c>
    </row>
    <row r="244" spans="2:2" x14ac:dyDescent="0.75">
      <c r="B244" s="12" t="str">
        <f>IF('Subject-ConceptMap-4'!S65=0,"//---END",'Subject-ConceptMap-4'!S65)</f>
        <v>* group[=].element[=].target.code = #Observation.extension:comorbidConditionPresent</v>
      </c>
    </row>
    <row r="245" spans="2:2" x14ac:dyDescent="0.75">
      <c r="B245" s="12" t="str">
        <f>IF('Subject-ConceptMap-4'!S66=0,"//---END",'Subject-ConceptMap-4'!S66)</f>
        <v>* group[=].element[=].target.display = ##34###34#</v>
      </c>
    </row>
    <row r="246" spans="2:2" x14ac:dyDescent="0.75">
      <c r="B246" s="12" t="str">
        <f>IF('Subject-ConceptMap-4'!S67=0,"//---END",'Subject-ConceptMap-4'!S67)</f>
        <v>* group[=].element[=].target.equivalence = #equivalent</v>
      </c>
    </row>
    <row r="247" spans="2:2" x14ac:dyDescent="0.75">
      <c r="B247" s="12" t="str">
        <f>IF('Subject-ConceptMap-4'!S68=0,"//---END",'Subject-ConceptMap-4'!S68)</f>
        <v/>
      </c>
    </row>
    <row r="248" spans="2:2" x14ac:dyDescent="0.75">
      <c r="B248" s="12" t="str">
        <f>IF('Subject-ConceptMap-4'!S69=0,"//---END",'Subject-ConceptMap-4'!S69)</f>
        <v>* group[=].element[+].code = #Subject.comorbidity.mildLiverDisease</v>
      </c>
    </row>
    <row r="249" spans="2:2" x14ac:dyDescent="0.75">
      <c r="B249" s="12" t="str">
        <f>IF('Subject-ConceptMap-4'!S70=0,"//---END",'Subject-ConceptMap-4'!S70)</f>
        <v>* group[=].element[=].display = ##34#Mild liver disease##34#</v>
      </c>
    </row>
    <row r="250" spans="2:2" x14ac:dyDescent="0.75">
      <c r="B250" s="12" t="str">
        <f>IF('Subject-ConceptMap-4'!S71=0,"//---END",'Subject-ConceptMap-4'!S71)</f>
        <v>* group[=].element[=].target.code = #Observation.extension:comorbidConditionPresent</v>
      </c>
    </row>
    <row r="251" spans="2:2" x14ac:dyDescent="0.75">
      <c r="B251" s="12" t="str">
        <f>IF('Subject-ConceptMap-4'!S72=0,"//---END",'Subject-ConceptMap-4'!S72)</f>
        <v>* group[=].element[=].target.display = ##34###34#</v>
      </c>
    </row>
    <row r="252" spans="2:2" x14ac:dyDescent="0.75">
      <c r="B252" s="12" t="str">
        <f>IF('Subject-ConceptMap-4'!S73=0,"//---END",'Subject-ConceptMap-4'!S73)</f>
        <v>* group[=].element[=].target.equivalence = #equivalent</v>
      </c>
    </row>
    <row r="253" spans="2:2" x14ac:dyDescent="0.75">
      <c r="B253" s="12" t="str">
        <f>IF('Subject-ConceptMap-4'!S74=0,"//---END",'Subject-ConceptMap-4'!S74)</f>
        <v/>
      </c>
    </row>
    <row r="254" spans="2:2" x14ac:dyDescent="0.75">
      <c r="B254" s="12" t="str">
        <f>IF('Subject-ConceptMap-4'!S75=0,"//---END",'Subject-ConceptMap-4'!S75)</f>
        <v>* group[=].element[+].code = #Subject.comorbidity.moderateToSevereLiverDisease</v>
      </c>
    </row>
    <row r="255" spans="2:2" x14ac:dyDescent="0.75">
      <c r="B255" s="12" t="str">
        <f>IF('Subject-ConceptMap-4'!S76=0,"//---END",'Subject-ConceptMap-4'!S76)</f>
        <v>* group[=].element[=].display = ##34#Moderate to severe liver disease##34#</v>
      </c>
    </row>
    <row r="256" spans="2:2" x14ac:dyDescent="0.75">
      <c r="B256" s="12" t="str">
        <f>IF('Subject-ConceptMap-4'!S77=0,"//---END",'Subject-ConceptMap-4'!S77)</f>
        <v>* group[=].element[=].target.code = #Observation.extension:comorbidConditionPresent</v>
      </c>
    </row>
    <row r="257" spans="2:2" x14ac:dyDescent="0.75">
      <c r="B257" s="12" t="str">
        <f>IF('Subject-ConceptMap-4'!S78=0,"//---END",'Subject-ConceptMap-4'!S78)</f>
        <v>* group[=].element[=].target.display = ##34###34#</v>
      </c>
    </row>
    <row r="258" spans="2:2" x14ac:dyDescent="0.75">
      <c r="B258" s="12" t="str">
        <f>IF('Subject-ConceptMap-4'!S79=0,"//---END",'Subject-ConceptMap-4'!S79)</f>
        <v>* group[=].element[=].target.equivalence = #equivalent</v>
      </c>
    </row>
    <row r="259" spans="2:2" x14ac:dyDescent="0.75">
      <c r="B259" s="12" t="str">
        <f>IF('Subject-ConceptMap-4'!S80=0,"//---END",'Subject-ConceptMap-4'!S80)</f>
        <v/>
      </c>
    </row>
    <row r="260" spans="2:2" x14ac:dyDescent="0.75">
      <c r="B260" s="12" t="str">
        <f>IF('Subject-ConceptMap-4'!S81=0,"//---END",'Subject-ConceptMap-4'!S81)</f>
        <v>* group[=].element[+].code = #Subject.comorbidity.diabetesWithoutComplications</v>
      </c>
    </row>
    <row r="261" spans="2:2" x14ac:dyDescent="0.75">
      <c r="B261" s="12" t="str">
        <f>IF('Subject-ConceptMap-4'!S82=0,"//---END",'Subject-ConceptMap-4'!S82)</f>
        <v>* group[=].element[=].display = ##34#Diabetes (without complications)##34#</v>
      </c>
    </row>
    <row r="262" spans="2:2" x14ac:dyDescent="0.75">
      <c r="B262" s="12" t="str">
        <f>IF('Subject-ConceptMap-4'!S83=0,"//---END",'Subject-ConceptMap-4'!S83)</f>
        <v>* group[=].element[=].target.code = #Observation.extension:comorbidConditionPresent</v>
      </c>
    </row>
    <row r="263" spans="2:2" x14ac:dyDescent="0.75">
      <c r="B263" s="12" t="str">
        <f>IF('Subject-ConceptMap-4'!S84=0,"//---END",'Subject-ConceptMap-4'!S84)</f>
        <v>* group[=].element[=].target.display = ##34###34#</v>
      </c>
    </row>
    <row r="264" spans="2:2" x14ac:dyDescent="0.75">
      <c r="B264" s="12" t="str">
        <f>IF('Subject-ConceptMap-4'!S85=0,"//---END",'Subject-ConceptMap-4'!S85)</f>
        <v>* group[=].element[=].target.equivalence = #equivalent</v>
      </c>
    </row>
    <row r="265" spans="2:2" x14ac:dyDescent="0.75">
      <c r="B265" s="12" t="str">
        <f>IF('Subject-ConceptMap-4'!S86=0,"//---END",'Subject-ConceptMap-4'!S86)</f>
        <v/>
      </c>
    </row>
    <row r="266" spans="2:2" x14ac:dyDescent="0.75">
      <c r="B266" s="12" t="str">
        <f>IF('Subject-ConceptMap-4'!S87=0,"//---END",'Subject-ConceptMap-4'!S87)</f>
        <v>* group[=].element[+].code = #Subject.comorbidity.diabetesWithEndOrganDamage</v>
      </c>
    </row>
    <row r="267" spans="2:2" x14ac:dyDescent="0.75">
      <c r="B267" s="12" t="str">
        <f>IF('Subject-ConceptMap-4'!S88=0,"//---END",'Subject-ConceptMap-4'!S88)</f>
        <v>* group[=].element[=].display = ##34#Diabetes with end organ damage##34#</v>
      </c>
    </row>
    <row r="268" spans="2:2" x14ac:dyDescent="0.75">
      <c r="B268" s="12" t="str">
        <f>IF('Subject-ConceptMap-4'!S89=0,"//---END",'Subject-ConceptMap-4'!S89)</f>
        <v>* group[=].element[=].target.code = #Observation.extension:comorbidConditionPresent</v>
      </c>
    </row>
    <row r="269" spans="2:2" x14ac:dyDescent="0.75">
      <c r="B269" s="12" t="str">
        <f>IF('Subject-ConceptMap-4'!S90=0,"//---END",'Subject-ConceptMap-4'!S90)</f>
        <v>* group[=].element[=].target.display = ##34###34#</v>
      </c>
    </row>
    <row r="270" spans="2:2" x14ac:dyDescent="0.75">
      <c r="B270" s="12" t="str">
        <f>IF('Subject-ConceptMap-4'!S91=0,"//---END",'Subject-ConceptMap-4'!S91)</f>
        <v>* group[=].element[=].target.equivalence = #equivalent</v>
      </c>
    </row>
    <row r="271" spans="2:2" x14ac:dyDescent="0.75">
      <c r="B271" s="12" t="str">
        <f>IF('Subject-ConceptMap-4'!S92=0,"//---END",'Subject-ConceptMap-4'!S92)</f>
        <v/>
      </c>
    </row>
    <row r="272" spans="2:2" x14ac:dyDescent="0.75">
      <c r="B272" s="12" t="str">
        <f>IF('Subject-ConceptMap-4'!S93=0,"//---END",'Subject-ConceptMap-4'!S93)</f>
        <v>* group[=].element[+].code = #Subject.comorbidity.hemiplegia</v>
      </c>
    </row>
    <row r="273" spans="2:2" x14ac:dyDescent="0.75">
      <c r="B273" s="12" t="str">
        <f>IF('Subject-ConceptMap-4'!S94=0,"//---END",'Subject-ConceptMap-4'!S94)</f>
        <v>* group[=].element[=].display = ##34#Hemiplegia##34#</v>
      </c>
    </row>
    <row r="274" spans="2:2" x14ac:dyDescent="0.75">
      <c r="B274" s="12" t="str">
        <f>IF('Subject-ConceptMap-4'!S95=0,"//---END",'Subject-ConceptMap-4'!S95)</f>
        <v>* group[=].element[=].target.code = #Observation.extension:comorbidConditionPresent</v>
      </c>
    </row>
    <row r="275" spans="2:2" x14ac:dyDescent="0.75">
      <c r="B275" s="12" t="str">
        <f>IF('Subject-ConceptMap-4'!S96=0,"//---END",'Subject-ConceptMap-4'!S96)</f>
        <v>* group[=].element[=].target.display = ##34###34#</v>
      </c>
    </row>
    <row r="276" spans="2:2" x14ac:dyDescent="0.75">
      <c r="B276" s="12" t="str">
        <f>IF('Subject-ConceptMap-4'!S97=0,"//---END",'Subject-ConceptMap-4'!S97)</f>
        <v>* group[=].element[=].target.equivalence = #equivalent</v>
      </c>
    </row>
    <row r="277" spans="2:2" x14ac:dyDescent="0.75">
      <c r="B277" s="12" t="str">
        <f>IF('Subject-ConceptMap-4'!S98=0,"//---END",'Subject-ConceptMap-4'!S98)</f>
        <v/>
      </c>
    </row>
    <row r="278" spans="2:2" x14ac:dyDescent="0.75">
      <c r="B278" s="12" t="str">
        <f>IF('Subject-ConceptMap-4'!S99=0,"//---END",'Subject-ConceptMap-4'!S99)</f>
        <v>* group[=].element[+].code = #Subject.comorbidity.moderateToSevereRenalDisease</v>
      </c>
    </row>
    <row r="279" spans="2:2" x14ac:dyDescent="0.75">
      <c r="B279" s="12" t="str">
        <f>IF('Subject-ConceptMap-4'!S100=0,"//---END",'Subject-ConceptMap-4'!S100)</f>
        <v>* group[=].element[=].display = ##34#Moderate to severe renal disease##34#</v>
      </c>
    </row>
    <row r="280" spans="2:2" x14ac:dyDescent="0.75">
      <c r="B280" s="12" t="str">
        <f>IF('Subject-ConceptMap-4'!S101=0,"//---END",'Subject-ConceptMap-4'!S101)</f>
        <v>* group[=].element[=].target.code = #Observation.extension:comorbidConditionPresent</v>
      </c>
    </row>
    <row r="281" spans="2:2" x14ac:dyDescent="0.75">
      <c r="B281" s="12" t="str">
        <f>IF('Subject-ConceptMap-4'!S102=0,"//---END",'Subject-ConceptMap-4'!S102)</f>
        <v>* group[=].element[=].target.display = ##34###34#</v>
      </c>
    </row>
    <row r="282" spans="2:2" x14ac:dyDescent="0.75">
      <c r="B282" s="12" t="str">
        <f>IF('Subject-ConceptMap-4'!S103=0,"//---END",'Subject-ConceptMap-4'!S103)</f>
        <v>* group[=].element[=].target.equivalence = #equivalent</v>
      </c>
    </row>
    <row r="283" spans="2:2" x14ac:dyDescent="0.75">
      <c r="B283" s="12" t="str">
        <f>IF('Subject-ConceptMap-4'!S104=0,"//---END",'Subject-ConceptMap-4'!S104)</f>
        <v/>
      </c>
    </row>
    <row r="284" spans="2:2" x14ac:dyDescent="0.75">
      <c r="B284" s="12" t="str">
        <f>IF('Subject-ConceptMap-4'!S105=0,"//---END",'Subject-ConceptMap-4'!S105)</f>
        <v>* group[=].element[+].code = #Subject.comorbidity.solidTumorNonMetastatic</v>
      </c>
    </row>
    <row r="285" spans="2:2" x14ac:dyDescent="0.75">
      <c r="B285" s="12" t="str">
        <f>IF('Subject-ConceptMap-4'!S106=0,"//---END",'Subject-ConceptMap-4'!S106)</f>
        <v>* group[=].element[=].display = ##34#Solid tumor (non metastatic)##34#</v>
      </c>
    </row>
    <row r="286" spans="2:2" x14ac:dyDescent="0.75">
      <c r="B286" s="12" t="str">
        <f>IF('Subject-ConceptMap-4'!S107=0,"//---END",'Subject-ConceptMap-4'!S107)</f>
        <v>* group[=].element[=].target.code = #Observation.extension:comorbidConditionPresent</v>
      </c>
    </row>
    <row r="287" spans="2:2" x14ac:dyDescent="0.75">
      <c r="B287" s="12" t="str">
        <f>IF('Subject-ConceptMap-4'!S108=0,"//---END",'Subject-ConceptMap-4'!S108)</f>
        <v>* group[=].element[=].target.display = ##34###34#</v>
      </c>
    </row>
    <row r="288" spans="2:2" x14ac:dyDescent="0.75">
      <c r="B288" s="12" t="str">
        <f>IF('Subject-ConceptMap-4'!S109=0,"//---END",'Subject-ConceptMap-4'!S109)</f>
        <v>* group[=].element[=].target.equivalence = #equivalent</v>
      </c>
    </row>
    <row r="289" spans="2:2" x14ac:dyDescent="0.75">
      <c r="B289" s="12" t="str">
        <f>IF('Subject-ConceptMap-4'!S110=0,"//---END",'Subject-ConceptMap-4'!S110)</f>
        <v/>
      </c>
    </row>
    <row r="290" spans="2:2" x14ac:dyDescent="0.75">
      <c r="B290" s="12" t="str">
        <f>IF('Subject-ConceptMap-4'!S111=0,"//---END",'Subject-ConceptMap-4'!S111)</f>
        <v>* group[=].element[+].code = #Subject.comorbidity.metastaticSolidTumor</v>
      </c>
    </row>
    <row r="291" spans="2:2" x14ac:dyDescent="0.75">
      <c r="B291" s="12" t="str">
        <f>IF('Subject-ConceptMap-4'!S112=0,"//---END",'Subject-ConceptMap-4'!S112)</f>
        <v>* group[=].element[=].display = ##34#Metastatic solid tumor##34#</v>
      </c>
    </row>
    <row r="292" spans="2:2" x14ac:dyDescent="0.75">
      <c r="B292" s="12" t="str">
        <f>IF('Subject-ConceptMap-4'!S113=0,"//---END",'Subject-ConceptMap-4'!S113)</f>
        <v>* group[=].element[=].target.code = #Observation.extension:comorbidConditionPresent</v>
      </c>
    </row>
    <row r="293" spans="2:2" x14ac:dyDescent="0.75">
      <c r="B293" s="12" t="str">
        <f>IF('Subject-ConceptMap-4'!S114=0,"//---END",'Subject-ConceptMap-4'!S114)</f>
        <v>* group[=].element[=].target.display = ##34###34#</v>
      </c>
    </row>
    <row r="294" spans="2:2" x14ac:dyDescent="0.75">
      <c r="B294" s="12" t="str">
        <f>IF('Subject-ConceptMap-4'!S115=0,"//---END",'Subject-ConceptMap-4'!S115)</f>
        <v>* group[=].element[=].target.equivalence = #equivalent</v>
      </c>
    </row>
    <row r="295" spans="2:2" x14ac:dyDescent="0.75">
      <c r="B295" s="12" t="str">
        <f>IF('Subject-ConceptMap-4'!S116=0,"//---END",'Subject-ConceptMap-4'!S116)</f>
        <v/>
      </c>
    </row>
    <row r="296" spans="2:2" x14ac:dyDescent="0.75">
      <c r="B296" s="12" t="str">
        <f>IF('Subject-ConceptMap-4'!S117=0,"//---END",'Subject-ConceptMap-4'!S117)</f>
        <v>* group[=].element[+].code = #Subject.comorbidity.leukemia</v>
      </c>
    </row>
    <row r="297" spans="2:2" x14ac:dyDescent="0.75">
      <c r="B297" s="12" t="str">
        <f>IF('Subject-ConceptMap-4'!S118=0,"//---END",'Subject-ConceptMap-4'!S118)</f>
        <v>* group[=].element[=].display = ##34#Leukemia##34#</v>
      </c>
    </row>
    <row r="298" spans="2:2" x14ac:dyDescent="0.75">
      <c r="B298" s="12" t="str">
        <f>IF('Subject-ConceptMap-4'!S119=0,"//---END",'Subject-ConceptMap-4'!S119)</f>
        <v>* group[=].element[=].target.code = #Observation.extension:comorbidConditionPresent</v>
      </c>
    </row>
    <row r="299" spans="2:2" x14ac:dyDescent="0.75">
      <c r="B299" s="12" t="str">
        <f>IF('Subject-ConceptMap-4'!S120=0,"//---END",'Subject-ConceptMap-4'!S120)</f>
        <v>* group[=].element[=].target.display = ##34###34#</v>
      </c>
    </row>
    <row r="300" spans="2:2" x14ac:dyDescent="0.75">
      <c r="B300" s="12" t="str">
        <f>IF('Subject-ConceptMap-4'!S121=0,"//---END",'Subject-ConceptMap-4'!S121)</f>
        <v>* group[=].element[=].target.equivalence = #equivalent</v>
      </c>
    </row>
    <row r="301" spans="2:2" x14ac:dyDescent="0.75">
      <c r="B301" s="12" t="str">
        <f>IF('Subject-ConceptMap-4'!S122=0,"//---END",'Subject-ConceptMap-4'!S122)</f>
        <v/>
      </c>
    </row>
    <row r="302" spans="2:2" x14ac:dyDescent="0.75">
      <c r="B302" s="12" t="str">
        <f>IF('Subject-ConceptMap-4'!S123=0,"//---END",'Subject-ConceptMap-4'!S123)</f>
        <v>* group[=].element[+].code = #Subject.comorbidity.lymphoma</v>
      </c>
    </row>
    <row r="303" spans="2:2" x14ac:dyDescent="0.75">
      <c r="B303" s="12" t="str">
        <f>IF('Subject-ConceptMap-4'!S124=0,"//---END",'Subject-ConceptMap-4'!S124)</f>
        <v>* group[=].element[=].display = ##34#Lymphoma##34#</v>
      </c>
    </row>
    <row r="304" spans="2:2" x14ac:dyDescent="0.75">
      <c r="B304" s="12" t="str">
        <f>IF('Subject-ConceptMap-4'!S125=0,"//---END",'Subject-ConceptMap-4'!S125)</f>
        <v>* group[=].element[=].target.code = #Observation.extension:comorbidConditionPresent</v>
      </c>
    </row>
    <row r="305" spans="2:2" x14ac:dyDescent="0.75">
      <c r="B305" s="12" t="str">
        <f>IF('Subject-ConceptMap-4'!S126=0,"//---END",'Subject-ConceptMap-4'!S126)</f>
        <v>* group[=].element[=].target.display = ##34###34#</v>
      </c>
    </row>
    <row r="306" spans="2:2" x14ac:dyDescent="0.75">
      <c r="B306" s="12" t="str">
        <f>IF('Subject-ConceptMap-4'!S127=0,"//---END",'Subject-ConceptMap-4'!S127)</f>
        <v>* group[=].element[=].target.equivalence = #equivalent</v>
      </c>
    </row>
    <row r="307" spans="2:2" x14ac:dyDescent="0.75">
      <c r="B307" s="12" t="str">
        <f>IF('Subject-ConceptMap-4'!S128=0,"//---END",'Subject-ConceptMap-4'!S128)</f>
        <v/>
      </c>
    </row>
    <row r="308" spans="2:2" x14ac:dyDescent="0.75">
      <c r="B308" s="12" t="str">
        <f>IF('Subject-ConceptMap-4'!S129=0,"//---END",'Subject-ConceptMap-4'!S129)</f>
        <v>* group[=].element[+].code = #Subject.comorbidity.multipleMyeloma</v>
      </c>
    </row>
    <row r="309" spans="2:2" x14ac:dyDescent="0.75">
      <c r="B309" s="12" t="str">
        <f>IF('Subject-ConceptMap-4'!S130=0,"//---END",'Subject-ConceptMap-4'!S130)</f>
        <v>* group[=].element[=].display = ##34#Multiple myeloma##34#</v>
      </c>
    </row>
    <row r="310" spans="2:2" x14ac:dyDescent="0.75">
      <c r="B310" s="12" t="str">
        <f>IF('Subject-ConceptMap-4'!S131=0,"//---END",'Subject-ConceptMap-4'!S131)</f>
        <v>* group[=].element[=].target.code = #Observation.extension:comorbidConditionPresent</v>
      </c>
    </row>
    <row r="311" spans="2:2" x14ac:dyDescent="0.75">
      <c r="B311" s="12" t="str">
        <f>IF('Subject-ConceptMap-4'!S132=0,"//---END",'Subject-ConceptMap-4'!S132)</f>
        <v>* group[=].element[=].target.display = ##34###34#</v>
      </c>
    </row>
    <row r="312" spans="2:2" x14ac:dyDescent="0.75">
      <c r="B312" s="12" t="str">
        <f>IF('Subject-ConceptMap-4'!S133=0,"//---END",'Subject-ConceptMap-4'!S133)</f>
        <v>* group[=].element[=].target.equivalence = #equivalent</v>
      </c>
    </row>
    <row r="313" spans="2:2" x14ac:dyDescent="0.75">
      <c r="B313" s="12" t="str">
        <f>IF('Subject-ConceptMap-4'!S134=0,"//---END",'Subject-ConceptMap-4'!S134)</f>
        <v/>
      </c>
    </row>
    <row r="314" spans="2:2" x14ac:dyDescent="0.75">
      <c r="B314" s="12" t="str">
        <f>IF('Subject-ConceptMap-4'!S135=0,"//---END",'Subject-ConceptMap-4'!S135)</f>
        <v>* group[=].element[+].code = #Subject.comorbidity.aids</v>
      </c>
    </row>
    <row r="315" spans="2:2" x14ac:dyDescent="0.75">
      <c r="B315" s="12" t="str">
        <f>IF('Subject-ConceptMap-4'!S136=0,"//---END",'Subject-ConceptMap-4'!S136)</f>
        <v>* group[=].element[=].display = ##34#AIDS##34#</v>
      </c>
    </row>
    <row r="316" spans="2:2" x14ac:dyDescent="0.75">
      <c r="B316" s="12" t="str">
        <f>IF('Subject-ConceptMap-4'!S137=0,"//---END",'Subject-ConceptMap-4'!S137)</f>
        <v>* group[=].element[=].target.code = #Observation.extension:comorbidConditionPresent</v>
      </c>
    </row>
    <row r="317" spans="2:2" x14ac:dyDescent="0.75">
      <c r="B317" s="12" t="str">
        <f>IF('Subject-ConceptMap-4'!S138=0,"//---END",'Subject-ConceptMap-4'!S138)</f>
        <v>* group[=].element[=].target.display = ##34###34#</v>
      </c>
    </row>
    <row r="318" spans="2:2" x14ac:dyDescent="0.75">
      <c r="B318" s="12" t="str">
        <f>IF('Subject-ConceptMap-4'!S139=0,"//---END",'Subject-ConceptMap-4'!S139)</f>
        <v>* group[=].element[=].target.equivalence = #equivalent</v>
      </c>
    </row>
    <row r="319" spans="2:2" x14ac:dyDescent="0.75">
      <c r="B319" s="12" t="str">
        <f>IF('Subject-ConceptMap-4'!S140=0,"//---END",'Subject-ConceptMap-4'!S140)</f>
        <v/>
      </c>
    </row>
    <row r="320" spans="2:2" x14ac:dyDescent="0.75">
      <c r="B320" s="12" t="str">
        <f>IF('Subject-ConceptMap-4'!S141=0,"//---END",'Subject-ConceptMap-4'!S141)</f>
        <v>* group[=].element[+].code = #Subject.noGeneticSyndromeWho2020</v>
      </c>
    </row>
    <row r="321" spans="2:2" x14ac:dyDescent="0.75">
      <c r="B321" s="12" t="str">
        <f>IF('Subject-ConceptMap-4'!S142=0,"//---END",'Subject-ConceptMap-4'!S142)</f>
        <v>* group[=].element[=].display = ##34#No Genetic syndrome WHO 2020 ##34#</v>
      </c>
    </row>
    <row r="322" spans="2:2" x14ac:dyDescent="0.75">
      <c r="B322" s="12" t="str">
        <f>IF('Subject-ConceptMap-4'!S143=0,"//---END",'Subject-ConceptMap-4'!S143)</f>
        <v>* group[=].element[=].target.code = #Observation.extension:comorbidConditionPresent</v>
      </c>
    </row>
    <row r="323" spans="2:2" x14ac:dyDescent="0.75">
      <c r="B323" s="12" t="str">
        <f>IF('Subject-ConceptMap-4'!S144=0,"//---END",'Subject-ConceptMap-4'!S144)</f>
        <v>* group[=].element[=].target.display = ##34###34#</v>
      </c>
    </row>
    <row r="324" spans="2:2" x14ac:dyDescent="0.75">
      <c r="B324" s="12" t="str">
        <f>IF('Subject-ConceptMap-4'!S145=0,"//---END",'Subject-ConceptMap-4'!S145)</f>
        <v>* group[=].element[=].target.equivalence = #equivalent</v>
      </c>
    </row>
    <row r="325" spans="2:2" ht="73.75" x14ac:dyDescent="0.75">
      <c r="B32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26" spans="2:2" x14ac:dyDescent="0.75">
      <c r="B326" s="12" t="str">
        <f>IF('Subject-ConceptMap-4'!S147=0,"//---END",'Subject-ConceptMap-4'!S147)</f>
        <v>* group[=].element[+].code = #Subject.noGeneticSyndromeWho2020.olliersDisease</v>
      </c>
    </row>
    <row r="327" spans="2:2" x14ac:dyDescent="0.75">
      <c r="B327" s="12" t="str">
        <f>IF('Subject-ConceptMap-4'!S148=0,"//---END",'Subject-ConceptMap-4'!S148)</f>
        <v>* group[=].element[=].display = ##34#Olliers disease##34#</v>
      </c>
    </row>
    <row r="328" spans="2:2" x14ac:dyDescent="0.75">
      <c r="B328" s="12" t="str">
        <f>IF('Subject-ConceptMap-4'!S149=0,"//---END",'Subject-ConceptMap-4'!S149)</f>
        <v>* group[=].element[=].target.code = #Observation.extension:comorbidConditionPresent</v>
      </c>
    </row>
    <row r="329" spans="2:2" x14ac:dyDescent="0.75">
      <c r="B329" s="12" t="str">
        <f>IF('Subject-ConceptMap-4'!S150=0,"//---END",'Subject-ConceptMap-4'!S150)</f>
        <v>* group[=].element[=].target.display = ##34###34#</v>
      </c>
    </row>
    <row r="330" spans="2:2" x14ac:dyDescent="0.75">
      <c r="B330" s="12" t="str">
        <f>IF('Subject-ConceptMap-4'!S151=0,"//---END",'Subject-ConceptMap-4'!S151)</f>
        <v>* group[=].element[=].target.equivalence = #equivalent</v>
      </c>
    </row>
    <row r="331" spans="2:2" x14ac:dyDescent="0.75">
      <c r="B331" s="12" t="str">
        <f>IF('Subject-ConceptMap-4'!S152=0,"//---END",'Subject-ConceptMap-4'!S152)</f>
        <v/>
      </c>
    </row>
    <row r="332" spans="2:2" x14ac:dyDescent="0.75">
      <c r="B332" s="12" t="str">
        <f>IF('Subject-ConceptMap-4'!S153=0,"//---END",'Subject-ConceptMap-4'!S153)</f>
        <v>* group[=].element[+].code = #Subject.noGeneticSyndromeWho2020.maffuciSyndrome</v>
      </c>
    </row>
    <row r="333" spans="2:2" x14ac:dyDescent="0.75">
      <c r="B333" s="12" t="str">
        <f>IF('Subject-ConceptMap-4'!S154=0,"//---END",'Subject-ConceptMap-4'!S154)</f>
        <v>* group[=].element[=].display = ##34#Maffuci syndrome##34#</v>
      </c>
    </row>
    <row r="334" spans="2:2" x14ac:dyDescent="0.75">
      <c r="B334" s="12" t="str">
        <f>IF('Subject-ConceptMap-4'!S155=0,"//---END",'Subject-ConceptMap-4'!S155)</f>
        <v>* group[=].element[=].target.code = #Observation.extension:comorbidConditionPresent</v>
      </c>
    </row>
    <row r="335" spans="2:2" x14ac:dyDescent="0.75">
      <c r="B335" s="12" t="str">
        <f>IF('Subject-ConceptMap-4'!S156=0,"//---END",'Subject-ConceptMap-4'!S156)</f>
        <v>* group[=].element[=].target.display = ##34###34#</v>
      </c>
    </row>
    <row r="336" spans="2:2" x14ac:dyDescent="0.75">
      <c r="B336" s="12" t="str">
        <f>IF('Subject-ConceptMap-4'!S157=0,"//---END",'Subject-ConceptMap-4'!S157)</f>
        <v>* group[=].element[=].target.equivalence = #equivalent</v>
      </c>
    </row>
    <row r="337" spans="2:2" x14ac:dyDescent="0.75">
      <c r="B337" s="12" t="str">
        <f>IF('Subject-ConceptMap-4'!S158=0,"//---END",'Subject-ConceptMap-4'!S158)</f>
        <v/>
      </c>
    </row>
    <row r="338" spans="2:2" x14ac:dyDescent="0.75">
      <c r="B338" s="12" t="str">
        <f>IF('Subject-ConceptMap-4'!S159=0,"//---END",'Subject-ConceptMap-4'!S159)</f>
        <v>* group[=].element[+].code = #Subject.noGeneticSyndromeWho2020.liFraumeniSyndrome</v>
      </c>
    </row>
    <row r="339" spans="2:2" x14ac:dyDescent="0.75">
      <c r="B339" s="12" t="str">
        <f>IF('Subject-ConceptMap-4'!S160=0,"//---END",'Subject-ConceptMap-4'!S160)</f>
        <v>* group[=].element[=].display = ##34#Li-Fraumeni syndrome##34#</v>
      </c>
    </row>
    <row r="340" spans="2:2" x14ac:dyDescent="0.75">
      <c r="B340" s="12" t="str">
        <f>IF('Subject-ConceptMap-4'!S161=0,"//---END",'Subject-ConceptMap-4'!S161)</f>
        <v>* group[=].element[=].target.code = #Observation.extension:comorbidConditionPresent</v>
      </c>
    </row>
    <row r="341" spans="2:2" x14ac:dyDescent="0.75">
      <c r="B341" s="12" t="str">
        <f>IF('Subject-ConceptMap-4'!S162=0,"//---END",'Subject-ConceptMap-4'!S162)</f>
        <v>* group[=].element[=].target.display = ##34###34#</v>
      </c>
    </row>
    <row r="342" spans="2:2" x14ac:dyDescent="0.75">
      <c r="B342" s="12" t="str">
        <f>IF('Subject-ConceptMap-4'!S163=0,"//---END",'Subject-ConceptMap-4'!S163)</f>
        <v>* group[=].element[=].target.equivalence = #equivalent</v>
      </c>
    </row>
    <row r="343" spans="2:2" x14ac:dyDescent="0.75">
      <c r="B343" s="12" t="str">
        <f>IF('Subject-ConceptMap-4'!S164=0,"//---END",'Subject-ConceptMap-4'!S164)</f>
        <v/>
      </c>
    </row>
    <row r="344" spans="2:2" x14ac:dyDescent="0.75">
      <c r="B344" s="12" t="str">
        <f>IF('Subject-ConceptMap-4'!S165=0,"//---END",'Subject-ConceptMap-4'!S165)</f>
        <v>* group[=].element[+].code = #Subject.noGeneticSyndromeWho2020.mcCuneAlbrightSyndrome</v>
      </c>
    </row>
    <row r="345" spans="2:2" x14ac:dyDescent="0.75">
      <c r="B345" s="12" t="str">
        <f>IF('Subject-ConceptMap-4'!S166=0,"//---END",'Subject-ConceptMap-4'!S166)</f>
        <v>* group[=].element[=].display = ##34#McCune-Albright syndrome##34#</v>
      </c>
    </row>
    <row r="346" spans="2:2" x14ac:dyDescent="0.75">
      <c r="B346" s="12" t="str">
        <f>IF('Subject-ConceptMap-4'!S167=0,"//---END",'Subject-ConceptMap-4'!S167)</f>
        <v>* group[=].element[=].target.code = #Observation.extension:comorbidConditionPresent</v>
      </c>
    </row>
    <row r="347" spans="2:2" x14ac:dyDescent="0.75">
      <c r="B347" s="12" t="str">
        <f>IF('Subject-ConceptMap-4'!S168=0,"//---END",'Subject-ConceptMap-4'!S168)</f>
        <v>* group[=].element[=].target.display = ##34###34#</v>
      </c>
    </row>
    <row r="348" spans="2:2" x14ac:dyDescent="0.75">
      <c r="B348" s="12" t="str">
        <f>IF('Subject-ConceptMap-4'!S169=0,"//---END",'Subject-ConceptMap-4'!S169)</f>
        <v>* group[=].element[=].target.equivalence = #equivalent</v>
      </c>
    </row>
    <row r="349" spans="2:2" x14ac:dyDescent="0.75">
      <c r="B349" s="12" t="str">
        <f>IF('Subject-ConceptMap-4'!S170=0,"//---END",'Subject-ConceptMap-4'!S170)</f>
        <v/>
      </c>
    </row>
    <row r="350" spans="2:2" x14ac:dyDescent="0.75">
      <c r="B350" s="12" t="str">
        <f>IF('Subject-ConceptMap-4'!S171=0,"//---END",'Subject-ConceptMap-4'!S171)</f>
        <v>* group[=].element[+].code = #Subject.noGeneticSyndromeWho2020.multipleOsteochondromas</v>
      </c>
    </row>
    <row r="351" spans="2:2" x14ac:dyDescent="0.75">
      <c r="B351" s="12" t="str">
        <f>IF('Subject-ConceptMap-4'!S172=0,"//---END",'Subject-ConceptMap-4'!S172)</f>
        <v>* group[=].element[=].display = ##34#Multiple osteochondromas##34#</v>
      </c>
    </row>
    <row r="352" spans="2:2" x14ac:dyDescent="0.75">
      <c r="B352" s="12" t="str">
        <f>IF('Subject-ConceptMap-4'!S173=0,"//---END",'Subject-ConceptMap-4'!S173)</f>
        <v>* group[=].element[=].target.code = #Observation.extension:comorbidConditionPresent</v>
      </c>
    </row>
    <row r="353" spans="2:2" x14ac:dyDescent="0.75">
      <c r="B353" s="12" t="str">
        <f>IF('Subject-ConceptMap-4'!S174=0,"//---END",'Subject-ConceptMap-4'!S174)</f>
        <v>* group[=].element[=].target.display = ##34###34#</v>
      </c>
    </row>
    <row r="354" spans="2:2" x14ac:dyDescent="0.75">
      <c r="B354" s="12" t="str">
        <f>IF('Subject-ConceptMap-4'!S175=0,"//---END",'Subject-ConceptMap-4'!S175)</f>
        <v>* group[=].element[=].target.equivalence = #equivalent</v>
      </c>
    </row>
    <row r="355" spans="2:2" x14ac:dyDescent="0.75">
      <c r="B355" s="12" t="str">
        <f>IF('Subject-ConceptMap-4'!S176=0,"//---END",'Subject-ConceptMap-4'!S176)</f>
        <v/>
      </c>
    </row>
    <row r="356" spans="2:2" x14ac:dyDescent="0.75">
      <c r="B356" s="12" t="str">
        <f>IF('Subject-ConceptMap-4'!S177=0,"//---END",'Subject-ConceptMap-4'!S177)</f>
        <v>* group[=].element[+].code = #Subject.noGeneticSyndromeWho2020.neurofibromatosisType1</v>
      </c>
    </row>
    <row r="357" spans="2:2" x14ac:dyDescent="0.75">
      <c r="B357" s="12" t="str">
        <f>IF('Subject-ConceptMap-4'!S178=0,"//---END",'Subject-ConceptMap-4'!S178)</f>
        <v>* group[=].element[=].display = ##34#Neurofibromatosis type 1##34#</v>
      </c>
    </row>
    <row r="358" spans="2:2" x14ac:dyDescent="0.75">
      <c r="B358" s="12" t="str">
        <f>IF('Subject-ConceptMap-4'!S179=0,"//---END",'Subject-ConceptMap-4'!S179)</f>
        <v>* group[=].element[=].target.code = #Observation.extension:comorbidConditionPresent</v>
      </c>
    </row>
    <row r="359" spans="2:2" x14ac:dyDescent="0.75">
      <c r="B359" s="12" t="str">
        <f>IF('Subject-ConceptMap-4'!S180=0,"//---END",'Subject-ConceptMap-4'!S180)</f>
        <v>* group[=].element[=].target.display = ##34###34#</v>
      </c>
    </row>
    <row r="360" spans="2:2" x14ac:dyDescent="0.75">
      <c r="B360" s="12" t="str">
        <f>IF('Subject-ConceptMap-4'!S181=0,"//---END",'Subject-ConceptMap-4'!S181)</f>
        <v>* group[=].element[=].target.equivalence = #equivalent</v>
      </c>
    </row>
    <row r="361" spans="2:2" x14ac:dyDescent="0.75">
      <c r="B361" s="12" t="str">
        <f>IF('Subject-ConceptMap-4'!S182=0,"//---END",'Subject-ConceptMap-4'!S182)</f>
        <v/>
      </c>
    </row>
    <row r="362" spans="2:2" x14ac:dyDescent="0.75">
      <c r="B362" s="12" t="str">
        <f>IF('Subject-ConceptMap-4'!S183=0,"//---END",'Subject-ConceptMap-4'!S183)</f>
        <v>* group[=].element[+].code = #Subject.noGeneticSyndromeWho2020.rothmundThomsonSyndrome</v>
      </c>
    </row>
    <row r="363" spans="2:2" x14ac:dyDescent="0.75">
      <c r="B363" s="12" t="str">
        <f>IF('Subject-ConceptMap-4'!S184=0,"//---END",'Subject-ConceptMap-4'!S184)</f>
        <v>* group[=].element[=].display = ##34#Rothmund-Thomson syndrome##34#</v>
      </c>
    </row>
    <row r="364" spans="2:2" x14ac:dyDescent="0.75">
      <c r="B364" s="12" t="str">
        <f>IF('Subject-ConceptMap-4'!S185=0,"//---END",'Subject-ConceptMap-4'!S185)</f>
        <v>* group[=].element[=].target.code = #Observation.extension:comorbidConditionPresent</v>
      </c>
    </row>
    <row r="365" spans="2:2" x14ac:dyDescent="0.75">
      <c r="B365" s="12" t="str">
        <f>IF('Subject-ConceptMap-4'!S186=0,"//---END",'Subject-ConceptMap-4'!S186)</f>
        <v>* group[=].element[=].target.display = ##34###34#</v>
      </c>
    </row>
    <row r="366" spans="2:2" x14ac:dyDescent="0.75">
      <c r="B366" s="12" t="str">
        <f>IF('Subject-ConceptMap-4'!S187=0,"//---END",'Subject-ConceptMap-4'!S187)</f>
        <v>* group[=].element[=].target.equivalence = #equivalent</v>
      </c>
    </row>
    <row r="367" spans="2:2" x14ac:dyDescent="0.75">
      <c r="B367" s="12" t="str">
        <f>IF('Subject-ConceptMap-4'!S188=0,"//---END",'Subject-ConceptMap-4'!S188)</f>
        <v/>
      </c>
    </row>
    <row r="368" spans="2:2" x14ac:dyDescent="0.75">
      <c r="B368" s="12" t="str">
        <f>IF('Subject-ConceptMap-4'!S189=0,"//---END",'Subject-ConceptMap-4'!S189)</f>
        <v>* group[=].element[+].code = #Subject.noGeneticSyndromeWho2020.wernerSyndrome</v>
      </c>
    </row>
    <row r="369" spans="2:2" x14ac:dyDescent="0.75">
      <c r="B369" s="12" t="str">
        <f>IF('Subject-ConceptMap-4'!S190=0,"//---END",'Subject-ConceptMap-4'!S190)</f>
        <v>* group[=].element[=].display = ##34#Werner syndrome##34#</v>
      </c>
    </row>
    <row r="370" spans="2:2" x14ac:dyDescent="0.75">
      <c r="B370" s="12" t="str">
        <f>IF('Subject-ConceptMap-4'!S191=0,"//---END",'Subject-ConceptMap-4'!S191)</f>
        <v>* group[=].element[=].target.code = #Observation.extension:comorbidConditionPresent</v>
      </c>
    </row>
    <row r="371" spans="2:2" x14ac:dyDescent="0.75">
      <c r="B371" s="12" t="str">
        <f>IF('Subject-ConceptMap-4'!S192=0,"//---END",'Subject-ConceptMap-4'!S192)</f>
        <v>* group[=].element[=].target.display = ##34###34#</v>
      </c>
    </row>
    <row r="372" spans="2:2" x14ac:dyDescent="0.75">
      <c r="B372" s="12" t="str">
        <f>IF('Subject-ConceptMap-4'!S193=0,"//---END",'Subject-ConceptMap-4'!S193)</f>
        <v>* group[=].element[=].target.equivalence = #equivalent</v>
      </c>
    </row>
    <row r="373" spans="2:2" x14ac:dyDescent="0.75">
      <c r="B373" s="12" t="str">
        <f>IF('Subject-ConceptMap-4'!S194=0,"//---END",'Subject-ConceptMap-4'!S194)</f>
        <v/>
      </c>
    </row>
    <row r="374" spans="2:2" x14ac:dyDescent="0.75">
      <c r="B374" s="12" t="str">
        <f>IF('Subject-ConceptMap-4'!S195=0,"//---END",'Subject-ConceptMap-4'!S195)</f>
        <v>* group[=].element[+].code = #Subject.noGeneticSyndromeWho2020.retinoblastoma</v>
      </c>
    </row>
    <row r="375" spans="2:2" x14ac:dyDescent="0.75">
      <c r="B375" s="12" t="str">
        <f>IF('Subject-ConceptMap-4'!S196=0,"//---END",'Subject-ConceptMap-4'!S196)</f>
        <v>* group[=].element[=].display = ##34#Retinoblastoma##34#</v>
      </c>
    </row>
    <row r="376" spans="2:2" x14ac:dyDescent="0.75">
      <c r="B376" s="12" t="str">
        <f>IF('Subject-ConceptMap-4'!S197=0,"//---END",'Subject-ConceptMap-4'!S197)</f>
        <v>* group[=].element[=].target.code = #Observation.extension:comorbidConditionPresent</v>
      </c>
    </row>
    <row r="377" spans="2:2" x14ac:dyDescent="0.75">
      <c r="B377" s="12" t="str">
        <f>IF('Subject-ConceptMap-4'!S198=0,"//---END",'Subject-ConceptMap-4'!S198)</f>
        <v>* group[=].element[=].target.display = ##34###34#</v>
      </c>
    </row>
    <row r="378" spans="2:2" x14ac:dyDescent="0.75">
      <c r="B378" s="12" t="str">
        <f>IF('Subject-ConceptMap-4'!S199=0,"//---END",'Subject-ConceptMap-4'!S199)</f>
        <v>* group[=].element[=].target.equivalence = #equivalent</v>
      </c>
    </row>
    <row r="379" spans="2:2" x14ac:dyDescent="0.75">
      <c r="B379" s="12" t="str">
        <f>IF('Subject-ConceptMap-4'!S200=0,"//---END",'Subject-ConceptMap-4'!S200)</f>
        <v/>
      </c>
    </row>
    <row r="380" spans="2:2" x14ac:dyDescent="0.75">
      <c r="B380" s="12" t="str">
        <f>IF('Subject-ConceptMap-4'!S201=0,"//---END",'Subject-ConceptMap-4'!S201)</f>
        <v>* group[=].element[+].code = #Subject.noGeneticSyndromeWho2020.pagetDisease</v>
      </c>
    </row>
    <row r="381" spans="2:2" x14ac:dyDescent="0.75">
      <c r="B381" s="12" t="str">
        <f>IF('Subject-ConceptMap-4'!S202=0,"//---END",'Subject-ConceptMap-4'!S202)</f>
        <v>* group[=].element[=].display = ##34#Paget disease##34#</v>
      </c>
    </row>
    <row r="382" spans="2:2" x14ac:dyDescent="0.75">
      <c r="B382" s="12" t="str">
        <f>IF('Subject-ConceptMap-4'!S203=0,"//---END",'Subject-ConceptMap-4'!S203)</f>
        <v>* group[=].element[=].target.code = #Observation.extension:comorbidConditionPresent</v>
      </c>
    </row>
    <row r="383" spans="2:2" x14ac:dyDescent="0.75">
      <c r="B383" s="12" t="str">
        <f>IF('Subject-ConceptMap-4'!S204=0,"//---END",'Subject-ConceptMap-4'!S204)</f>
        <v>* group[=].element[=].target.display = ##34###34#</v>
      </c>
    </row>
    <row r="384" spans="2:2" x14ac:dyDescent="0.75">
      <c r="B384" s="12" t="str">
        <f>IF('Subject-ConceptMap-4'!S205=0,"//---END",'Subject-ConceptMap-4'!S205)</f>
        <v>* group[=].element[=].target.equivalence = #equivalent</v>
      </c>
    </row>
    <row r="385" spans="2:2" x14ac:dyDescent="0.75">
      <c r="B385" s="12" t="str">
        <f>IF('Subject-ConceptMap-4'!S206=0,"//---END",'Subject-ConceptMap-4'!S206)</f>
        <v/>
      </c>
    </row>
    <row r="386" spans="2:2" x14ac:dyDescent="0.75">
      <c r="B386" s="12" t="str">
        <f>IF('Subject-ConceptMap-4'!S207=0,"//---END",'Subject-ConceptMap-4'!S207)</f>
        <v>* group[=].element[+].code = #Subject.noGeneticSyndromeWho2020.otherSyndromes</v>
      </c>
    </row>
    <row r="387" spans="2:2" x14ac:dyDescent="0.75">
      <c r="B387" s="12" t="str">
        <f>IF('Subject-ConceptMap-4'!S208=0,"//---END",'Subject-ConceptMap-4'!S208)</f>
        <v>* group[=].element[=].display = ##34#Other Genetic syndrome WHO 2020 ##34#</v>
      </c>
    </row>
    <row r="388" spans="2:2" x14ac:dyDescent="0.75">
      <c r="B388" s="12" t="str">
        <f>IF('Subject-ConceptMap-4'!S209=0,"//---END",'Subject-ConceptMap-4'!S209)</f>
        <v>* group[=].element[=].target.code = #Observation.extension:comorbidConditionPresent</v>
      </c>
    </row>
    <row r="389" spans="2:2" x14ac:dyDescent="0.75">
      <c r="B389" s="12" t="str">
        <f>IF('Subject-ConceptMap-4'!S210=0,"//---END",'Subject-ConceptMap-4'!S210)</f>
        <v>* group[=].element[=].target.display = ##34###34#</v>
      </c>
    </row>
    <row r="390" spans="2:2" x14ac:dyDescent="0.75">
      <c r="B390" s="12" t="str">
        <f>IF('Subject-ConceptMap-4'!S211=0,"//---END",'Subject-ConceptMap-4'!S211)</f>
        <v>* group[=].element[=].target.equivalence = #equivalent</v>
      </c>
    </row>
    <row r="391" spans="2:2" x14ac:dyDescent="0.75">
      <c r="B391" s="12" t="str">
        <f>IF('Subject-ConceptMap-4'!S212=0,"//---END",'Subject-ConceptMap-4'!S212)</f>
        <v/>
      </c>
    </row>
    <row r="392" spans="2:2" x14ac:dyDescent="0.75">
      <c r="B392" s="12" t="str">
        <f>IF('Subject-ConceptMap-4'!S213=0,"//---END",'Subject-ConceptMap-4'!S213)</f>
        <v>//---END</v>
      </c>
    </row>
    <row r="393" spans="2:2" x14ac:dyDescent="0.75">
      <c r="B393" s="12" t="str">
        <f>IF('Subject-ConceptMap-4'!S214=0,"//---END",'Subject-ConceptMap-4'!S214)</f>
        <v>//---END</v>
      </c>
    </row>
    <row r="394" spans="2:2" x14ac:dyDescent="0.75">
      <c r="B394" s="12" t="str">
        <f>IF('Subject-ConceptMap-4'!S215=0,"//---END",'Subject-ConceptMap-4'!S215)</f>
        <v>//---END</v>
      </c>
    </row>
    <row r="395" spans="2:2" s="7" customFormat="1" x14ac:dyDescent="0.75">
      <c r="B395" s="62"/>
    </row>
    <row r="396" spans="2:2" s="7" customFormat="1" x14ac:dyDescent="0.75">
      <c r="B396" s="109"/>
    </row>
    <row r="397" spans="2:2" s="7" customFormat="1" x14ac:dyDescent="0.75">
      <c r="B397" s="111" t="str">
        <f>"* group[+].source = ##34#"&amp;'Subject-ConceptMap-5-x'!E6&amp;"##34#"</f>
        <v>* group[+].source = ##34#http://hl7.eu/fhir/ig/idea4rc/StructureDefinition/Subject##34#</v>
      </c>
    </row>
    <row r="398" spans="2:2" s="7" customFormat="1" x14ac:dyDescent="0.75">
      <c r="B398" s="111" t="str">
        <f>"* group[=].target = ##34#"&amp;'Subject-ConceptMap-5-x'!E7&amp;"##34#"</f>
        <v>* group[=].target = ##34#http://hl7.eu/fhir/ig/idea4rc/StructureDefinition/observation-karnofsky-performance-statuseu-i4rc##34#</v>
      </c>
    </row>
    <row r="399" spans="2:2" s="7" customFormat="1" x14ac:dyDescent="0.75">
      <c r="B399" s="109"/>
    </row>
    <row r="400" spans="2:2" s="7" customFormat="1" x14ac:dyDescent="0.75">
      <c r="B400" s="62" t="str">
        <f>IF('Subject-ConceptMap-5-x'!S15=0,"//---END",'Subject-ConceptMap-5-x'!S15)</f>
        <v>* group[=].element[+].code = #Subject.karnofsyIndexAtDiagnosis</v>
      </c>
    </row>
    <row r="401" spans="2:2" s="7" customFormat="1" x14ac:dyDescent="0.75">
      <c r="B401" s="62" t="str">
        <f>IF('Subject-ConceptMap-5-x'!S16=0,"//---END",'Subject-ConceptMap-5-x'!S16)</f>
        <v>* group[=].element[=].display = ##34#Karnofsy index at diagnosis##34#</v>
      </c>
    </row>
    <row r="402" spans="2:2" s="7" customFormat="1" x14ac:dyDescent="0.75">
      <c r="B402" s="62" t="str">
        <f>IF('Subject-ConceptMap-5-x'!S17=0,"//---END",'Subject-ConceptMap-5-x'!S17)</f>
        <v>* group[=].element[=].target.code = #Observation.valueInteger</v>
      </c>
    </row>
    <row r="403" spans="2:2" s="7" customFormat="1" x14ac:dyDescent="0.75">
      <c r="B403" s="62" t="str">
        <f>IF('Subject-ConceptMap-5-x'!S18=0,"//---END",'Subject-ConceptMap-5-x'!S18)</f>
        <v>* group[=].element[=].target.display = ##34###34#</v>
      </c>
    </row>
    <row r="404" spans="2:2" s="7" customFormat="1" x14ac:dyDescent="0.75">
      <c r="B404" s="62" t="str">
        <f>IF('Subject-ConceptMap-5-x'!S19=0,"//---END",'Subject-ConceptMap-5-x'!S19)</f>
        <v>* group[=].element[=].target.equivalence = #equal</v>
      </c>
    </row>
    <row r="405" spans="2:2" s="7" customFormat="1" x14ac:dyDescent="0.75">
      <c r="B405" s="62" t="str">
        <f>IF('Subject-ConceptMap-5-x'!S20=0,"//---END",'Subject-ConceptMap-5-x'!S20)</f>
        <v/>
      </c>
    </row>
    <row r="406" spans="2:2" s="7" customFormat="1" x14ac:dyDescent="0.75">
      <c r="B406" s="62" t="str">
        <f>IF('Subject-ConceptMap-5-x'!S21=0,"//---END",'Subject-ConceptMap-5-x'!S21)</f>
        <v>* group[=].element[+].code = #Subject.karnofsyIndexLabel</v>
      </c>
    </row>
    <row r="407" spans="2:2" s="7" customFormat="1" x14ac:dyDescent="0.75">
      <c r="B407" s="62" t="str">
        <f>IF('Subject-ConceptMap-5-x'!S22=0,"//---END",'Subject-ConceptMap-5-x'!S22)</f>
        <v>* group[=].element[=].display = ##34#Karnofsy index label##34#</v>
      </c>
    </row>
    <row r="408" spans="2:2" s="7" customFormat="1" x14ac:dyDescent="0.75">
      <c r="B408" s="62" t="str">
        <f>IF('Subject-ConceptMap-5-x'!S23=0,"//---END",'Subject-ConceptMap-5-x'!S23)</f>
        <v>* group[=].element[=].target.code = #Observation.interpretation</v>
      </c>
    </row>
    <row r="409" spans="2:2" s="7" customFormat="1" x14ac:dyDescent="0.75">
      <c r="B409" s="62" t="str">
        <f>IF('Subject-ConceptMap-5-x'!S24=0,"//---END",'Subject-ConceptMap-5-x'!S24)</f>
        <v>* group[=].element[=].target.display = ##34###34#</v>
      </c>
    </row>
    <row r="410" spans="2:2" x14ac:dyDescent="0.75">
      <c r="B410" s="62" t="str">
        <f>IF('Subject-ConceptMap-5-x'!S25=0,"//---END",'Subject-ConceptMap-5-x'!S25)</f>
        <v>* group[=].element[=].target.equivalence = #equivalent</v>
      </c>
    </row>
    <row r="411" spans="2:2" x14ac:dyDescent="0.75">
      <c r="B411" s="62" t="str">
        <f>IF('Subject-ConceptMap-5-x'!S26=0,"//---END",'Subject-ConceptMap-5-x'!S26)</f>
        <v/>
      </c>
    </row>
    <row r="412" spans="2:2" x14ac:dyDescent="0.75">
      <c r="B412" s="62" t="str">
        <f>IF('Subject-ConceptMap-5-x'!S27=0,"//---END",'Subject-ConceptMap-5-x'!S27)</f>
        <v>//---END</v>
      </c>
    </row>
    <row r="413" spans="2:2" x14ac:dyDescent="0.75">
      <c r="B413" s="62" t="str">
        <f>IF('Subject-ConceptMap-5-x'!S28=0,"//---END",'Subject-ConceptMap-5-x'!S28)</f>
        <v>//---END</v>
      </c>
    </row>
    <row r="414" spans="2:2" x14ac:dyDescent="0.75">
      <c r="B414" s="62" t="str">
        <f>IF('Subject-ConceptMap-5-x'!S29=0,"//---END",'Subject-ConceptMap-5-x'!S29)</f>
        <v>//---END</v>
      </c>
    </row>
    <row r="415" spans="2:2" x14ac:dyDescent="0.75">
      <c r="B415" s="62" t="str">
        <f>IF('Subject-ConceptMap-5-x'!S30=0,"//---END",'Subject-ConceptMap-5-x'!S30)</f>
        <v>//---END</v>
      </c>
    </row>
    <row r="416" spans="2:2" x14ac:dyDescent="0.75">
      <c r="B416" s="62"/>
    </row>
    <row r="417" spans="2:2" x14ac:dyDescent="0.75">
      <c r="B417" s="62"/>
    </row>
    <row r="418" spans="2:2" x14ac:dyDescent="0.75">
      <c r="B418" s="12"/>
    </row>
    <row r="419" spans="2:2" x14ac:dyDescent="0.75">
      <c r="B419" s="107"/>
    </row>
    <row r="420" spans="2:2" x14ac:dyDescent="0.75">
      <c r="B420" s="108" t="str">
        <f>"* group[+].source = ##34#"&amp;'Subject-ConceptMap-5-x'!E28&amp;"##34#"</f>
        <v>* group[+].source = ##34#http://hl7.eu/fhir/ig/idea4rc/StructureDefinition/Subject##34#</v>
      </c>
    </row>
    <row r="421" spans="2:2" x14ac:dyDescent="0.75">
      <c r="B421" s="108" t="str">
        <f>"* group[=].target = ##34#"&amp;'Subject-ConceptMap-5-x'!E29&amp;"##34#"</f>
        <v>* group[=].target = ##34#http://hl7.eu/fhir/ig/idea4rc/StructureDefinition/observation-ecog-performance-status-eu-i4rc##34#</v>
      </c>
    </row>
    <row r="422" spans="2:2" x14ac:dyDescent="0.75">
      <c r="B422" s="109"/>
    </row>
    <row r="423" spans="2:2" x14ac:dyDescent="0.75">
      <c r="B423" s="12" t="str">
        <f>IF('Subject-ConceptMap-5-x'!S31=0,"//---END",'Subject-ConceptMap-5-x'!S31)</f>
        <v>* group[=].element[+].code = #Subject.ecogPsAtDiagnosis</v>
      </c>
    </row>
    <row r="424" spans="2:2" x14ac:dyDescent="0.75">
      <c r="B424" s="12" t="str">
        <f>IF('Subject-ConceptMap-5-x'!S32=0,"//---END",'Subject-ConceptMap-5-x'!S32)</f>
        <v>* group[=].element[=].display = ##34#Eastern Cooperative Oncology Group performance status (ECOG PS)  at diagnosis##34#</v>
      </c>
    </row>
    <row r="425" spans="2:2" x14ac:dyDescent="0.75">
      <c r="B425" s="12" t="str">
        <f>IF('Subject-ConceptMap-5-x'!S33=0,"//---END",'Subject-ConceptMap-5-x'!S33)</f>
        <v>* group[=].element[=].target.code = #Observation.valueCodeableConcept</v>
      </c>
    </row>
    <row r="426" spans="2:2" x14ac:dyDescent="0.75">
      <c r="B426" s="12" t="str">
        <f>IF('Subject-ConceptMap-5-x'!S34=0,"//---END",'Subject-ConceptMap-5-x'!S34)</f>
        <v>* group[=].element[=].target.display = ##34###34#</v>
      </c>
    </row>
    <row r="427" spans="2:2" x14ac:dyDescent="0.75">
      <c r="B427" s="12" t="str">
        <f>IF('Subject-ConceptMap-5-x'!S35=0,"//---END",'Subject-ConceptMap-5-x'!S35)</f>
        <v>* group[=].element[=].target.equivalence = #equal</v>
      </c>
    </row>
    <row r="428" spans="2:2" x14ac:dyDescent="0.75">
      <c r="B428" s="12" t="str">
        <f>IF('Subject-ConceptMap-5-x'!S36=0,"//---END",'Subject-ConceptMap-5-x'!S36)</f>
        <v>* group[=].element[=].target.comment = ##34#where obseravtion.code =  $loinc#89247-1 ECOG Performance Status score##34#</v>
      </c>
    </row>
    <row r="429" spans="2:2" x14ac:dyDescent="0.75">
      <c r="B429" s="12" t="str">
        <f>IF('Subject-ConceptMap-5-x'!S37=0,"//---END",'Subject-ConceptMap-5-x'!S37)</f>
        <v>* group[=].element[+].code = #Subject.ecogPsLabel</v>
      </c>
    </row>
    <row r="430" spans="2:2" x14ac:dyDescent="0.75">
      <c r="B430" s="12" t="str">
        <f>IF('Subject-ConceptMap-5-x'!S38=0,"//---END",'Subject-ConceptMap-5-x'!S38)</f>
        <v>* group[=].element[=].display = ##34#ECOG PS label##34#</v>
      </c>
    </row>
    <row r="431" spans="2:2" x14ac:dyDescent="0.75">
      <c r="B431" s="12" t="str">
        <f>IF('Subject-ConceptMap-5-x'!S39=0,"//---END",'Subject-ConceptMap-5-x'!S39)</f>
        <v>* group[=].element[=].target.code = #Observation.interpretation</v>
      </c>
    </row>
    <row r="432" spans="2:2" x14ac:dyDescent="0.75">
      <c r="B432" s="12" t="str">
        <f>IF('Subject-ConceptMap-5-x'!S40=0,"//---END",'Subject-ConceptMap-5-x'!S40)</f>
        <v>* group[=].element[=].target.display = ##34###34#</v>
      </c>
    </row>
    <row r="433" spans="2:2" x14ac:dyDescent="0.75">
      <c r="B433" s="12" t="str">
        <f>IF('Subject-ConceptMap-5-x'!S41=0,"//---END",'Subject-ConceptMap-5-x'!S41)</f>
        <v>* group[=].element[=].target.equivalence = #equivalent</v>
      </c>
    </row>
    <row r="434" spans="2:2" x14ac:dyDescent="0.75">
      <c r="B434" s="12" t="str">
        <f>IF('Subject-ConceptMap-5-x'!S42=0,"//---END",'Subject-ConceptMap-5-x'!S42)</f>
        <v/>
      </c>
    </row>
    <row r="435" spans="2:2" x14ac:dyDescent="0.75">
      <c r="B435" s="12" t="str">
        <f>IF('Subject-ConceptMap-5-x'!S43=0,"//---END",'Subject-ConceptMap-5-x'!S43)</f>
        <v>//---END</v>
      </c>
    </row>
    <row r="436" spans="2:2" x14ac:dyDescent="0.75">
      <c r="B436" s="12" t="str">
        <f>IF('Subject-ConceptMap-5-x'!S44=0,"//---END",'Subject-ConceptMap-5-x'!S44)</f>
        <v>//---END</v>
      </c>
    </row>
    <row r="437" spans="2:2" x14ac:dyDescent="0.75">
      <c r="B437" s="12" t="str">
        <f>IF('Subject-ConceptMap-5-x'!S45=0,"//---END",'Subject-ConceptMap-5-x'!S45)</f>
        <v>//---END</v>
      </c>
    </row>
    <row r="438" spans="2:2" x14ac:dyDescent="0.75">
      <c r="B438" s="107"/>
    </row>
    <row r="439" spans="2:2" x14ac:dyDescent="0.75">
      <c r="B439" s="108" t="str">
        <f>"* group[+].source = ##34#"&amp;'Subject-ConceptMap-5-x'!E49&amp;"##34#"</f>
        <v>* group[+].source = ##34#http://hl7.eu/fhir/ig/idea4rc/StructureDefinition/Subject##34#</v>
      </c>
    </row>
    <row r="440" spans="2:2" x14ac:dyDescent="0.75">
      <c r="B440" s="108" t="str">
        <f>"* group[=].target = ##34#"&amp;'Subject-ConceptMap-5-x'!E50&amp;"##34#"</f>
        <v>* group[=].target = ##34#http://hl7.eu/fhir/ig/idea4rc/StructureDefinition/observation-cci-eu-i4rc##34#</v>
      </c>
    </row>
    <row r="441" spans="2:2" x14ac:dyDescent="0.75">
      <c r="B441" s="109"/>
    </row>
    <row r="442" spans="2:2" x14ac:dyDescent="0.75">
      <c r="B442" s="12" t="str">
        <f>IF('Subject-ConceptMap-5-x'!S52=0,"//---END",'Subject-ConceptMap-5-x'!S52)</f>
        <v>* group[=].element[+].code = #Subject.charlsonComorbidityIndex</v>
      </c>
    </row>
    <row r="443" spans="2:2" x14ac:dyDescent="0.75">
      <c r="B443" s="12" t="str">
        <f>IF('Subject-ConceptMap-5-x'!S53=0,"//---END",'Subject-ConceptMap-5-x'!S53)</f>
        <v>* group[=].element[=].display = ##34#Charlson Comorbidity index##34#</v>
      </c>
    </row>
    <row r="444" spans="2:2" x14ac:dyDescent="0.75">
      <c r="B444" s="12" t="str">
        <f>IF('Subject-ConceptMap-5-x'!S54=0,"//---END",'Subject-ConceptMap-5-x'!S54)</f>
        <v>* group[=].element[=].target.code = #Observation.valueInteger</v>
      </c>
    </row>
    <row r="445" spans="2:2" x14ac:dyDescent="0.75">
      <c r="B445" s="12" t="str">
        <f>IF('Subject-ConceptMap-5-x'!S55=0,"//---END",'Subject-ConceptMap-5-x'!S55)</f>
        <v>* group[=].element[=].target.display = ##34###34#</v>
      </c>
    </row>
    <row r="446" spans="2:2" x14ac:dyDescent="0.75">
      <c r="B446" s="12" t="str">
        <f>IF('Subject-ConceptMap-5-x'!S56=0,"//---END",'Subject-ConceptMap-5-x'!S56)</f>
        <v>* group[=].element[=].target.equivalence = #equal</v>
      </c>
    </row>
    <row r="447" spans="2:2" x14ac:dyDescent="0.75">
      <c r="B447" s="12" t="str">
        <f>IF('Subject-ConceptMap-5-x'!S57=0,"//---END",'Subject-ConceptMap-5-x'!S57)</f>
        <v>//---END</v>
      </c>
    </row>
    <row r="448" spans="2:2" x14ac:dyDescent="0.75">
      <c r="B448" s="12" t="str">
        <f>IF('Subject-ConceptMap-5-x'!S58=0,"//---END",'Subject-ConceptMap-5-x'!S58)</f>
        <v>//---END</v>
      </c>
    </row>
    <row r="449" spans="2:2" x14ac:dyDescent="0.75">
      <c r="B449" s="12" t="str">
        <f>IF('Subject-ConceptMap-5-x'!S59=0,"//---END",'Subject-ConceptMap-5-x'!S59)</f>
        <v>//---END</v>
      </c>
    </row>
    <row r="450" spans="2:2" x14ac:dyDescent="0.75">
      <c r="B450" s="12"/>
    </row>
    <row r="451" spans="2:2" x14ac:dyDescent="0.75">
      <c r="B451" s="12"/>
    </row>
    <row r="452" spans="2:2" x14ac:dyDescent="0.75">
      <c r="B452" s="12"/>
    </row>
    <row r="453" spans="2:2" x14ac:dyDescent="0.75">
      <c r="B453" s="108" t="str">
        <f>B439</f>
        <v>* group[+].source = ##34#http://hl7.eu/fhir/ig/idea4rc/StructureDefinition/Subject##34#</v>
      </c>
    </row>
    <row r="454" spans="2:2" x14ac:dyDescent="0.75">
      <c r="B454" s="108" t="str">
        <f>"* group[=].target = ##34#"&amp;'Subject-ConceptMap-5-x'!E67&amp;"##34#"</f>
        <v>* group[=].target = ##34#http://hl7.org/fhir/StructureDefinition/bmi##34#</v>
      </c>
    </row>
    <row r="455" spans="2:2" x14ac:dyDescent="0.75">
      <c r="B455" s="109"/>
    </row>
    <row r="456" spans="2:2" x14ac:dyDescent="0.75">
      <c r="B456" s="12" t="str">
        <f>IF('Subject-ConceptMap-5-x'!S69=0,"//---END",'Subject-ConceptMap-5-x'!S69)</f>
        <v>* group[=].element[+].code = #Subject.bMI</v>
      </c>
    </row>
    <row r="457" spans="2:2" ht="29.5" x14ac:dyDescent="0.75">
      <c r="B457" s="12" t="str">
        <f>IF('Subject-ConceptMap-5-x'!S70=0,"//---END",'Subject-ConceptMap-5-x'!S70)</f>
        <v>* group[=].element[=].display = ##34#Height/weight (BMI)
##34#</v>
      </c>
    </row>
    <row r="458" spans="2:2" x14ac:dyDescent="0.75">
      <c r="B458" s="12" t="str">
        <f>IF('Subject-ConceptMap-5-x'!S71=0,"//---END",'Subject-ConceptMap-5-x'!S71)</f>
        <v>* group[=].element[=].target.code = #Observation.valueCodeableConcept</v>
      </c>
    </row>
    <row r="459" spans="2:2" x14ac:dyDescent="0.75">
      <c r="B459" s="12" t="str">
        <f>IF('Subject-ConceptMap-5-x'!S72=0,"//---END",'Subject-ConceptMap-5-x'!S72)</f>
        <v>* group[=].element[=].target.display = ##34###34#</v>
      </c>
    </row>
    <row r="460" spans="2:2" x14ac:dyDescent="0.75">
      <c r="B460" s="12" t="str">
        <f>IF('Subject-ConceptMap-5-x'!S73=0,"//---END",'Subject-ConceptMap-5-x'!S73)</f>
        <v>* group[=].element[=].target.equivalence = #equal</v>
      </c>
    </row>
    <row r="461" spans="2:2" x14ac:dyDescent="0.75">
      <c r="B461" s="12" t="str">
        <f>IF('Subject-ConceptMap-5-x'!S74=0,"//---END",'Subject-ConceptMap-5-x'!S74)</f>
        <v>//---END</v>
      </c>
    </row>
    <row r="462" spans="2:2" x14ac:dyDescent="0.75">
      <c r="B462" s="12" t="str">
        <f>IF('Subject-ConceptMap-5-x'!S75=0,"//---END",'Subject-ConceptMap-5-x'!S75)</f>
        <v>//---END</v>
      </c>
    </row>
    <row r="463" spans="2:2" x14ac:dyDescent="0.75">
      <c r="B463" s="12" t="str">
        <f>IF('Subject-ConceptMap-5-x'!S76=0,"//---END",'Subject-ConceptMap-5-x'!S76)</f>
        <v>//---END</v>
      </c>
    </row>
    <row r="464" spans="2:2" x14ac:dyDescent="0.75">
      <c r="B464" s="12"/>
    </row>
    <row r="465" spans="2:2" x14ac:dyDescent="0.75">
      <c r="B465" s="108" t="str">
        <f>B453</f>
        <v>* group[+].source = ##34#http://hl7.eu/fhir/ig/idea4rc/StructureDefinition/Subject##34#</v>
      </c>
    </row>
    <row r="466" spans="2:2" x14ac:dyDescent="0.75">
      <c r="B466" s="108" t="str">
        <f>"* group[=].target = ##34#"&amp;'Subject-ConceptMap-5-x'!E79&amp;"##34#"</f>
        <v>* group[=].target = ##34#http://hl7.eu/fhir/ig/idea4rc/StructureDefinition/observation-yesNo-eu-i4rc##34#</v>
      </c>
    </row>
    <row r="467" spans="2:2" x14ac:dyDescent="0.75">
      <c r="B467" s="109"/>
    </row>
    <row r="468" spans="2:2" x14ac:dyDescent="0.75">
      <c r="B468" s="12" t="str">
        <f>IF('Subject-ConceptMap-5-x'!S81=0,"//---END",'Subject-ConceptMap-5-x'!S81)</f>
        <v>* group[=].element[+].code = #Subject.occurrenceOfOtherCancer</v>
      </c>
    </row>
    <row r="469" spans="2:2" x14ac:dyDescent="0.75">
      <c r="B469" s="12" t="str">
        <f>IF('Subject-ConceptMap-5-x'!S82=0,"//---END",'Subject-ConceptMap-5-x'!S82)</f>
        <v>* group[=].element[=].target.code = #Observation.valueCodeableConcept</v>
      </c>
    </row>
    <row r="470" spans="2:2" x14ac:dyDescent="0.75">
      <c r="B470" s="12" t="str">
        <f>IF('Subject-ConceptMap-5-x'!S83=0,"//---END",'Subject-ConceptMap-5-x'!S83)</f>
        <v>* group[=].element[=].target.display = ##34###34#</v>
      </c>
    </row>
    <row r="471" spans="2:2" x14ac:dyDescent="0.75">
      <c r="B471" s="12" t="str">
        <f>IF('Subject-ConceptMap-5-x'!S84=0,"//---END",'Subject-ConceptMap-5-x'!S84)</f>
        <v>* group[=].element[=].target.equivalence = #equal</v>
      </c>
    </row>
    <row r="472" spans="2:2" x14ac:dyDescent="0.75">
      <c r="B472" s="12" t="str">
        <f>IF('Subject-ConceptMap-5-x'!S85=0,"//---END",'Subject-ConceptMap-5-x'!S85)</f>
        <v>* group[=].element[=].target.comment = ##34#where obseravtion.code = $loinc#67190-9 Other cancer diagnosis [PhenX]##34#</v>
      </c>
    </row>
    <row r="473" spans="2:2" x14ac:dyDescent="0.75">
      <c r="B473" s="12" t="str">
        <f>IF('Subject-ConceptMap-5-x'!S86=0,"//---END",'Subject-ConceptMap-5-x'!S86)</f>
        <v>//---END</v>
      </c>
    </row>
    <row r="474" spans="2:2" x14ac:dyDescent="0.75">
      <c r="B474" s="12" t="str">
        <f>IF('Subject-ConceptMap-5-x'!S87=0,"//---END",'Subject-ConceptMap-5-x'!S87)</f>
        <v>//---END</v>
      </c>
    </row>
    <row r="475" spans="2:2" x14ac:dyDescent="0.75">
      <c r="B475" s="12" t="str">
        <f>IF('Subject-ConceptMap-5-x'!S88=0,"//---END",'Subject-ConceptMap-5-x'!S88)</f>
        <v>//---END</v>
      </c>
    </row>
    <row r="476" spans="2:2" x14ac:dyDescent="0.75">
      <c r="B476" s="12"/>
    </row>
    <row r="477" spans="2:2" x14ac:dyDescent="0.75">
      <c r="B477" s="108" t="str">
        <f>B465</f>
        <v>* group[+].source = ##34#http://hl7.eu/fhir/ig/idea4rc/StructureDefinition/Subject##34#</v>
      </c>
    </row>
    <row r="478" spans="2:2" x14ac:dyDescent="0.75">
      <c r="B478" s="108" t="str">
        <f>"* group[=].target = ##34#"&amp;'Subject-ConceptMap-5-x'!E91&amp;"##34#"</f>
        <v>* group[=].target = ##34#http://hl7.eu/fhir/ig/idea4rc/StructureDefinition/observation-treatment-eu-i4rc##34#</v>
      </c>
    </row>
    <row r="479" spans="2:2" x14ac:dyDescent="0.75">
      <c r="B479" s="109"/>
    </row>
    <row r="480" spans="2:2" x14ac:dyDescent="0.75">
      <c r="B480" s="12" t="str">
        <f>IF('Subject-ConceptMap-5-x'!S93=0,"//---END",'Subject-ConceptMap-5-x'!S93)</f>
        <v>* group[=].element[+].code = #Subject.previousCancerTreatment</v>
      </c>
    </row>
    <row r="481" spans="2:2" x14ac:dyDescent="0.75">
      <c r="B481" s="12" t="str">
        <f>IF('Subject-ConceptMap-5-x'!S94=0,"//---END",'Subject-ConceptMap-5-x'!S94)</f>
        <v>* group[=].element[=].target.code = #Observation.valueCodeableConcept</v>
      </c>
    </row>
    <row r="482" spans="2:2" x14ac:dyDescent="0.75">
      <c r="B482" s="12" t="str">
        <f>IF('Subject-ConceptMap-5-x'!S95=0,"//---END",'Subject-ConceptMap-5-x'!S95)</f>
        <v>* group[=].element[=].target.display = ##34###34#</v>
      </c>
    </row>
    <row r="483" spans="2:2" x14ac:dyDescent="0.75">
      <c r="B483" s="12" t="str">
        <f>IF('Subject-ConceptMap-5-x'!S96=0,"//---END",'Subject-ConceptMap-5-x'!S96)</f>
        <v>* group[=].element[=].target.equivalence = #equal</v>
      </c>
    </row>
    <row r="484" spans="2:2" x14ac:dyDescent="0.75">
      <c r="B484" s="12" t="str">
        <f>IF('Subject-ConceptMap-5-x'!S97=0,"//---END",'Subject-ConceptMap-5-x'!S97)</f>
        <v>* group[=].element[=].target.comment = ##34#where obseravtion.code = $loinc#63933-6 Cancer treatment [PhenX]##34#</v>
      </c>
    </row>
    <row r="485" spans="2:2" x14ac:dyDescent="0.75">
      <c r="B485" s="12" t="str">
        <f>IF('Subject-ConceptMap-5-x'!S98=0,"//---END",'Subject-ConceptMap-5-x'!S98)</f>
        <v>//---END</v>
      </c>
    </row>
    <row r="486" spans="2:2" x14ac:dyDescent="0.75">
      <c r="B486" s="12" t="str">
        <f>IF('Subject-ConceptMap-5-x'!S99=0,"//---END",'Subject-ConceptMap-5-x'!S99)</f>
        <v>//---END</v>
      </c>
    </row>
    <row r="487" spans="2:2" x14ac:dyDescent="0.75">
      <c r="B487"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1908</v>
      </c>
      <c r="L4" s="16" t="str">
        <f>CONCATENATE("Logical: ",B4)</f>
        <v>Logical: HospitalPatientRecordsI4rc</v>
      </c>
    </row>
    <row r="5" spans="1:18" ht="15.5" thickBot="1" x14ac:dyDescent="0.9">
      <c r="A5" s="14" t="s">
        <v>16</v>
      </c>
      <c r="B5" s="30" t="s">
        <v>1833</v>
      </c>
      <c r="L5" s="16" t="str">
        <f>CONCATENATE("Id: ",B5)</f>
        <v>Id: HospitalPatientRecords</v>
      </c>
    </row>
    <row r="6" spans="1:18" ht="15.5" thickBot="1" x14ac:dyDescent="0.9">
      <c r="A6" s="14" t="s">
        <v>10</v>
      </c>
      <c r="B6" s="30" t="s">
        <v>1834</v>
      </c>
      <c r="L6" s="17" t="str">
        <f>CONCATENATE("Title: ##34#",B6,"##34#")</f>
        <v>Title: ##34#Hospital Patient Records##34#</v>
      </c>
    </row>
    <row r="7" spans="1:18" x14ac:dyDescent="0.75">
      <c r="A7" s="26" t="s">
        <v>2</v>
      </c>
      <c r="B7" s="95" t="s">
        <v>1834</v>
      </c>
      <c r="C7" s="9" t="s">
        <v>3</v>
      </c>
      <c r="D7" s="1" t="s">
        <v>4</v>
      </c>
      <c r="E7" s="3" t="s">
        <v>5</v>
      </c>
      <c r="F7" s="3" t="s">
        <v>6</v>
      </c>
      <c r="G7" s="3" t="s">
        <v>7</v>
      </c>
      <c r="H7" s="64" t="s">
        <v>1384</v>
      </c>
      <c r="I7" s="118" t="s">
        <v>2075</v>
      </c>
      <c r="J7" s="118" t="s">
        <v>2076</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1823</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1824</v>
      </c>
      <c r="C9" s="11" t="s">
        <v>1825</v>
      </c>
      <c r="D9" s="11" t="s">
        <v>1826</v>
      </c>
      <c r="E9" s="11">
        <v>1</v>
      </c>
      <c r="F9" s="11">
        <v>1</v>
      </c>
      <c r="G9" s="73" t="s">
        <v>1</v>
      </c>
      <c r="H9" s="11" t="s">
        <v>1827</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1832</v>
      </c>
      <c r="C10" s="11" t="s">
        <v>1821</v>
      </c>
      <c r="D10" s="11" t="s">
        <v>1822</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1828</v>
      </c>
      <c r="C11" s="11" t="s">
        <v>1829</v>
      </c>
      <c r="D11" s="11" t="s">
        <v>1830</v>
      </c>
      <c r="E11" s="11">
        <v>1</v>
      </c>
      <c r="F11" s="11">
        <v>1</v>
      </c>
      <c r="G11" s="11" t="s">
        <v>43</v>
      </c>
      <c r="H11" s="11" t="s">
        <v>1831</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1835</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#handle)</v>
      </c>
    </row>
    <row r="34" spans="3:3" x14ac:dyDescent="0.75">
      <c r="C34" s="100" t="str">
        <f>IF(HospitalPatientRecords!P9="*  ..  ##34###34# ##334###334#","//--- END",HospitalPatientRecords!P9)</f>
        <v>* hospital insert ObligationActorAndCode($actor-headneck, #handle)</v>
      </c>
    </row>
    <row r="35" spans="3:3" x14ac:dyDescent="0.75">
      <c r="C35" s="100" t="str">
        <f>IF(HospitalPatientRecords!P10="*  ..  ##34###34# ##334###334#","//--- END",HospitalPatientRecords!P10)</f>
        <v>* hospital.name insert ObligationActorAndCode($actor-headneck, #handle)</v>
      </c>
    </row>
    <row r="36" spans="3:3" x14ac:dyDescent="0.75">
      <c r="C36" s="100" t="str">
        <f>IF(HospitalPatientRecords!P11="*  ..  ##34###34# ##334###334#","//--- END",HospitalPatientRecords!P11)</f>
        <v>* firstContactDate insert ObligationActorAndCode($actor-headneck, #handle)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1917</v>
      </c>
      <c r="D3" s="47" t="s">
        <v>1473</v>
      </c>
      <c r="E3" s="71" t="str">
        <f>$C$1&amp;B14</f>
        <v>http://hl7.eu/fhir/ig/idea4rc/StructureDefinition/HospitalPatientRecords</v>
      </c>
    </row>
    <row r="4" spans="1:19" x14ac:dyDescent="0.75">
      <c r="B4" s="47" t="s">
        <v>16</v>
      </c>
      <c r="C4" s="28" t="s">
        <v>1917</v>
      </c>
      <c r="D4" s="47" t="s">
        <v>1474</v>
      </c>
      <c r="E4" s="154" t="s">
        <v>1920</v>
      </c>
      <c r="F4" s="155"/>
      <c r="G4" s="155"/>
    </row>
    <row r="5" spans="1:19" x14ac:dyDescent="0.75">
      <c r="B5" s="47" t="s">
        <v>10</v>
      </c>
      <c r="C5" s="7" t="s">
        <v>1918</v>
      </c>
      <c r="D5" s="47"/>
      <c r="E5" s="7"/>
    </row>
    <row r="6" spans="1:19" x14ac:dyDescent="0.75">
      <c r="B6" s="47" t="s">
        <v>18</v>
      </c>
      <c r="C6" s="41"/>
      <c r="D6" s="47" t="s">
        <v>1475</v>
      </c>
      <c r="E6" s="154" t="str">
        <f>E3</f>
        <v>http://hl7.eu/fhir/ig/idea4rc/StructureDefinition/HospitalPatientRecords</v>
      </c>
      <c r="F6" s="155"/>
      <c r="G6" s="155"/>
    </row>
    <row r="7" spans="1:19" x14ac:dyDescent="0.75">
      <c r="B7" s="47" t="s">
        <v>15</v>
      </c>
      <c r="C7" s="72"/>
      <c r="D7" s="47" t="s">
        <v>1476</v>
      </c>
      <c r="E7" s="154" t="str">
        <f>E4</f>
        <v>http://hl7.eu/fhir/ig/idea4rc/StructureDefinition/episodeOfCare-eu-i4rc</v>
      </c>
      <c r="F7" s="155"/>
      <c r="G7" s="155"/>
    </row>
    <row r="8" spans="1:19" ht="45" thickBot="1" x14ac:dyDescent="0.9">
      <c r="B8" s="47" t="s">
        <v>1477</v>
      </c>
      <c r="C8" t="s">
        <v>1918</v>
      </c>
      <c r="D8" s="47"/>
      <c r="E8" s="7"/>
      <c r="I8" s="12" t="s">
        <v>1289</v>
      </c>
      <c r="J8" s="12" t="s">
        <v>1290</v>
      </c>
      <c r="K8" s="12" t="s">
        <v>1291</v>
      </c>
      <c r="L8" s="12" t="s">
        <v>1292</v>
      </c>
      <c r="M8" s="11" t="s">
        <v>1293</v>
      </c>
      <c r="P8" s="34" t="s">
        <v>1328</v>
      </c>
      <c r="Q8" s="34">
        <v>6</v>
      </c>
    </row>
    <row r="9" spans="1:19" ht="30.25" thickBot="1" x14ac:dyDescent="0.9">
      <c r="B9" s="47" t="s">
        <v>1478</v>
      </c>
      <c r="C9" s="12" t="s">
        <v>1919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1921</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1922</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1923</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1924</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1856</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PatientFollowUpI4rc</v>
      </c>
    </row>
    <row r="5" spans="1:18" ht="15.5" thickBot="1" x14ac:dyDescent="0.9">
      <c r="A5" s="14" t="s">
        <v>16</v>
      </c>
      <c r="B5" s="30" t="s">
        <v>1852</v>
      </c>
      <c r="L5" s="16" t="str">
        <f>CONCATENATE("Id: ",B5)</f>
        <v>Id: PatientFollowUp</v>
      </c>
    </row>
    <row r="6" spans="1:18" ht="15.5" thickBot="1" x14ac:dyDescent="0.9">
      <c r="A6" s="14" t="s">
        <v>10</v>
      </c>
      <c r="B6" s="30" t="s">
        <v>1853</v>
      </c>
      <c r="L6" s="17" t="str">
        <f>CONCATENATE("Title: ##34#",B6,"##34#")</f>
        <v>Title: ##34#Patient Follow Up##34#</v>
      </c>
    </row>
    <row r="7" spans="1:18" x14ac:dyDescent="0.75">
      <c r="A7" s="26" t="s">
        <v>2</v>
      </c>
      <c r="B7" s="30" t="s">
        <v>1853</v>
      </c>
      <c r="C7" s="9" t="s">
        <v>3</v>
      </c>
      <c r="D7" s="1" t="s">
        <v>4</v>
      </c>
      <c r="E7" s="3" t="s">
        <v>5</v>
      </c>
      <c r="F7" s="3" t="s">
        <v>6</v>
      </c>
      <c r="G7" s="3" t="s">
        <v>7</v>
      </c>
      <c r="H7" s="64" t="s">
        <v>1384</v>
      </c>
      <c r="I7" s="118" t="s">
        <v>2075</v>
      </c>
      <c r="J7" s="118" t="s">
        <v>2076</v>
      </c>
      <c r="L7" s="17" t="str">
        <f>CONCATENATE("Description: "," ##334#",B7,"##334#",)</f>
        <v>Description:  ##334#Patient Follow Up##334#</v>
      </c>
    </row>
    <row r="8" spans="1:18" ht="29.5" x14ac:dyDescent="0.75">
      <c r="A8" s="59">
        <v>0</v>
      </c>
      <c r="B8" s="11" t="s">
        <v>1487</v>
      </c>
      <c r="C8" s="11" t="s">
        <v>14</v>
      </c>
      <c r="D8" s="11" t="s">
        <v>1836</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1837</v>
      </c>
      <c r="C9" s="11" t="s">
        <v>1838</v>
      </c>
      <c r="D9" s="11" t="s">
        <v>1839</v>
      </c>
      <c r="E9" s="11">
        <v>1</v>
      </c>
      <c r="F9" s="11">
        <v>1</v>
      </c>
      <c r="G9" s="73" t="s">
        <v>1468</v>
      </c>
      <c r="H9" s="149" t="s">
        <v>2426</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1840</v>
      </c>
      <c r="C10" s="11" t="s">
        <v>1841</v>
      </c>
      <c r="D10" s="11" t="s">
        <v>1842</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1843</v>
      </c>
      <c r="C11" s="11" t="s">
        <v>1844</v>
      </c>
      <c r="D11" s="11" t="s">
        <v>1845</v>
      </c>
      <c r="E11" s="11">
        <v>1</v>
      </c>
      <c r="F11" s="11">
        <v>1</v>
      </c>
      <c r="G11" s="11" t="s">
        <v>1468</v>
      </c>
      <c r="H11" s="11" t="s">
        <v>2427</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1846</v>
      </c>
      <c r="C12" s="11" t="s">
        <v>1847</v>
      </c>
      <c r="D12" s="11" t="s">
        <v>1848</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1849</v>
      </c>
      <c r="C13" s="11" t="s">
        <v>1850</v>
      </c>
      <c r="D13" s="11" t="s">
        <v>1851</v>
      </c>
      <c r="E13" s="11">
        <v>1</v>
      </c>
      <c r="F13" s="11">
        <v>1</v>
      </c>
      <c r="G13" s="11" t="s">
        <v>1468</v>
      </c>
      <c r="H13" s="12" t="s">
        <v>2302</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ht="29.5" x14ac:dyDescent="0.75">
      <c r="A14" s="59">
        <v>5</v>
      </c>
      <c r="B14" s="6" t="s">
        <v>1975</v>
      </c>
      <c r="C14" s="6" t="s">
        <v>1976</v>
      </c>
      <c r="D14" s="6" t="s">
        <v>1977</v>
      </c>
      <c r="E14" s="11">
        <v>1</v>
      </c>
      <c r="F14" s="11">
        <v>1</v>
      </c>
      <c r="G14" s="11" t="s">
        <v>1986</v>
      </c>
      <c r="H14" s="12"/>
      <c r="I14" s="12" t="b">
        <v>0</v>
      </c>
      <c r="J14" s="12" t="b">
        <v>1</v>
      </c>
      <c r="K14" s="25"/>
      <c r="L14" s="12" t="str">
        <f t="shared" si="0"/>
        <v>* lastContact 1..1 dateTime ##34#Last Contact##34# ##334#Date of the last contact with the patient, of any kind.##334#</v>
      </c>
      <c r="M14"/>
      <c r="N14" s="12" t="str">
        <f t="shared" si="1"/>
        <v/>
      </c>
      <c r="P14" s="12" t="str">
        <f t="shared" si="2"/>
        <v/>
      </c>
      <c r="Q14"/>
      <c r="R14" s="12" t="str">
        <f t="shared" si="3"/>
        <v>* lastContact insert ObligationActorAndCode($actor-sarcoma-i4rc, #handle)</v>
      </c>
    </row>
    <row r="15" spans="1:18" s="2" customFormat="1" x14ac:dyDescent="0.75">
      <c r="A15" s="59">
        <v>6</v>
      </c>
      <c r="B15" s="73"/>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1854</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1925</v>
      </c>
      <c r="D3" s="47" t="s">
        <v>1473</v>
      </c>
      <c r="E3" s="71" t="str">
        <f>$C$1&amp;B14</f>
        <v>http://hl7.eu/fhir/ig/idea4rc/StructureDefinition/PatientFollowUp</v>
      </c>
    </row>
    <row r="4" spans="1:19" x14ac:dyDescent="0.75">
      <c r="B4" s="47" t="s">
        <v>16</v>
      </c>
      <c r="C4" s="28" t="s">
        <v>1925</v>
      </c>
      <c r="D4" s="47" t="s">
        <v>1474</v>
      </c>
      <c r="E4" s="154" t="str">
        <f>C1&amp;"/"&amp;H4</f>
        <v>http://hl7.eu/fhir/ig/idea4rc/StructureDefinition//Bundle-eu-i4rc</v>
      </c>
      <c r="F4" s="155"/>
      <c r="G4" s="155"/>
      <c r="H4" t="s">
        <v>2430</v>
      </c>
      <c r="I4" s="80"/>
    </row>
    <row r="5" spans="1:19" x14ac:dyDescent="0.75">
      <c r="B5" s="47" t="s">
        <v>10</v>
      </c>
      <c r="C5" s="7" t="s">
        <v>1926</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C1&amp;"Encounter-eu-i4rc"</f>
        <v>http://hl7.eu/fhir/ig/idea4rc/StructureDefinition/Encounter-eu-i4rc</v>
      </c>
      <c r="F7" s="155"/>
      <c r="G7" s="155"/>
    </row>
    <row r="8" spans="1:19" ht="45" thickBot="1" x14ac:dyDescent="0.9">
      <c r="B8" s="47" t="s">
        <v>1477</v>
      </c>
      <c r="C8" s="7" t="s">
        <v>1926</v>
      </c>
      <c r="D8" s="47"/>
      <c r="E8" s="7"/>
      <c r="I8" s="12" t="s">
        <v>1289</v>
      </c>
      <c r="J8" s="12" t="s">
        <v>1290</v>
      </c>
      <c r="K8" s="12" t="s">
        <v>1291</v>
      </c>
      <c r="L8" s="12" t="s">
        <v>1292</v>
      </c>
      <c r="M8" s="11" t="s">
        <v>1293</v>
      </c>
      <c r="P8" s="34" t="s">
        <v>1328</v>
      </c>
      <c r="Q8" s="34">
        <v>6</v>
      </c>
    </row>
    <row r="9" spans="1:19" ht="30.25" thickBot="1" x14ac:dyDescent="0.9">
      <c r="B9" s="47" t="s">
        <v>1478</v>
      </c>
      <c r="C9" s="12" t="s">
        <v>1927</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2282</v>
      </c>
      <c r="E16" s="12"/>
      <c r="F16" s="49" t="s">
        <v>1294</v>
      </c>
      <c r="G16" s="77" t="s">
        <v>2429</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1924</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2282</v>
      </c>
      <c r="E18" s="12"/>
      <c r="F18" s="49" t="s">
        <v>1294</v>
      </c>
      <c r="G18" s="77" t="s">
        <v>2284</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2282</v>
      </c>
      <c r="E19" s="12"/>
      <c r="F19" s="49" t="s">
        <v>1294</v>
      </c>
      <c r="G19" s="77" t="s">
        <v>2284</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2282</v>
      </c>
      <c r="E20" s="12"/>
      <c r="F20" s="49" t="s">
        <v>1294</v>
      </c>
      <c r="G20" s="77" t="s">
        <v>2284</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1925</v>
      </c>
      <c r="D3" s="47" t="s">
        <v>1473</v>
      </c>
      <c r="E3" s="71" t="str">
        <f>$C$1&amp;B14</f>
        <v>http://hl7.eu/fhir/ig/idea4rc/StructureDefinition/PatientFollowUp</v>
      </c>
    </row>
    <row r="4" spans="1:19" x14ac:dyDescent="0.75">
      <c r="B4" s="47" t="s">
        <v>16</v>
      </c>
      <c r="C4" s="28" t="s">
        <v>1925</v>
      </c>
      <c r="D4" s="47" t="s">
        <v>1474</v>
      </c>
      <c r="E4" s="154" t="str">
        <f>'PatientFollowUp-ConceptMap-1'!E4</f>
        <v>http://hl7.eu/fhir/ig/idea4rc/StructureDefinition//Bundle-eu-i4rc</v>
      </c>
      <c r="F4" s="155"/>
      <c r="G4" s="155"/>
    </row>
    <row r="5" spans="1:19" x14ac:dyDescent="0.75">
      <c r="B5" s="47" t="s">
        <v>10</v>
      </c>
      <c r="C5" s="7" t="s">
        <v>1926</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C1&amp;"Condition-primaryCancer-eu-i4rc"</f>
        <v>http://hl7.eu/fhir/ig/idea4rc/StructureDefinition/Condition-primaryCancer-eu-i4rc</v>
      </c>
      <c r="F7" s="155"/>
      <c r="G7" s="155"/>
    </row>
    <row r="8" spans="1:19" ht="45" thickBot="1" x14ac:dyDescent="0.9">
      <c r="B8" s="47" t="s">
        <v>1477</v>
      </c>
      <c r="C8" s="7" t="s">
        <v>1926</v>
      </c>
      <c r="D8" s="47"/>
      <c r="E8" s="7"/>
      <c r="I8" s="12" t="s">
        <v>1289</v>
      </c>
      <c r="J8" s="12" t="s">
        <v>1290</v>
      </c>
      <c r="K8" s="12" t="s">
        <v>1291</v>
      </c>
      <c r="L8" s="12" t="s">
        <v>1292</v>
      </c>
      <c r="M8" s="11" t="s">
        <v>1293</v>
      </c>
      <c r="P8" s="34" t="s">
        <v>1328</v>
      </c>
      <c r="Q8" s="34">
        <v>6</v>
      </c>
    </row>
    <row r="9" spans="1:19" ht="30.25" thickBot="1" x14ac:dyDescent="0.9">
      <c r="B9" s="47" t="s">
        <v>1478</v>
      </c>
      <c r="C9" s="12" t="s">
        <v>1927</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2429</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2283</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2291</v>
      </c>
      <c r="E19" s="12"/>
      <c r="F19" s="49" t="s">
        <v>1316</v>
      </c>
      <c r="G19" s="77" t="s">
        <v>2292</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2283</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1925</v>
      </c>
      <c r="D3" s="47" t="s">
        <v>1473</v>
      </c>
      <c r="E3" s="71" t="str">
        <f>$C$1&amp;B14</f>
        <v>http://hl7.eu/fhir/ig/idea4rc/StructureDefinition/PatientFollowUp</v>
      </c>
    </row>
    <row r="4" spans="1:19" x14ac:dyDescent="0.75">
      <c r="B4" s="47" t="s">
        <v>16</v>
      </c>
      <c r="C4" s="28" t="s">
        <v>1925</v>
      </c>
      <c r="D4" s="47" t="s">
        <v>1474</v>
      </c>
      <c r="E4" s="154" t="str">
        <f>'PatientFollowUp-ConceptMap-1'!E4</f>
        <v>http://hl7.eu/fhir/ig/idea4rc/StructureDefinition//Bundle-eu-i4rc</v>
      </c>
      <c r="F4" s="155"/>
      <c r="G4" s="155"/>
    </row>
    <row r="5" spans="1:19" x14ac:dyDescent="0.75">
      <c r="B5" s="47" t="s">
        <v>10</v>
      </c>
      <c r="C5" s="7" t="s">
        <v>1926</v>
      </c>
      <c r="D5" s="47"/>
      <c r="E5" s="7"/>
    </row>
    <row r="6" spans="1:19" x14ac:dyDescent="0.75">
      <c r="B6" s="47" t="s">
        <v>18</v>
      </c>
      <c r="C6" s="41"/>
      <c r="D6" s="47" t="s">
        <v>1475</v>
      </c>
      <c r="E6" s="154" t="str">
        <f>E3</f>
        <v>http://hl7.eu/fhir/ig/idea4rc/StructureDefinition/PatientFollowUp</v>
      </c>
      <c r="F6" s="155"/>
      <c r="G6" s="155"/>
    </row>
    <row r="7" spans="1:19" x14ac:dyDescent="0.75">
      <c r="B7" s="47" t="s">
        <v>15</v>
      </c>
      <c r="C7" s="72"/>
      <c r="D7" s="47" t="s">
        <v>1476</v>
      </c>
      <c r="E7" s="154" t="str">
        <f>C1&amp;"observation-lastFollowupStatus-eu-i4rc"</f>
        <v>http://hl7.eu/fhir/ig/idea4rc/StructureDefinition/observation-lastFollowupStatus-eu-i4rc</v>
      </c>
      <c r="F7" s="155"/>
      <c r="G7" s="155"/>
    </row>
    <row r="8" spans="1:19" ht="45" thickBot="1" x14ac:dyDescent="0.9">
      <c r="B8" s="47" t="s">
        <v>1477</v>
      </c>
      <c r="C8" s="7" t="s">
        <v>1926</v>
      </c>
      <c r="D8" s="47"/>
      <c r="E8" s="7"/>
      <c r="I8" s="12" t="s">
        <v>1289</v>
      </c>
      <c r="J8" s="12" t="s">
        <v>1290</v>
      </c>
      <c r="K8" s="12" t="s">
        <v>1291</v>
      </c>
      <c r="L8" s="12" t="s">
        <v>1292</v>
      </c>
      <c r="M8" s="11" t="s">
        <v>1293</v>
      </c>
      <c r="P8" s="34" t="s">
        <v>1328</v>
      </c>
      <c r="Q8" s="34">
        <v>6</v>
      </c>
    </row>
    <row r="9" spans="1:19" ht="30.25" thickBot="1" x14ac:dyDescent="0.9">
      <c r="B9" s="47" t="s">
        <v>1478</v>
      </c>
      <c r="C9" s="12" t="s">
        <v>1927</v>
      </c>
      <c r="D9" s="92"/>
      <c r="E9" s="156"/>
      <c r="F9" s="157"/>
      <c r="G9" s="158"/>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1855</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I49" zoomScaleNormal="100" workbookViewId="0">
      <selection activeCell="R8" sqref="R8:R65"/>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2075</v>
      </c>
      <c r="J7" s="118" t="s">
        <v>2076</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1">IF(H9="",IF(L9="*  ..  ##34###34# ##334###334#",L9,""),IF(L9="*  ..  ##34###34# ##334###334#",L9,CONCATENATE("* ",B9," ^comment = ##334#",H9,"##334#")))</f>
        <v/>
      </c>
      <c r="P9" s="12" t="str">
        <f t="shared" ref="P9:P65" si="2">IF(I9,IF(L9="*  ..  ##34###34# ##334###334#",L9,CONCATENATE("* ",B9," insert ObligationActorAndCode($actor-headneck, #handle)")),IF(L9="*  ..  ##34###34# ##334###334#",L9,""))</f>
        <v>* dateOfDiagnosis insert ObligationActorAndCode($actor-headneck, #handle)</v>
      </c>
      <c r="R9" s="12" t="str">
        <f t="shared" ref="R9:R65" si="3">IF(J9,IF(L9="*  ..  ##34###34# ##334###334#",L9,CONCATENATE("* ",B9," insert ObligationActorAndCode($actor-sarcoma-i4rc, #handle)")),IF(L9="*  ..  ##34###34# ##334###334#",L9,""))</f>
        <v>* dateOfDiagnosis insert ObligationActorAndCode($actor-sarcoma-i4rc, #handle)</v>
      </c>
    </row>
    <row r="10" spans="1:18" ht="177" x14ac:dyDescent="0.75">
      <c r="A10" s="11">
        <v>2</v>
      </c>
      <c r="B10" t="s">
        <v>1989</v>
      </c>
      <c r="C10" t="s">
        <v>1990</v>
      </c>
      <c r="D10" s="2" t="s">
        <v>1991</v>
      </c>
      <c r="E10" s="11">
        <v>1</v>
      </c>
      <c r="F10" s="11">
        <v>1</v>
      </c>
      <c r="G10" s="12" t="s">
        <v>1468</v>
      </c>
      <c r="H10" s="2" t="s">
        <v>2069</v>
      </c>
      <c r="I10" s="12" t="b">
        <v>0</v>
      </c>
      <c r="J10" s="12" t="b">
        <v>1</v>
      </c>
      <c r="K10" s="25"/>
      <c r="L10" s="12" t="str">
        <f t="shared" si="0"/>
        <v>* typeOfBiopsy 1..1 CodeableConcept ##34#Type of biopsy##34# ##334#Type of biopsy performed##334#</v>
      </c>
      <c r="N10" s="12" t="str">
        <f t="shared" si="1"/>
        <v>* typeOfBiopsy ^comment = ##334#FNA
core-trcut
incisional
excisional
unplanned excision
Fine needle biopsy - 4171863
Core needle biopsy - 4321878
Incisional biopsy - 4321986
Excisional biopsy - 4228202
Excision - 4279903
##334#</v>
      </c>
      <c r="P10" s="12" t="str">
        <f t="shared" si="2"/>
        <v/>
      </c>
      <c r="R10" s="12" t="str">
        <f t="shared" si="3"/>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0"/>
        <v>* biopsyDoneBy 1..1 CodeableConcept ##34#Biopsy done by##34# ##334#Describes the institution where diagnostic procedure was performed##334#</v>
      </c>
      <c r="N11" s="12" t="str">
        <f t="shared" si="1"/>
        <v/>
      </c>
      <c r="P11" s="12" t="str">
        <f t="shared" si="2"/>
        <v>* biopsyDoneBy insert ObligationActorAndCode($actor-headneck, #handle)</v>
      </c>
      <c r="R11" s="12" t="str">
        <f t="shared" si="3"/>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0"/>
        <v>* ageAtDiagnosis 1..1 integer  ##34#Age at diagnosis##34# ##334#Age of the patient at the time of the diagnosis.##334#</v>
      </c>
      <c r="N12" s="12" t="str">
        <f t="shared" si="1"/>
        <v/>
      </c>
      <c r="P12" s="12" t="str">
        <f t="shared" si="2"/>
        <v>* ageAtDiagnosis insert ObligationActorAndCode($actor-headneck, #handle)</v>
      </c>
      <c r="R12" s="12" t="str">
        <f t="shared" si="3"/>
        <v>* ageAtDiagnosis insert ObligationActorAndCode($actor-sarcoma-i4rc, #handle)</v>
      </c>
    </row>
    <row r="13" spans="1:18" ht="73.75" x14ac:dyDescent="0.75">
      <c r="A13" s="11">
        <v>5</v>
      </c>
      <c r="B13" t="s">
        <v>1992</v>
      </c>
      <c r="C13" t="s">
        <v>1993</v>
      </c>
      <c r="D13" s="2" t="s">
        <v>1994</v>
      </c>
      <c r="E13" s="11">
        <v>1</v>
      </c>
      <c r="F13" s="11">
        <v>1</v>
      </c>
      <c r="G13" s="12" t="s">
        <v>44</v>
      </c>
      <c r="H13" s="2" t="s">
        <v>2070</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1"/>
        <v>* radiotherapyInducedSarcoma ^comment = ##334#Radiation therapy induced change
Radiation therapy induced change - 37117814
##334#</v>
      </c>
      <c r="P13" s="12" t="str">
        <f t="shared" si="2"/>
        <v/>
      </c>
      <c r="R13" s="12" t="str">
        <f t="shared" si="3"/>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2071</v>
      </c>
      <c r="I14" s="12" t="b">
        <v>1</v>
      </c>
      <c r="J14" s="12" t="b">
        <v>1</v>
      </c>
      <c r="K14" s="25"/>
      <c r="L14" s="12" t="str">
        <f t="shared" si="0"/>
        <v>* grading 0..1 CodeableConcept ##34#Grading##34# ##334#Grading of the cancer##334#</v>
      </c>
      <c r="N14" s="12" t="str">
        <f t="shared" si="1"/>
        <v>* grading ^comment = ##334#1
2
3
high
low
Grade-1 - 1634371
Grade-2 - 1634752
Grade-3 - 1633749
Grade-H - 1635587
Grade-L - 1634085##334#</v>
      </c>
      <c r="P14" s="12" t="str">
        <f t="shared" si="2"/>
        <v>* grading insert ObligationActorAndCode($actor-headneck, #handle)</v>
      </c>
      <c r="R14" s="12" t="str">
        <f t="shared" si="3"/>
        <v>* grading insert ObligationActorAndCode($actor-sarcoma-i4rc, #handle)</v>
      </c>
    </row>
    <row r="15" spans="1:18" s="61" customFormat="1" ht="29.5" x14ac:dyDescent="0.75">
      <c r="A15" s="11">
        <v>7</v>
      </c>
      <c r="B15" s="6" t="s">
        <v>2095</v>
      </c>
      <c r="C15" s="4" t="s">
        <v>2096</v>
      </c>
      <c r="D15" s="4" t="s">
        <v>2096</v>
      </c>
      <c r="E15" s="6">
        <v>1</v>
      </c>
      <c r="F15" s="6">
        <v>1</v>
      </c>
      <c r="G15" s="4" t="s">
        <v>1</v>
      </c>
      <c r="H15" s="4" t="s">
        <v>2072</v>
      </c>
      <c r="I15" s="12" t="b">
        <v>1</v>
      </c>
      <c r="J15" s="12" t="b">
        <v>1</v>
      </c>
      <c r="K15" s="121"/>
      <c r="L15" s="12" t="str">
        <f t="shared" si="0"/>
        <v>* hnClassification 1..1 BackboneElement ##34#Classification for Head and Neck tumors##34# ##334#Classification for Head and Neck tumors##334#</v>
      </c>
      <c r="M15"/>
      <c r="N15" s="12" t="str">
        <f t="shared" si="1"/>
        <v>* hnClassification ^comment = ##334#Added to the model for grouping elements##334#</v>
      </c>
      <c r="P15" s="12" t="str">
        <f t="shared" si="2"/>
        <v>* hnClassification insert ObligationActorAndCode($actor-headneck, #handle)</v>
      </c>
      <c r="Q15"/>
      <c r="R15" s="12" t="str">
        <f t="shared" si="3"/>
        <v>* hnClassification insert ObligationActorAndCode($actor-sarcoma-i4rc, #handle)</v>
      </c>
    </row>
    <row r="16" spans="1:18" s="2" customFormat="1" ht="409.5" x14ac:dyDescent="0.75">
      <c r="A16" s="11">
        <v>8</v>
      </c>
      <c r="B16" s="11" t="s">
        <v>2097</v>
      </c>
      <c r="C16" s="12" t="s">
        <v>1354</v>
      </c>
      <c r="D16" s="12" t="s">
        <v>1355</v>
      </c>
      <c r="E16" s="11">
        <v>1</v>
      </c>
      <c r="F16" s="11">
        <v>1</v>
      </c>
      <c r="G16" s="12" t="s">
        <v>1468</v>
      </c>
      <c r="H16" s="2" t="s">
        <v>2050</v>
      </c>
      <c r="I16" s="12" t="b">
        <v>1</v>
      </c>
      <c r="J16" s="12" t="b">
        <v>1</v>
      </c>
      <c r="K16" s="25"/>
      <c r="L16" s="12" t="str">
        <f t="shared" si="0"/>
        <v>* hnClassification.histologySquamous 1..1 CodeableConcept ##34#Histology Squamous##34# ##334#Specifies the histological subgroup for squamous cancers##334#</v>
      </c>
      <c r="M16"/>
      <c r="N16" s="12" t="str">
        <f t="shared" si="1"/>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2"/>
        <v>* hnClassification.histologySquamous insert ObligationActorAndCode($actor-headneck, #handle)</v>
      </c>
      <c r="Q16"/>
      <c r="R16" s="12" t="str">
        <f t="shared" si="3"/>
        <v>* hnClassification.histologySquamous insert ObligationActorAndCode($actor-sarcoma-i4rc, #handle)</v>
      </c>
    </row>
    <row r="17" spans="1:18" s="2" customFormat="1" ht="409.5" x14ac:dyDescent="0.75">
      <c r="A17" s="11">
        <v>9</v>
      </c>
      <c r="B17" s="11" t="s">
        <v>2098</v>
      </c>
      <c r="C17" s="12" t="s">
        <v>1356</v>
      </c>
      <c r="D17" s="12" t="s">
        <v>1357</v>
      </c>
      <c r="E17" s="11">
        <v>1</v>
      </c>
      <c r="F17" s="11">
        <v>1</v>
      </c>
      <c r="G17" s="12" t="s">
        <v>1468</v>
      </c>
      <c r="H17" s="2" t="s">
        <v>2051</v>
      </c>
      <c r="I17" s="12" t="b">
        <v>1</v>
      </c>
      <c r="J17" s="12" t="b">
        <v>1</v>
      </c>
      <c r="K17" s="25"/>
      <c r="L17" s="12" t="str">
        <f t="shared" si="0"/>
        <v>* hnClassification.histologyAdenocarcinoma 1..1 CodeableConcept ##34#Histology Adenocarcinoma##34# ##334#Specifies the histological subgroup for adenocarcinomas##334#</v>
      </c>
      <c r="M17"/>
      <c r="N17" s="12" t="str">
        <f t="shared" si="1"/>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2"/>
        <v>* hnClassification.histologyAdenocarcinoma insert ObligationActorAndCode($actor-headneck, #handle)</v>
      </c>
      <c r="Q17"/>
      <c r="R17" s="12" t="str">
        <f t="shared" si="3"/>
        <v>* hnClassification.histologyAdenocarcinoma insert ObligationActorAndCode($actor-sarcoma-i4rc, #handle)</v>
      </c>
    </row>
    <row r="18" spans="1:18" s="2" customFormat="1" ht="250.75" x14ac:dyDescent="0.75">
      <c r="A18" s="11">
        <v>10</v>
      </c>
      <c r="B18" s="11" t="s">
        <v>2099</v>
      </c>
      <c r="C18" s="12" t="s">
        <v>1358</v>
      </c>
      <c r="D18" s="12" t="s">
        <v>1359</v>
      </c>
      <c r="E18" s="11">
        <v>1</v>
      </c>
      <c r="F18" s="11">
        <v>1</v>
      </c>
      <c r="G18" s="12" t="s">
        <v>1468</v>
      </c>
      <c r="H18" s="2" t="s">
        <v>2052</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1"/>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2"/>
        <v>* hnClassification.histologyNeuroendocrine insert ObligationActorAndCode($actor-headneck, #handle)</v>
      </c>
      <c r="Q18"/>
      <c r="R18" s="12" t="str">
        <f t="shared" si="3"/>
        <v>* hnClassification.histologyNeuroendocrine insert ObligationActorAndCode($actor-sarcoma-i4rc, #handle)</v>
      </c>
    </row>
    <row r="19" spans="1:18" s="2" customFormat="1" ht="295" x14ac:dyDescent="0.75">
      <c r="A19" s="11">
        <v>11</v>
      </c>
      <c r="B19" s="11" t="s">
        <v>2100</v>
      </c>
      <c r="C19" s="12" t="s">
        <v>1360</v>
      </c>
      <c r="D19" s="12" t="s">
        <v>1361</v>
      </c>
      <c r="E19" s="11">
        <v>1</v>
      </c>
      <c r="F19" s="11">
        <v>1</v>
      </c>
      <c r="G19" s="12" t="s">
        <v>1468</v>
      </c>
      <c r="H19" s="2" t="s">
        <v>2053</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1"/>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2"/>
        <v>* hnClassification.histologyOdontogenicCarcinoma insert ObligationActorAndCode($actor-headneck, #handle)</v>
      </c>
      <c r="Q19"/>
      <c r="R19" s="12" t="str">
        <f t="shared" si="3"/>
        <v>* hnClassification.histologyOdontogenicCarcinoma insert ObligationActorAndCode($actor-sarcoma-i4rc, #handle)</v>
      </c>
    </row>
    <row r="20" spans="1:18" s="2" customFormat="1" ht="103.25" x14ac:dyDescent="0.75">
      <c r="A20" s="3">
        <v>12</v>
      </c>
      <c r="B20" s="3" t="s">
        <v>2101</v>
      </c>
      <c r="C20" s="116" t="s">
        <v>1362</v>
      </c>
      <c r="D20" s="116" t="s">
        <v>1363</v>
      </c>
      <c r="E20" s="3">
        <v>1</v>
      </c>
      <c r="F20" s="3">
        <v>1</v>
      </c>
      <c r="G20" s="116" t="s">
        <v>1468</v>
      </c>
      <c r="H20" s="2" t="s">
        <v>2054</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1"/>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2"/>
        <v>* hnClassification.histologySNUC insert ObligationActorAndCode($actor-headneck, #handle)</v>
      </c>
      <c r="Q20"/>
      <c r="R20" s="12" t="str">
        <f t="shared" si="3"/>
        <v>* hnClassification.histologySNUC insert ObligationActorAndCode($actor-sarcoma-i4rc, #handle)</v>
      </c>
    </row>
    <row r="21" spans="1:18" s="12" customFormat="1" ht="206.5" x14ac:dyDescent="0.75">
      <c r="A21" s="11">
        <v>13</v>
      </c>
      <c r="B21" s="11" t="s">
        <v>2102</v>
      </c>
      <c r="C21" s="11" t="s">
        <v>1995</v>
      </c>
      <c r="D21" s="12" t="s">
        <v>1996</v>
      </c>
      <c r="E21" s="11">
        <v>1</v>
      </c>
      <c r="F21" s="11">
        <v>1</v>
      </c>
      <c r="G21" s="12" t="s">
        <v>1468</v>
      </c>
      <c r="H21" s="12" t="s">
        <v>2055</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1"/>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2"/>
        <v/>
      </c>
      <c r="Q21"/>
      <c r="R21" s="12" t="str">
        <f t="shared" si="3"/>
        <v>* hnClassification.adipocyticTumours insert ObligationActorAndCode($actor-sarcoma-i4rc, #handle)</v>
      </c>
    </row>
    <row r="22" spans="1:18" s="12" customFormat="1" ht="409.5" x14ac:dyDescent="0.75">
      <c r="A22" s="11">
        <v>14</v>
      </c>
      <c r="B22" s="11" t="s">
        <v>2103</v>
      </c>
      <c r="C22" s="11" t="s">
        <v>1997</v>
      </c>
      <c r="D22" s="73" t="s">
        <v>1997</v>
      </c>
      <c r="E22" s="11">
        <v>1</v>
      </c>
      <c r="F22" s="11">
        <v>1</v>
      </c>
      <c r="G22" s="12" t="s">
        <v>1468</v>
      </c>
      <c r="H22" s="12" t="s">
        <v>2056</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1"/>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2"/>
        <v/>
      </c>
      <c r="Q22"/>
      <c r="R22" s="12" t="str">
        <f t="shared" si="3"/>
        <v>* hnClassification.fmtTumours insert ObligationActorAndCode($actor-sarcoma-i4rc, #handle)</v>
      </c>
    </row>
    <row r="23" spans="1:18" s="12" customFormat="1" ht="162.25" x14ac:dyDescent="0.75">
      <c r="A23" s="11">
        <v>15</v>
      </c>
      <c r="B23" s="11" t="s">
        <v>2104</v>
      </c>
      <c r="C23" s="11" t="s">
        <v>1998</v>
      </c>
      <c r="D23" s="11" t="s">
        <v>1998</v>
      </c>
      <c r="E23" s="11">
        <v>1</v>
      </c>
      <c r="F23" s="11">
        <v>1</v>
      </c>
      <c r="G23" s="12" t="s">
        <v>1468</v>
      </c>
      <c r="H23" s="12" t="s">
        <v>2057</v>
      </c>
      <c r="I23" s="12" t="b">
        <v>0</v>
      </c>
      <c r="J23" s="12" t="b">
        <v>1</v>
      </c>
      <c r="K23" s="11"/>
      <c r="L23" s="12" t="str">
        <f t="shared" si="0"/>
        <v>* hnClassification.socalledFibrohistiocyticTumours 1..1 CodeableConcept ##34#Histology subgroup So-called fibrohistiocytic tumours
##34# ##334#Histology subgroup So-called fibrohistiocytic tumours
##334#</v>
      </c>
      <c r="M23" s="11"/>
      <c r="N23" s="12" t="str">
        <f t="shared" si="1"/>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2"/>
        <v/>
      </c>
      <c r="Q23"/>
      <c r="R23" s="12" t="str">
        <f t="shared" si="3"/>
        <v>* hnClassification.socalledFibrohistiocyticTumours insert ObligationActorAndCode($actor-sarcoma-i4rc, #handle)</v>
      </c>
    </row>
    <row r="24" spans="1:18" s="2" customFormat="1" ht="29.5" x14ac:dyDescent="0.75">
      <c r="A24" s="117" t="s">
        <v>2285</v>
      </c>
      <c r="B24" s="6" t="s">
        <v>2094</v>
      </c>
      <c r="C24" s="6" t="s">
        <v>2105</v>
      </c>
      <c r="D24" s="6" t="s">
        <v>2105</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1"/>
        <v/>
      </c>
      <c r="P24" s="12" t="str">
        <f t="shared" si="2"/>
        <v/>
      </c>
      <c r="Q24"/>
      <c r="R24" s="12" t="str">
        <f t="shared" si="3"/>
        <v>* sarcomaClassification insert ObligationActorAndCode($actor-sarcoma-i4rc, #handle)</v>
      </c>
    </row>
    <row r="25" spans="1:18" s="2" customFormat="1" ht="324.5" x14ac:dyDescent="0.75">
      <c r="A25" s="11">
        <v>16</v>
      </c>
      <c r="B25" s="11" t="s">
        <v>2106</v>
      </c>
      <c r="C25" s="11" t="s">
        <v>1999</v>
      </c>
      <c r="D25" s="11" t="s">
        <v>1999</v>
      </c>
      <c r="E25" s="11">
        <v>1</v>
      </c>
      <c r="F25" s="11">
        <v>1</v>
      </c>
      <c r="G25" s="12" t="s">
        <v>1468</v>
      </c>
      <c r="H25" s="2" t="s">
        <v>2058</v>
      </c>
      <c r="I25" s="12" t="b">
        <v>0</v>
      </c>
      <c r="J25" s="12" t="b">
        <v>1</v>
      </c>
      <c r="K25" s="11"/>
      <c r="L25" s="12" t="str">
        <f t="shared" si="0"/>
        <v>* sarcomaClassification.vascularTumours 1..1 CodeableConcept ##34#Vascular tumours ##34# ##334#Vascular tumours ##334#</v>
      </c>
      <c r="M25"/>
      <c r="N25" s="12" t="str">
        <f t="shared" si="1"/>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2"/>
        <v/>
      </c>
      <c r="Q25"/>
      <c r="R25" s="12" t="str">
        <f t="shared" si="3"/>
        <v>* sarcomaClassification.vascularTumours insert ObligationActorAndCode($actor-sarcoma-i4rc, #handle)</v>
      </c>
    </row>
    <row r="26" spans="1:18" s="2" customFormat="1" ht="73.75" x14ac:dyDescent="0.75">
      <c r="A26" s="11">
        <v>17</v>
      </c>
      <c r="B26" s="11" t="s">
        <v>2107</v>
      </c>
      <c r="C26" s="11" t="s">
        <v>2000</v>
      </c>
      <c r="D26" s="11" t="s">
        <v>2000</v>
      </c>
      <c r="E26" s="11">
        <v>1</v>
      </c>
      <c r="F26" s="11">
        <v>1</v>
      </c>
      <c r="G26" s="12" t="s">
        <v>1468</v>
      </c>
      <c r="H26" s="2" t="s">
        <v>2059</v>
      </c>
      <c r="I26" s="12" t="b">
        <v>0</v>
      </c>
      <c r="J26" s="12" t="b">
        <v>1</v>
      </c>
      <c r="K26" s="114"/>
      <c r="L26" s="12" t="str">
        <f t="shared" si="0"/>
        <v>* sarcomaClassification.pericyticPerivascularTumours 1..1 CodeableConcept ##34#Pericytic (perivascular) tumours
##34# ##334#Pericytic (perivascular) tumours
##334#</v>
      </c>
      <c r="M26"/>
      <c r="N26" s="12" t="str">
        <f t="shared" si="1"/>
        <v>* sarcomaClassification.pericyticPerivascularTumours ^comment = ##334#Glomus tumour NOS
Glomus tumour - 40571984
##334#</v>
      </c>
      <c r="P26" s="12" t="str">
        <f t="shared" si="2"/>
        <v/>
      </c>
      <c r="Q26"/>
      <c r="R26" s="12" t="str">
        <f t="shared" si="3"/>
        <v>* sarcomaClassification.pericyticPerivascularTumours insert ObligationActorAndCode($actor-sarcoma-i4rc, #handle)</v>
      </c>
    </row>
    <row r="27" spans="1:18" s="2" customFormat="1" ht="354" x14ac:dyDescent="0.75">
      <c r="A27" s="3">
        <v>18</v>
      </c>
      <c r="B27" s="11" t="s">
        <v>2108</v>
      </c>
      <c r="C27" s="11" t="s">
        <v>2001</v>
      </c>
      <c r="D27" s="11" t="s">
        <v>2001</v>
      </c>
      <c r="E27" s="11">
        <v>1</v>
      </c>
      <c r="F27" s="11">
        <v>1</v>
      </c>
      <c r="G27" s="12" t="s">
        <v>1468</v>
      </c>
      <c r="H27" s="2" t="s">
        <v>2060</v>
      </c>
      <c r="I27" s="12" t="b">
        <v>0</v>
      </c>
      <c r="J27" s="12" t="b">
        <v>1</v>
      </c>
      <c r="K27" s="25"/>
      <c r="L27" s="12" t="str">
        <f t="shared" si="0"/>
        <v>* sarcomaClassification.smoothMuscleTumours 1..1 CodeableConcept ##34#Smooth muscle tumours##34# ##334#Smooth muscle tumours##334#</v>
      </c>
      <c r="M27"/>
      <c r="N27" s="12" t="str">
        <f t="shared" si="1"/>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2"/>
        <v/>
      </c>
      <c r="Q27"/>
      <c r="R27" s="12" t="str">
        <f t="shared" si="3"/>
        <v>* sarcomaClassification.smoothMuscleTumours insert ObligationActorAndCode($actor-sarcoma-i4rc, #handle)</v>
      </c>
    </row>
    <row r="28" spans="1:18" s="2" customFormat="1" ht="191.75" x14ac:dyDescent="0.75">
      <c r="A28" s="11">
        <v>19</v>
      </c>
      <c r="B28" s="11" t="s">
        <v>2109</v>
      </c>
      <c r="C28" s="11" t="s">
        <v>2002</v>
      </c>
      <c r="D28" s="11" t="s">
        <v>2002</v>
      </c>
      <c r="E28" s="11">
        <v>1</v>
      </c>
      <c r="F28" s="11">
        <v>1</v>
      </c>
      <c r="G28" s="12" t="s">
        <v>1468</v>
      </c>
      <c r="H28" s="12" t="s">
        <v>2061</v>
      </c>
      <c r="I28" s="12" t="b">
        <v>0</v>
      </c>
      <c r="J28" s="12" t="b">
        <v>1</v>
      </c>
      <c r="K28" s="25"/>
      <c r="L28" s="12" t="str">
        <f t="shared" si="0"/>
        <v>* sarcomaClassification.skeletalMuscleTumours 1..1 CodeableConcept ##34#Skeletal muscle tumours##34# ##334#Skeletal muscle tumours##334#</v>
      </c>
      <c r="M28"/>
      <c r="N28" s="12" t="str">
        <f t="shared" si="1"/>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2"/>
        <v/>
      </c>
      <c r="Q28"/>
      <c r="R28" s="12" t="str">
        <f t="shared" si="3"/>
        <v>* sarcomaClassification.skeletalMuscleTumours insert ObligationActorAndCode($actor-sarcoma-i4rc, #handle)</v>
      </c>
    </row>
    <row r="29" spans="1:18" s="2" customFormat="1" ht="73.75" x14ac:dyDescent="0.75">
      <c r="A29" s="11">
        <v>20</v>
      </c>
      <c r="B29" s="11" t="s">
        <v>2110</v>
      </c>
      <c r="C29" s="11" t="s">
        <v>2003</v>
      </c>
      <c r="D29" s="11" t="s">
        <v>2003</v>
      </c>
      <c r="E29" s="11">
        <v>1</v>
      </c>
      <c r="F29" s="11">
        <v>1</v>
      </c>
      <c r="G29" s="12" t="s">
        <v>1468</v>
      </c>
      <c r="H29" s="12" t="s">
        <v>2062</v>
      </c>
      <c r="I29" s="12" t="b">
        <v>0</v>
      </c>
      <c r="J29" s="12" t="b">
        <v>1</v>
      </c>
      <c r="K29" s="113"/>
      <c r="L29" s="12" t="str">
        <f t="shared" si="0"/>
        <v>* sarcomaClassification.chondroOsseousTumours 1..1 CodeableConcept ##34#Chondro-osseous tumours
##34# ##334#Chondro-osseous tumours
##334#</v>
      </c>
      <c r="M29"/>
      <c r="N29" s="12" t="str">
        <f t="shared" si="1"/>
        <v>* sarcomaClassification.chondroOsseousTumours ^comment = ##334#Extraskeletal osteosarcoma
Extraskeletal osteosarcoma - 4298240
##334#</v>
      </c>
      <c r="P29" s="12" t="str">
        <f t="shared" si="2"/>
        <v/>
      </c>
      <c r="Q29"/>
      <c r="R29" s="12" t="str">
        <f t="shared" si="3"/>
        <v>* sarcomaClassification.chondroOsseousTumours insert ObligationActorAndCode($actor-sarcoma-i4rc, #handle)</v>
      </c>
    </row>
    <row r="30" spans="1:18" s="2" customFormat="1" ht="191.75" x14ac:dyDescent="0.75">
      <c r="A30" s="11">
        <v>21</v>
      </c>
      <c r="B30" s="11" t="s">
        <v>2111</v>
      </c>
      <c r="C30" s="11" t="s">
        <v>2004</v>
      </c>
      <c r="D30" s="11" t="s">
        <v>2004</v>
      </c>
      <c r="E30" s="11">
        <v>1</v>
      </c>
      <c r="F30" s="11">
        <v>1</v>
      </c>
      <c r="G30" s="12" t="s">
        <v>1468</v>
      </c>
      <c r="H30" s="12" t="s">
        <v>2063</v>
      </c>
      <c r="I30" s="12" t="b">
        <v>0</v>
      </c>
      <c r="J30" s="12" t="b">
        <v>1</v>
      </c>
      <c r="K30" s="11"/>
      <c r="L30" s="12" t="str">
        <f t="shared" si="0"/>
        <v>* sarcomaClassification.peripheralNerveSheathTumours 1..1 CodeableConcept ##34#Peripheral nerve sheath tumours##34# ##334#Peripheral nerve sheath tumours##334#</v>
      </c>
      <c r="M30"/>
      <c r="N30" s="12" t="str">
        <f t="shared" si="1"/>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2"/>
        <v/>
      </c>
      <c r="Q30"/>
      <c r="R30" s="12" t="str">
        <f t="shared" si="3"/>
        <v>* sarcomaClassification.peripheralNerveSheathTumours insert ObligationActorAndCode($actor-sarcoma-i4rc, #handle)</v>
      </c>
    </row>
    <row r="31" spans="1:18" s="2" customFormat="1" ht="409.5" x14ac:dyDescent="0.75">
      <c r="A31" s="11">
        <v>22</v>
      </c>
      <c r="B31" s="11" t="s">
        <v>2112</v>
      </c>
      <c r="C31" s="11" t="s">
        <v>2005</v>
      </c>
      <c r="D31" s="11" t="s">
        <v>2005</v>
      </c>
      <c r="E31" s="11">
        <v>1</v>
      </c>
      <c r="F31" s="11">
        <v>1</v>
      </c>
      <c r="G31" s="12" t="s">
        <v>1468</v>
      </c>
      <c r="H31" s="12" t="s">
        <v>2064</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1"/>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2"/>
        <v/>
      </c>
      <c r="Q31"/>
      <c r="R31" s="12" t="str">
        <f t="shared" si="3"/>
        <v>* sarcomaClassification.tumoursOfUncertainDifferentiation insert ObligationActorAndCode($actor-sarcoma-i4rc, #handle)</v>
      </c>
    </row>
    <row r="32" spans="1:18" s="2" customFormat="1" ht="162.25" x14ac:dyDescent="0.75">
      <c r="A32" s="11">
        <v>23</v>
      </c>
      <c r="B32" s="11" t="s">
        <v>2113</v>
      </c>
      <c r="C32" s="11" t="s">
        <v>2006</v>
      </c>
      <c r="D32" s="11" t="s">
        <v>2006</v>
      </c>
      <c r="E32" s="11">
        <v>1</v>
      </c>
      <c r="F32" s="11">
        <v>1</v>
      </c>
      <c r="G32" s="12" t="s">
        <v>1468</v>
      </c>
      <c r="H32" s="12" t="s">
        <v>2065</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1"/>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2"/>
        <v/>
      </c>
      <c r="Q32"/>
      <c r="R32" s="12" t="str">
        <f t="shared" si="3"/>
        <v>* sarcomaClassification.undifSmallRCelSarcBonAndSofTis insert ObligationActorAndCode($actor-sarcoma-i4rc, #handle)</v>
      </c>
    </row>
    <row r="33" spans="1:18" s="2" customFormat="1" ht="103.25" x14ac:dyDescent="0.75">
      <c r="A33" s="11">
        <v>24</v>
      </c>
      <c r="B33" s="11" t="s">
        <v>2114</v>
      </c>
      <c r="C33" s="11" t="s">
        <v>2007</v>
      </c>
      <c r="D33" s="11" t="s">
        <v>2007</v>
      </c>
      <c r="E33" s="11">
        <v>1</v>
      </c>
      <c r="F33" s="11">
        <v>1</v>
      </c>
      <c r="G33" s="12" t="s">
        <v>1468</v>
      </c>
      <c r="H33" s="12" t="s">
        <v>2066</v>
      </c>
      <c r="I33" s="12" t="b">
        <v>0</v>
      </c>
      <c r="J33" s="12" t="b">
        <v>1</v>
      </c>
      <c r="K33" s="11"/>
      <c r="L33" s="12" t="str">
        <f t="shared" si="0"/>
        <v>* sarcomaClassification.endStrAndRelatedTumours 1..1 CodeableConcept ##34#Endometrial stromal and related tumours##34# ##334#Endometrial stromal and related tumours##334#</v>
      </c>
      <c r="M33"/>
      <c r="N33" s="12" t="str">
        <f t="shared" si="1"/>
        <v>* sarcomaClassification.endStrAndRelatedTumours ^comment = ##334#Endometrial stromal sarcoma, high grade
Endometrial stromal sarcoma, low grade
Endometrial stromal sarcoma, high grade - 4290926
Endometrial stromal sarcoma, low grade - 4028557
##334#</v>
      </c>
      <c r="P33" s="12" t="str">
        <f t="shared" si="2"/>
        <v/>
      </c>
      <c r="Q33"/>
      <c r="R33" s="12" t="str">
        <f t="shared" si="3"/>
        <v>* sarcomaClassification.endStrAndRelatedTumours insert ObligationActorAndCode($actor-sarcoma-i4rc, #handle)</v>
      </c>
    </row>
    <row r="34" spans="1:18" s="2" customFormat="1" ht="368.75" x14ac:dyDescent="0.75">
      <c r="A34" s="11">
        <v>25</v>
      </c>
      <c r="B34" s="11" t="s">
        <v>2115</v>
      </c>
      <c r="C34" s="11" t="s">
        <v>2008</v>
      </c>
      <c r="D34" s="11" t="s">
        <v>2008</v>
      </c>
      <c r="E34" s="11">
        <v>1</v>
      </c>
      <c r="F34" s="11">
        <v>1</v>
      </c>
      <c r="G34" s="12" t="s">
        <v>1468</v>
      </c>
      <c r="H34" s="12" t="s">
        <v>2067</v>
      </c>
      <c r="I34" s="12" t="b">
        <v>0</v>
      </c>
      <c r="J34" s="12" t="b">
        <v>1</v>
      </c>
      <c r="K34" s="11"/>
      <c r="L34" s="12" t="str">
        <f t="shared" si="0"/>
        <v>* sarcomaClassification.miscellaniousMesenchimalTumors 1..1 CodeableConcept ##34#Miscellanious mesenchimal tumors##34# ##334#Miscellanious mesenchimal tumors##334#</v>
      </c>
      <c r="M34"/>
      <c r="N34" s="12" t="str">
        <f t="shared" si="1"/>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2"/>
        <v/>
      </c>
      <c r="Q34"/>
      <c r="R34" s="12" t="str">
        <f t="shared" si="3"/>
        <v>* sarcomaClassification.miscellaniousMesenchimalTumors insert ObligationActorAndCode($actor-sarcoma-i4rc, #handle)</v>
      </c>
    </row>
    <row r="35" spans="1:18" s="2" customFormat="1" ht="88.5" x14ac:dyDescent="0.75">
      <c r="A35" s="11">
        <v>26</v>
      </c>
      <c r="B35" s="11" t="s">
        <v>2116</v>
      </c>
      <c r="C35" s="11" t="s">
        <v>2009</v>
      </c>
      <c r="D35" s="11" t="s">
        <v>2009</v>
      </c>
      <c r="E35" s="11">
        <v>1</v>
      </c>
      <c r="F35" s="11">
        <v>1</v>
      </c>
      <c r="G35" s="12" t="s">
        <v>1468</v>
      </c>
      <c r="H35" s="12" t="s">
        <v>2068</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1"/>
        <v>* sarcomaClassification.mixedEpithelialAndMesenchymalTumours ^comment = ##334#Adenosarcoma; please clarify if adenosarcoma with sarcomatous overgrowth
Adenosarcoma - 4135215##334#</v>
      </c>
      <c r="P35" s="12" t="str">
        <f t="shared" si="2"/>
        <v/>
      </c>
      <c r="Q35"/>
      <c r="R35" s="12" t="str">
        <f t="shared" si="3"/>
        <v>* sarcomaClassification.mixedEpithelialAndMesenchymalTumours insert ObligationActorAndCode($actor-sarcoma-i4rc, #handle)</v>
      </c>
    </row>
    <row r="36" spans="1:18" s="2" customFormat="1" ht="29.5" x14ac:dyDescent="0.75">
      <c r="A36" s="11"/>
      <c r="B36" s="11" t="s">
        <v>2028</v>
      </c>
      <c r="C36" s="11" t="s">
        <v>2028</v>
      </c>
      <c r="D36" s="11" t="s">
        <v>2028</v>
      </c>
      <c r="E36" s="11">
        <v>1</v>
      </c>
      <c r="F36" s="112">
        <v>1</v>
      </c>
      <c r="G36" s="12" t="s">
        <v>1</v>
      </c>
      <c r="H36" s="12"/>
      <c r="I36" s="12" t="b">
        <v>1</v>
      </c>
      <c r="J36" s="12" t="b">
        <v>0</v>
      </c>
      <c r="K36" s="122"/>
      <c r="L36" s="12" t="str">
        <f t="shared" si="0"/>
        <v>* subsites 1..1 BackboneElement ##34#subsites##34# ##334#subsites##334#</v>
      </c>
      <c r="M36"/>
      <c r="N36" s="12" t="str">
        <f t="shared" si="1"/>
        <v/>
      </c>
      <c r="P36" s="12" t="str">
        <f t="shared" si="2"/>
        <v>* subsites insert ObligationActorAndCode($actor-headneck, #handle)</v>
      </c>
      <c r="Q36"/>
      <c r="R36" s="12" t="str">
        <f t="shared" si="3"/>
        <v/>
      </c>
    </row>
    <row r="37" spans="1:18" s="2" customFormat="1" ht="147.5" x14ac:dyDescent="0.75">
      <c r="A37" s="11">
        <v>27</v>
      </c>
      <c r="B37" s="11" t="s">
        <v>2118</v>
      </c>
      <c r="C37" s="12" t="s">
        <v>1364</v>
      </c>
      <c r="D37" s="12" t="s">
        <v>1365</v>
      </c>
      <c r="E37" s="11">
        <v>1</v>
      </c>
      <c r="F37" s="11">
        <v>1</v>
      </c>
      <c r="G37" s="12" t="s">
        <v>1468</v>
      </c>
      <c r="H37" s="12" t="s">
        <v>2034</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1"/>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2"/>
        <v>* subsites.nasalCavityAndParanasalSinuses insert ObligationActorAndCode($actor-headneck, #handle)</v>
      </c>
      <c r="Q37"/>
      <c r="R37" s="12" t="str">
        <f t="shared" si="3"/>
        <v/>
      </c>
    </row>
    <row r="38" spans="1:18" s="2" customFormat="1" ht="147.5" x14ac:dyDescent="0.75">
      <c r="A38" s="11">
        <v>28</v>
      </c>
      <c r="B38" s="11" t="s">
        <v>2119</v>
      </c>
      <c r="C38" s="12" t="s">
        <v>1366</v>
      </c>
      <c r="D38" s="12" t="s">
        <v>1367</v>
      </c>
      <c r="E38" s="11">
        <v>1</v>
      </c>
      <c r="F38" s="11">
        <v>1</v>
      </c>
      <c r="G38" s="12" t="s">
        <v>1468</v>
      </c>
      <c r="H38" s="12" t="s">
        <v>2035</v>
      </c>
      <c r="I38" s="12" t="b">
        <v>1</v>
      </c>
      <c r="J38" s="12" t="b">
        <v>0</v>
      </c>
      <c r="K38" s="11"/>
      <c r="L38" s="12" t="str">
        <f t="shared" si="0"/>
        <v>* subsites.nasopharynx 1..1 CodeableConcept ##34#Nasopharynx  subsite##34# ##334#Specifies the subsite for cancers occurred in nasopharynx##334#</v>
      </c>
      <c r="M38"/>
      <c r="N38" s="12" t="str">
        <f t="shared" si="1"/>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2"/>
        <v>* subsites.nasopharynx insert ObligationActorAndCode($actor-headneck, #handle)</v>
      </c>
      <c r="Q38"/>
      <c r="R38" s="12" t="str">
        <f t="shared" si="3"/>
        <v/>
      </c>
    </row>
    <row r="39" spans="1:18" s="2" customFormat="1" ht="162.25" x14ac:dyDescent="0.75">
      <c r="A39" s="46">
        <v>29</v>
      </c>
      <c r="B39" s="46" t="s">
        <v>2120</v>
      </c>
      <c r="C39" s="115" t="s">
        <v>1368</v>
      </c>
      <c r="D39" s="115" t="s">
        <v>1369</v>
      </c>
      <c r="E39" s="46">
        <v>1</v>
      </c>
      <c r="F39" s="46">
        <v>1</v>
      </c>
      <c r="G39" s="115" t="s">
        <v>1468</v>
      </c>
      <c r="H39" s="115" t="s">
        <v>2036</v>
      </c>
      <c r="I39" s="12" t="b">
        <v>1</v>
      </c>
      <c r="J39" s="12" t="b">
        <v>0</v>
      </c>
      <c r="K39" s="11"/>
      <c r="L39" s="12" t="str">
        <f t="shared" si="0"/>
        <v>* subsites.hypopharynx 1..1 CodeableConcept ##34#Hypopharynx subsite##34# ##334#Specifies the subsite for cancers occurred in hypopharynx##334#</v>
      </c>
      <c r="M39"/>
      <c r="N39" s="12" t="str">
        <f t="shared" si="1"/>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2"/>
        <v>* subsites.hypopharynx insert ObligationActorAndCode($actor-headneck, #handle)</v>
      </c>
      <c r="Q39"/>
      <c r="R39" s="12" t="str">
        <f t="shared" si="3"/>
        <v/>
      </c>
    </row>
    <row r="40" spans="1:18" s="2" customFormat="1" ht="398.25" x14ac:dyDescent="0.75">
      <c r="A40" s="11">
        <v>30</v>
      </c>
      <c r="B40" s="11" t="s">
        <v>2121</v>
      </c>
      <c r="C40" s="12" t="s">
        <v>1370</v>
      </c>
      <c r="D40" s="12" t="s">
        <v>1371</v>
      </c>
      <c r="E40" s="11">
        <v>1</v>
      </c>
      <c r="F40" s="11">
        <v>1</v>
      </c>
      <c r="G40" s="12" t="s">
        <v>1468</v>
      </c>
      <c r="H40" s="12" t="s">
        <v>2037</v>
      </c>
      <c r="I40" s="12" t="b">
        <v>1</v>
      </c>
      <c r="J40" s="12" t="b">
        <v>0</v>
      </c>
      <c r="K40" s="11"/>
      <c r="L40" s="12" t="str">
        <f t="shared" si="0"/>
        <v>* subsites.oropharynx 1..1 CodeableConcept ##34#Oropharynx subsite##34# ##334#Specifies the subsite for cancers occurred in oropharynx##334#</v>
      </c>
      <c r="M40"/>
      <c r="N40" s="12" t="str">
        <f t="shared" si="1"/>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2"/>
        <v>* subsites.oropharynx insert ObligationActorAndCode($actor-headneck, #handle)</v>
      </c>
      <c r="Q40"/>
      <c r="R40" s="12" t="str">
        <f t="shared" si="3"/>
        <v/>
      </c>
    </row>
    <row r="41" spans="1:18" s="2" customFormat="1" ht="132.75" x14ac:dyDescent="0.75">
      <c r="A41" s="11">
        <v>31</v>
      </c>
      <c r="B41" s="11" t="s">
        <v>2122</v>
      </c>
      <c r="C41" s="12" t="s">
        <v>1372</v>
      </c>
      <c r="D41" s="12" t="s">
        <v>1373</v>
      </c>
      <c r="E41" s="11">
        <v>1</v>
      </c>
      <c r="F41" s="11">
        <v>1</v>
      </c>
      <c r="G41" s="12" t="s">
        <v>1468</v>
      </c>
      <c r="H41" s="12" t="s">
        <v>2038</v>
      </c>
      <c r="I41" s="12" t="b">
        <v>1</v>
      </c>
      <c r="J41" s="12" t="b">
        <v>0</v>
      </c>
      <c r="K41" s="11"/>
      <c r="L41" s="12" t="str">
        <f t="shared" si="0"/>
        <v>* subsites.larynx 1..1 CodeableConcept ##34#Larynx subsite##34# ##334#Specifies the subsite for cancers occurred in larynx##334#</v>
      </c>
      <c r="M41"/>
      <c r="N41" s="12" t="str">
        <f t="shared" si="1"/>
        <v>* subsites.larynx ^comment = ##334#AJCC 8th Edition Cancer Staging Manual
Glottis;Supraglottis;Subglottis;Laryngeal cartilage
Glottis - 4047227
Supraglottis - 4001049
Subglottis - 4002724
Laryngeal cartilage - 4279711
##334#</v>
      </c>
      <c r="P41" s="12" t="str">
        <f t="shared" si="2"/>
        <v>* subsites.larynx insert ObligationActorAndCode($actor-headneck, #handle)</v>
      </c>
      <c r="Q41"/>
      <c r="R41" s="12" t="str">
        <f t="shared" si="3"/>
        <v/>
      </c>
    </row>
    <row r="42" spans="1:18" s="2" customFormat="1" ht="409.5" x14ac:dyDescent="0.75">
      <c r="A42" s="11">
        <v>32</v>
      </c>
      <c r="B42" s="11" t="s">
        <v>2123</v>
      </c>
      <c r="C42" s="12" t="s">
        <v>1374</v>
      </c>
      <c r="D42" s="12" t="s">
        <v>1375</v>
      </c>
      <c r="E42" s="11">
        <v>1</v>
      </c>
      <c r="F42" s="11">
        <v>1</v>
      </c>
      <c r="G42" s="12" t="s">
        <v>1468</v>
      </c>
      <c r="H42" s="12" t="s">
        <v>2039</v>
      </c>
      <c r="I42" s="12" t="b">
        <v>1</v>
      </c>
      <c r="J42" s="12" t="b">
        <v>0</v>
      </c>
      <c r="K42" s="11"/>
      <c r="L42" s="12" t="str">
        <f t="shared" si="0"/>
        <v>* subsites.oralCavity 1..1 CodeableConcept ##34#Oral cavity subsite##34# ##334#Specifies the subsite for cancers occurred in oral cavity##334#</v>
      </c>
      <c r="M42"/>
      <c r="N42" s="12" t="str">
        <f t="shared" si="1"/>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2"/>
        <v>* subsites.oralCavity insert ObligationActorAndCode($actor-headneck, #handle)</v>
      </c>
      <c r="Q42"/>
      <c r="R42" s="12" t="str">
        <f t="shared" si="3"/>
        <v/>
      </c>
    </row>
    <row r="43" spans="1:18" s="2" customFormat="1" ht="191.75" x14ac:dyDescent="0.75">
      <c r="A43" s="11">
        <v>33</v>
      </c>
      <c r="B43" s="11" t="s">
        <v>2124</v>
      </c>
      <c r="C43" s="12" t="s">
        <v>1376</v>
      </c>
      <c r="D43" s="12" t="s">
        <v>1377</v>
      </c>
      <c r="E43" s="11">
        <v>1</v>
      </c>
      <c r="F43" s="11">
        <v>1</v>
      </c>
      <c r="G43" s="12" t="s">
        <v>1468</v>
      </c>
      <c r="H43" s="12" t="s">
        <v>2040</v>
      </c>
      <c r="I43" s="12" t="b">
        <v>1</v>
      </c>
      <c r="J43" s="12" t="b">
        <v>0</v>
      </c>
      <c r="K43" s="11"/>
      <c r="L43" s="12" t="str">
        <f t="shared" si="0"/>
        <v>* subsites.lip 1..1 CodeableConcept ##34#Lip subsite##34# ##334#Specifies the subsite for cancers occurred in lip##334#</v>
      </c>
      <c r="M43"/>
      <c r="N43" s="12" t="str">
        <f t="shared" si="1"/>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2"/>
        <v>* subsites.lip insert ObligationActorAndCode($actor-headneck, #handle)</v>
      </c>
      <c r="Q43"/>
      <c r="R43" s="12" t="str">
        <f t="shared" si="3"/>
        <v/>
      </c>
    </row>
    <row r="44" spans="1:18" s="2" customFormat="1" ht="409.5" x14ac:dyDescent="0.75">
      <c r="A44" s="11">
        <v>34</v>
      </c>
      <c r="B44" s="11" t="s">
        <v>2125</v>
      </c>
      <c r="C44" s="11" t="s">
        <v>2010</v>
      </c>
      <c r="D44" s="12" t="s">
        <v>2011</v>
      </c>
      <c r="E44" s="11">
        <v>1</v>
      </c>
      <c r="F44" s="11">
        <v>1</v>
      </c>
      <c r="G44" s="12" t="s">
        <v>1468</v>
      </c>
      <c r="H44" s="12" t="s">
        <v>2041</v>
      </c>
      <c r="I44" s="12" t="b">
        <v>0</v>
      </c>
      <c r="J44" s="12" t="b">
        <v>1</v>
      </c>
      <c r="K44" s="11"/>
      <c r="L44" s="12" t="str">
        <f t="shared" si="0"/>
        <v>* subsites.upperAndLowerLimbs 1..1 CodeableConcept ##34#Upper and Lower limbs subsite##34# ##334#Specifies the subsite for cancers occurred in##334#</v>
      </c>
      <c r="M44"/>
      <c r="N44" s="12" t="str">
        <f t="shared" si="1"/>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2"/>
        <v/>
      </c>
      <c r="Q44"/>
      <c r="R44" s="12" t="str">
        <f t="shared" si="3"/>
        <v>* subsites.upperAndLowerLimbs insert ObligationActorAndCode($actor-sarcoma-i4rc, #handle)</v>
      </c>
    </row>
    <row r="45" spans="1:18" s="2" customFormat="1" ht="162.25" x14ac:dyDescent="0.75">
      <c r="A45" s="11">
        <v>35</v>
      </c>
      <c r="B45" s="11" t="s">
        <v>2029</v>
      </c>
      <c r="C45" s="11" t="s">
        <v>2012</v>
      </c>
      <c r="D45" s="12" t="s">
        <v>2011</v>
      </c>
      <c r="E45" s="11">
        <v>1</v>
      </c>
      <c r="F45" s="11">
        <v>1</v>
      </c>
      <c r="G45" s="12" t="s">
        <v>1468</v>
      </c>
      <c r="H45" s="12" t="s">
        <v>2042</v>
      </c>
      <c r="I45" s="12" t="b">
        <v>0</v>
      </c>
      <c r="J45" s="12" t="b">
        <v>1</v>
      </c>
      <c r="K45" s="11"/>
      <c r="L45" s="12" t="str">
        <f t="shared" si="0"/>
        <v>* subsites.trunkWallSubsite 1..1 CodeableConcept ##34#Trunk wall subsite##34# ##334#Specifies the subsite for cancers occurred in##334#</v>
      </c>
      <c r="M45"/>
      <c r="N45" s="12" t="str">
        <f t="shared" si="1"/>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2"/>
        <v/>
      </c>
      <c r="Q45"/>
      <c r="R45" s="12" t="str">
        <f t="shared" si="3"/>
        <v>* subsites.trunkWallSubsite insert ObligationActorAndCode($actor-sarcoma-i4rc, #handle)</v>
      </c>
    </row>
    <row r="46" spans="1:18" s="2" customFormat="1" ht="409.5" x14ac:dyDescent="0.75">
      <c r="A46" s="11">
        <v>36</v>
      </c>
      <c r="B46" s="11" t="s">
        <v>2030</v>
      </c>
      <c r="C46" s="11" t="s">
        <v>2013</v>
      </c>
      <c r="D46" s="12" t="s">
        <v>2011</v>
      </c>
      <c r="E46" s="11">
        <v>1</v>
      </c>
      <c r="F46" s="11">
        <v>1</v>
      </c>
      <c r="G46" s="12" t="s">
        <v>1468</v>
      </c>
      <c r="H46" s="12" t="s">
        <v>2043</v>
      </c>
      <c r="I46" s="12" t="b">
        <v>0</v>
      </c>
      <c r="J46" s="12" t="b">
        <v>1</v>
      </c>
      <c r="K46" s="11"/>
      <c r="L46" s="12" t="str">
        <f t="shared" si="0"/>
        <v>* subsites.intraAbdominalSubsite 1..1 CodeableConcept ##34#Intra abdominal subsite##34# ##334#Specifies the subsite for cancers occurred in##334#</v>
      </c>
      <c r="M46"/>
      <c r="N46" s="12" t="str">
        <f t="shared" si="1"/>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2"/>
        <v/>
      </c>
      <c r="Q46"/>
      <c r="R46" s="12" t="str">
        <f t="shared" si="3"/>
        <v>* subsites.intraAbdominalSubsite insert ObligationActorAndCode($actor-sarcoma-i4rc, #handle)</v>
      </c>
    </row>
    <row r="47" spans="1:18" s="2" customFormat="1" ht="265.5" x14ac:dyDescent="0.75">
      <c r="A47" s="11">
        <v>37</v>
      </c>
      <c r="B47" s="11" t="s">
        <v>2031</v>
      </c>
      <c r="C47" s="11" t="s">
        <v>2014</v>
      </c>
      <c r="D47" s="12" t="s">
        <v>2011</v>
      </c>
      <c r="E47" s="11">
        <v>1</v>
      </c>
      <c r="F47" s="11">
        <v>1</v>
      </c>
      <c r="G47" s="12" t="s">
        <v>1468</v>
      </c>
      <c r="H47" s="12" t="s">
        <v>2044</v>
      </c>
      <c r="I47" s="12" t="b">
        <v>0</v>
      </c>
      <c r="J47" s="12" t="b">
        <v>1</v>
      </c>
      <c r="K47" s="11"/>
      <c r="L47" s="12" t="str">
        <f t="shared" si="0"/>
        <v>* subsites.intraThoracicSubsite 1..1 CodeableConcept ##34#Intra thoracic subsite##34# ##334#Specifies the subsite for cancers occurred in##334#</v>
      </c>
      <c r="M47"/>
      <c r="N47" s="12" t="str">
        <f t="shared" si="1"/>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2"/>
        <v/>
      </c>
      <c r="Q47"/>
      <c r="R47" s="12" t="str">
        <f t="shared" si="3"/>
        <v>* subsites.intraThoracicSubsite insert ObligationActorAndCode($actor-sarcoma-i4rc, #handle)</v>
      </c>
    </row>
    <row r="48" spans="1:18" s="2" customFormat="1" ht="409.5" x14ac:dyDescent="0.75">
      <c r="A48" s="11">
        <v>38</v>
      </c>
      <c r="B48" s="11" t="s">
        <v>2032</v>
      </c>
      <c r="C48" s="11" t="s">
        <v>2015</v>
      </c>
      <c r="D48" s="12" t="s">
        <v>2011</v>
      </c>
      <c r="E48" s="11">
        <v>1</v>
      </c>
      <c r="F48" s="11">
        <v>1</v>
      </c>
      <c r="G48" s="12" t="s">
        <v>1468</v>
      </c>
      <c r="H48" s="12" t="s">
        <v>2424</v>
      </c>
      <c r="I48" s="12" t="b">
        <v>0</v>
      </c>
      <c r="J48" s="12" t="b">
        <v>1</v>
      </c>
      <c r="K48" s="11"/>
      <c r="L48" s="12" t="str">
        <f t="shared" si="0"/>
        <v>* subsites.genitoUrinarySubsite 1..1 CodeableConcept ##34#Genito urinary subsite##34# ##334#Specifies the subsite for cancers occurred in##334#</v>
      </c>
      <c r="M48"/>
      <c r="N48" s="12" t="str">
        <f t="shared" si="1"/>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2"/>
        <v/>
      </c>
      <c r="Q48"/>
      <c r="R48" s="12" t="str">
        <f t="shared" si="3"/>
        <v>* subsites.genitoUrinarySubsite insert ObligationActorAndCode($actor-sarcoma-i4rc, #handle)</v>
      </c>
    </row>
    <row r="49" spans="1:18" s="2" customFormat="1" ht="44.25" x14ac:dyDescent="0.75">
      <c r="A49" s="11">
        <v>39</v>
      </c>
      <c r="B49" s="11" t="s">
        <v>2033</v>
      </c>
      <c r="C49" s="11" t="s">
        <v>2016</v>
      </c>
      <c r="D49" s="12" t="s">
        <v>2011</v>
      </c>
      <c r="E49" s="11">
        <v>1</v>
      </c>
      <c r="F49" s="11">
        <v>1</v>
      </c>
      <c r="G49" s="12" t="s">
        <v>1468</v>
      </c>
      <c r="H49" s="12" t="s">
        <v>2045</v>
      </c>
      <c r="I49" s="12" t="b">
        <v>0</v>
      </c>
      <c r="J49" s="12" t="b">
        <v>1</v>
      </c>
      <c r="K49" s="11"/>
      <c r="L49" s="12" t="str">
        <f t="shared" si="0"/>
        <v>* subsites.headAndNeckSubsite 1..1 CodeableConcept ##34#Head and Neck subsite##34# ##334#Specifies the subsite for cancers occurred in##334#</v>
      </c>
      <c r="M49"/>
      <c r="N49" s="12" t="str">
        <f t="shared" si="1"/>
        <v>* subsites.headAndNeckSubsite ^comment = ##334#Head and neck
Face and/or neck structure - 4122633##334#</v>
      </c>
      <c r="P49" s="12" t="str">
        <f t="shared" si="2"/>
        <v/>
      </c>
      <c r="Q49"/>
      <c r="R49" s="12" t="str">
        <f t="shared" si="3"/>
        <v>* subsites.headAndNeckSubsite insert ObligationActorAndCode($actor-sarcoma-i4rc, #handle)</v>
      </c>
    </row>
    <row r="50" spans="1:18" s="2" customFormat="1" ht="29.5" x14ac:dyDescent="0.75">
      <c r="A50" s="11">
        <v>40</v>
      </c>
      <c r="B50" s="11" t="s">
        <v>2286</v>
      </c>
      <c r="C50" s="11" t="s">
        <v>2017</v>
      </c>
      <c r="D50" s="12" t="s">
        <v>2011</v>
      </c>
      <c r="E50" s="11">
        <v>1</v>
      </c>
      <c r="F50" s="11">
        <v>1</v>
      </c>
      <c r="G50" s="12" t="s">
        <v>1468</v>
      </c>
      <c r="H50" s="12" t="s">
        <v>2046</v>
      </c>
      <c r="I50" s="12" t="b">
        <v>0</v>
      </c>
      <c r="J50" s="12" t="b">
        <v>1</v>
      </c>
      <c r="K50" s="11"/>
      <c r="L50" s="12" t="str">
        <f t="shared" si="0"/>
        <v>* subsites.breast 1..1 CodeableConcept ##34#Breast subsite##34# ##334#Specifies the subsite for cancers occurred in##334#</v>
      </c>
      <c r="M50"/>
      <c r="N50" s="12" t="str">
        <f t="shared" si="1"/>
        <v>* subsites.breast ^comment = ##334#Breast
Breast structure - 4298444##334#</v>
      </c>
      <c r="P50" s="12" t="str">
        <f t="shared" si="2"/>
        <v/>
      </c>
      <c r="Q50"/>
      <c r="R50" s="12" t="str">
        <f t="shared" si="3"/>
        <v>* subsites.breast insert ObligationActorAndCode($actor-sarcoma-i4rc, #handle)</v>
      </c>
    </row>
    <row r="51" spans="1:18" s="2" customFormat="1" ht="29.5" x14ac:dyDescent="0.75">
      <c r="A51" s="11">
        <v>41</v>
      </c>
      <c r="B51" s="11" t="s">
        <v>2117</v>
      </c>
      <c r="C51" s="11" t="s">
        <v>2018</v>
      </c>
      <c r="D51" s="12" t="s">
        <v>2011</v>
      </c>
      <c r="E51" s="11">
        <v>1</v>
      </c>
      <c r="F51" s="11">
        <v>1</v>
      </c>
      <c r="G51" s="12" t="s">
        <v>1468</v>
      </c>
      <c r="H51" s="12"/>
      <c r="I51" s="12" t="b">
        <v>0</v>
      </c>
      <c r="J51" s="12" t="b">
        <v>1</v>
      </c>
      <c r="K51" s="11"/>
      <c r="L51" s="12" t="str">
        <f t="shared" si="0"/>
        <v>* subsites.others 1..1 CodeableConcept ##34#Other subsite##34# ##334#Specifies the subsite for cancers occurred in##334#</v>
      </c>
      <c r="M51"/>
      <c r="N51" s="12" t="str">
        <f t="shared" si="1"/>
        <v/>
      </c>
      <c r="P51" s="12" t="str">
        <f t="shared" si="2"/>
        <v/>
      </c>
      <c r="Q51"/>
      <c r="R51" s="12" t="str">
        <f t="shared" si="3"/>
        <v>* subsites.others insert ObligationActorAndCode($actor-sarcoma-i4rc, #handle)</v>
      </c>
    </row>
    <row r="52" spans="1:18" s="2" customFormat="1" ht="44.25" x14ac:dyDescent="0.75">
      <c r="A52" s="11">
        <v>42</v>
      </c>
      <c r="B52" s="11" t="s">
        <v>2019</v>
      </c>
      <c r="C52" s="11" t="s">
        <v>2020</v>
      </c>
      <c r="D52" s="12" t="s">
        <v>2021</v>
      </c>
      <c r="E52" s="11">
        <v>1</v>
      </c>
      <c r="F52" s="11">
        <v>1</v>
      </c>
      <c r="G52" s="12" t="s">
        <v>1985</v>
      </c>
      <c r="H52" s="12"/>
      <c r="I52" s="12" t="b">
        <v>0</v>
      </c>
      <c r="J52" s="12" t="b">
        <v>1</v>
      </c>
      <c r="K52" s="11"/>
      <c r="L52" s="12" t="str">
        <f t="shared" si="0"/>
        <v>* tumorSize 1..1 Quantity ##34#Tumor Size##34# ##334#(the longest diameter; longest dimension between pre operatory imaging and pathological specimen) cm ##334#</v>
      </c>
      <c r="M52"/>
      <c r="N52" s="12" t="str">
        <f t="shared" si="1"/>
        <v/>
      </c>
      <c r="P52" s="12" t="str">
        <f t="shared" si="2"/>
        <v/>
      </c>
      <c r="Q52"/>
      <c r="R52" s="12" t="str">
        <f t="shared" si="3"/>
        <v>* tumorSize insert ObligationActorAndCode($actor-sarcoma-i4rc, #handle)</v>
      </c>
    </row>
    <row r="53" spans="1:18" s="2" customFormat="1" ht="73.75" x14ac:dyDescent="0.75">
      <c r="A53" s="11">
        <v>43</v>
      </c>
      <c r="B53" s="11" t="s">
        <v>2022</v>
      </c>
      <c r="C53" s="11" t="s">
        <v>2023</v>
      </c>
      <c r="D53" s="12" t="s">
        <v>2024</v>
      </c>
      <c r="E53" s="11">
        <v>1</v>
      </c>
      <c r="F53" s="11">
        <v>1</v>
      </c>
      <c r="G53" s="12" t="s">
        <v>1468</v>
      </c>
      <c r="H53" s="12"/>
      <c r="I53" s="12" t="b">
        <v>0</v>
      </c>
      <c r="J53" s="12" t="b">
        <v>1</v>
      </c>
      <c r="K53" s="11"/>
      <c r="L53" s="12" t="str">
        <f t="shared" si="0"/>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1"/>
        <v/>
      </c>
      <c r="P53" s="12" t="str">
        <f t="shared" si="2"/>
        <v/>
      </c>
      <c r="Q53"/>
      <c r="R53" s="12" t="str">
        <f t="shared" si="3"/>
        <v>* depth insert ObligationActorAndCode($actor-sarcoma-i4rc, #handle)</v>
      </c>
    </row>
    <row r="54" spans="1:18" s="2" customFormat="1" ht="29.5" x14ac:dyDescent="0.75">
      <c r="A54" s="11">
        <v>44</v>
      </c>
      <c r="B54" s="11" t="s">
        <v>2025</v>
      </c>
      <c r="C54" s="11" t="s">
        <v>2026</v>
      </c>
      <c r="D54" s="12" t="s">
        <v>2027</v>
      </c>
      <c r="E54" s="11">
        <v>1</v>
      </c>
      <c r="F54" s="11">
        <v>1</v>
      </c>
      <c r="G54" s="12" t="s">
        <v>1985</v>
      </c>
      <c r="H54" s="12"/>
      <c r="I54" s="12" t="b">
        <v>0</v>
      </c>
      <c r="J54" s="12" t="b">
        <v>1</v>
      </c>
      <c r="K54" s="11"/>
      <c r="L54" s="12" t="str">
        <f t="shared" si="0"/>
        <v>* biopsyMitoticCount 1..1 Quantity ##34#Biopsy Mitotic count ##34# ##334#(Number/10HPF/1mm2, 50HPF/5mm2)##334#</v>
      </c>
      <c r="M54"/>
      <c r="N54" s="12" t="str">
        <f t="shared" si="1"/>
        <v/>
      </c>
      <c r="P54" s="12" t="str">
        <f t="shared" si="2"/>
        <v/>
      </c>
      <c r="Q54"/>
      <c r="R54" s="12" t="str">
        <f t="shared" si="3"/>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2047</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1"/>
        <v>* plasmaticEbvDnaAtBaseline ^comment = ##334# Positive; Negative; not tested;
 Positive - 9191
 Negative - 9189
not tested - 45878602##334#</v>
      </c>
      <c r="P55" s="12" t="str">
        <f t="shared" si="2"/>
        <v>* plasmaticEbvDnaAtBaseline insert ObligationActorAndCode($actor-headneck, #handle)</v>
      </c>
      <c r="Q55"/>
      <c r="R55" s="12" t="str">
        <f t="shared" si="3"/>
        <v/>
      </c>
    </row>
    <row r="56" spans="1:18" s="2" customFormat="1" ht="59" x14ac:dyDescent="0.75">
      <c r="A56" s="11">
        <v>46</v>
      </c>
      <c r="B56" s="11" t="s">
        <v>1493</v>
      </c>
      <c r="C56" s="12" t="s">
        <v>1380</v>
      </c>
      <c r="D56" s="12" t="s">
        <v>1381</v>
      </c>
      <c r="E56" s="11">
        <v>0</v>
      </c>
      <c r="F56" s="11">
        <v>1</v>
      </c>
      <c r="G56" s="12" t="s">
        <v>1468</v>
      </c>
      <c r="H56" s="12" t="s">
        <v>2048</v>
      </c>
      <c r="I56" s="12" t="b">
        <v>1</v>
      </c>
      <c r="J56" s="12" t="b">
        <v>0</v>
      </c>
      <c r="K56" s="11"/>
      <c r="L56" s="12" t="str">
        <f t="shared" si="0"/>
        <v>* hpvStatus 0..1 CodeableConcept ##34#HPV status##34# ##334#Describes the result of HPV tumor testing in oral carcinoma ##334#</v>
      </c>
      <c r="M56"/>
      <c r="N56" s="12" t="str">
        <f t="shared" si="1"/>
        <v>* hpvStatus ^comment = ##334# Positive; Negative; Not tested;
 Positive - 9191
 Negative - 9189
not tested - 45878602##334#</v>
      </c>
      <c r="P56" s="12" t="str">
        <f t="shared" si="2"/>
        <v>* hpvStatus insert ObligationActorAndCode($actor-headneck, #handle)</v>
      </c>
      <c r="Q56"/>
      <c r="R56" s="12" t="str">
        <f t="shared" si="3"/>
        <v/>
      </c>
    </row>
    <row r="57" spans="1:18" s="2" customFormat="1" ht="73.75" x14ac:dyDescent="0.75">
      <c r="A57" s="11">
        <v>47</v>
      </c>
      <c r="B57" s="11" t="s">
        <v>1494</v>
      </c>
      <c r="C57" s="12" t="s">
        <v>1801</v>
      </c>
      <c r="D57" s="12" t="s">
        <v>1382</v>
      </c>
      <c r="E57" s="11">
        <v>0</v>
      </c>
      <c r="F57" s="11">
        <v>1</v>
      </c>
      <c r="G57" s="12" t="s">
        <v>1468</v>
      </c>
      <c r="H57" s="12" t="s">
        <v>2049</v>
      </c>
      <c r="I57" s="12" t="b">
        <v>1</v>
      </c>
      <c r="J57" s="12" t="b">
        <v>0</v>
      </c>
      <c r="K57" s="11"/>
      <c r="L57" s="12" t="str">
        <f t="shared" si="0"/>
        <v>* crpCReactiveProteinTested 0..1 CodeableConcept ##34#CRP - C reactive protein tested##34# ##334#Describes the result of C reactive protein testing##334#</v>
      </c>
      <c r="M57"/>
      <c r="N57" s="12" t="str">
        <f t="shared" si="1"/>
        <v>* crpCReactiveProteinTested ^comment = ##334#Positive; Negative; Not tested;
 Positive - 9191
 Negative - 9189
not tested - 45878602##334#</v>
      </c>
      <c r="P57" s="12" t="str">
        <f t="shared" si="2"/>
        <v>* crpCReactiveProteinTested insert ObligationActorAndCode($actor-headneck, #handle)</v>
      </c>
      <c r="Q57"/>
      <c r="R57" s="12" t="str">
        <f t="shared" si="3"/>
        <v/>
      </c>
    </row>
    <row r="58" spans="1:18" s="2" customFormat="1" ht="29.5" x14ac:dyDescent="0.75">
      <c r="A58" s="11"/>
      <c r="B58" s="11"/>
      <c r="C58" s="12"/>
      <c r="D58" s="12"/>
      <c r="E58" s="11"/>
      <c r="F58" s="11"/>
      <c r="G58" s="12"/>
      <c r="H58" s="12"/>
      <c r="I58" s="12"/>
      <c r="J58" s="12"/>
      <c r="K58" s="25"/>
      <c r="L58" s="12" t="str">
        <f t="shared" si="0"/>
        <v>*  ..  ##34###34# ##334###334#</v>
      </c>
      <c r="M58"/>
      <c r="N58" s="12" t="str">
        <f t="shared" si="1"/>
        <v>*  ..  ##34###34# ##334###334#</v>
      </c>
      <c r="P58" s="12" t="str">
        <f t="shared" si="2"/>
        <v>*  ..  ##34###34# ##334###334#</v>
      </c>
      <c r="Q58"/>
      <c r="R58" s="12" t="str">
        <f t="shared" si="3"/>
        <v>*  ..  ##34###34# ##334###334#</v>
      </c>
    </row>
    <row r="59" spans="1:18" s="2" customFormat="1" ht="29.5" x14ac:dyDescent="0.75">
      <c r="A59" s="11"/>
      <c r="B59" s="11"/>
      <c r="C59" s="12"/>
      <c r="D59" s="12"/>
      <c r="E59" s="11"/>
      <c r="F59" s="11"/>
      <c r="G59" s="12"/>
      <c r="H59" s="12"/>
      <c r="K59" s="25"/>
      <c r="L59" s="12" t="str">
        <f t="shared" si="0"/>
        <v>*  ..  ##34###34# ##334###334#</v>
      </c>
      <c r="M59"/>
      <c r="N59" s="12" t="str">
        <f t="shared" si="1"/>
        <v>*  ..  ##34###34# ##334###334#</v>
      </c>
      <c r="P59" s="12" t="str">
        <f t="shared" si="2"/>
        <v>*  ..  ##34###34# ##334###334#</v>
      </c>
      <c r="Q59"/>
      <c r="R59" s="12" t="str">
        <f t="shared" si="3"/>
        <v>*  ..  ##34###34# ##334###334#</v>
      </c>
    </row>
    <row r="60" spans="1:18" s="2" customFormat="1" ht="29.5" x14ac:dyDescent="0.75">
      <c r="A60" s="11"/>
      <c r="B60" s="11"/>
      <c r="C60" s="12"/>
      <c r="D60" s="12"/>
      <c r="E60" s="11"/>
      <c r="F60" s="11"/>
      <c r="G60" s="12"/>
      <c r="H60" s="12"/>
      <c r="K60" s="25"/>
      <c r="L60" s="12" t="str">
        <f t="shared" si="0"/>
        <v>*  ..  ##34###34# ##334###334#</v>
      </c>
      <c r="M60"/>
      <c r="N60" s="12" t="str">
        <f t="shared" si="1"/>
        <v>*  ..  ##34###34# ##334###334#</v>
      </c>
      <c r="P60" s="12" t="str">
        <f t="shared" si="2"/>
        <v>*  ..  ##34###34# ##334###334#</v>
      </c>
      <c r="Q60"/>
      <c r="R60" s="12" t="str">
        <f t="shared" si="3"/>
        <v>*  ..  ##34###34# ##334###334#</v>
      </c>
    </row>
    <row r="61" spans="1:18" s="2" customFormat="1" ht="29.5" x14ac:dyDescent="0.75">
      <c r="A61" s="11"/>
      <c r="B61" s="11"/>
      <c r="C61" s="12"/>
      <c r="D61" s="12"/>
      <c r="E61" s="11"/>
      <c r="F61" s="11"/>
      <c r="G61" s="12"/>
      <c r="H61" s="12"/>
      <c r="K61" s="25"/>
      <c r="L61" s="12" t="str">
        <f t="shared" si="0"/>
        <v>*  ..  ##34###34# ##334###334#</v>
      </c>
      <c r="M61"/>
      <c r="N61" s="12" t="str">
        <f t="shared" si="1"/>
        <v>*  ..  ##34###34# ##334###334#</v>
      </c>
      <c r="P61" s="12" t="str">
        <f t="shared" si="2"/>
        <v>*  ..  ##34###34# ##334###334#</v>
      </c>
      <c r="Q61"/>
      <c r="R61" s="12" t="str">
        <f t="shared" si="3"/>
        <v>*  ..  ##34###34# ##334###334#</v>
      </c>
    </row>
    <row r="62" spans="1:18" s="2" customFormat="1" ht="29.5" x14ac:dyDescent="0.75">
      <c r="A62" s="11"/>
      <c r="B62" s="11"/>
      <c r="C62" s="12"/>
      <c r="D62" s="12"/>
      <c r="E62" s="11"/>
      <c r="F62" s="11"/>
      <c r="G62" s="12"/>
      <c r="H62" s="12"/>
      <c r="K62" s="25"/>
      <c r="L62" s="12" t="str">
        <f t="shared" si="0"/>
        <v>*  ..  ##34###34# ##334###334#</v>
      </c>
      <c r="M62"/>
      <c r="N62" s="12" t="str">
        <f t="shared" si="1"/>
        <v>*  ..  ##34###34# ##334###334#</v>
      </c>
      <c r="P62" s="12" t="str">
        <f t="shared" si="2"/>
        <v>*  ..  ##34###34# ##334###334#</v>
      </c>
      <c r="Q62"/>
      <c r="R62" s="12" t="str">
        <f t="shared" si="3"/>
        <v>*  ..  ##34###34# ##334###334#</v>
      </c>
    </row>
    <row r="63" spans="1:18" s="2" customFormat="1" ht="29.5" x14ac:dyDescent="0.75">
      <c r="A63" s="11"/>
      <c r="B63" s="11"/>
      <c r="C63" s="12"/>
      <c r="D63" s="12"/>
      <c r="E63" s="11"/>
      <c r="F63" s="11"/>
      <c r="G63" s="12"/>
      <c r="H63" s="12"/>
      <c r="K63" s="25"/>
      <c r="L63" s="12"/>
      <c r="M63"/>
      <c r="N63" s="12"/>
      <c r="P63" s="12" t="str">
        <f t="shared" si="2"/>
        <v/>
      </c>
      <c r="Q63"/>
      <c r="R63" s="12" t="str">
        <f t="shared" si="3"/>
        <v/>
      </c>
    </row>
    <row r="64" spans="1:18" s="2" customFormat="1" ht="29.5" x14ac:dyDescent="0.75">
      <c r="A64" s="11"/>
      <c r="B64" s="11"/>
      <c r="C64" s="12"/>
      <c r="D64" s="12"/>
      <c r="E64" s="11"/>
      <c r="F64" s="11"/>
      <c r="G64" s="12"/>
      <c r="H64" s="12"/>
      <c r="K64" s="25"/>
      <c r="L64" s="12"/>
      <c r="M64"/>
      <c r="N64" s="12"/>
      <c r="P64" s="12" t="str">
        <f t="shared" si="2"/>
        <v/>
      </c>
      <c r="Q64"/>
      <c r="R64" s="12" t="str">
        <f t="shared" si="3"/>
        <v/>
      </c>
    </row>
    <row r="65" spans="1:18" s="2" customFormat="1" ht="29.5" x14ac:dyDescent="0.75">
      <c r="A65" s="11"/>
      <c r="B65" s="11"/>
      <c r="C65" s="12"/>
      <c r="D65" s="12"/>
      <c r="E65" s="11"/>
      <c r="F65" s="11"/>
      <c r="G65" s="12"/>
      <c r="H65" s="12"/>
      <c r="K65" s="25"/>
      <c r="L65" s="12"/>
      <c r="M65"/>
      <c r="N65" s="12"/>
      <c r="P65" s="12" t="str">
        <f t="shared" si="2"/>
        <v/>
      </c>
      <c r="Q65"/>
      <c r="R65" s="12" t="str">
        <f t="shared" si="3"/>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29.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5"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ht="29.5" x14ac:dyDescent="0.75">
      <c r="C24" s="12" t="str">
        <f>IF(CancerEpisode!L24="*  ..  ##34###34# ##334###334#","//--- END",CancerEpisode!L24)</f>
        <v>* sarcomaClassification 1..1 BackboneElement ##34#Sarcoma classification##34# ##334#Sarcoma classification##334#</v>
      </c>
    </row>
    <row r="25" spans="3:3" ht="29.5" x14ac:dyDescent="0.75">
      <c r="C25" s="12" t="str">
        <f>IF(CancerEpisode!L25="*  ..  ##34###34# ##334###334#","//--- END",CancerEpisode!L25)</f>
        <v>* sarcomaClassification.vascularTumours 1..1 CodeableConcept ##34#Vascular tumours ##34# ##334#Vascular tumours ##334#</v>
      </c>
    </row>
    <row r="26" spans="3:3" ht="29.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4" t="s">
        <v>1486</v>
      </c>
      <c r="F4" s="155"/>
      <c r="G4" s="155"/>
    </row>
    <row r="5" spans="1:19" x14ac:dyDescent="0.75">
      <c r="B5" s="47" t="s">
        <v>10</v>
      </c>
      <c r="C5" s="7" t="s">
        <v>1483</v>
      </c>
      <c r="D5" s="47"/>
      <c r="E5" s="7"/>
    </row>
    <row r="6" spans="1:19" x14ac:dyDescent="0.75">
      <c r="B6" s="47" t="s">
        <v>18</v>
      </c>
      <c r="C6" s="41"/>
      <c r="D6" s="47" t="s">
        <v>1475</v>
      </c>
      <c r="E6" s="154" t="str">
        <f>E3</f>
        <v>http://hl7.eu/fhir/ig/idea4rc/StructureDefinition/CancerEpisode</v>
      </c>
      <c r="F6" s="155"/>
      <c r="G6" s="155"/>
    </row>
    <row r="7" spans="1:19" x14ac:dyDescent="0.75">
      <c r="B7" s="47" t="s">
        <v>15</v>
      </c>
      <c r="C7" s="72"/>
      <c r="D7" s="47" t="s">
        <v>1476</v>
      </c>
      <c r="E7" s="154" t="s">
        <v>1486</v>
      </c>
      <c r="F7" s="155"/>
      <c r="G7" s="155"/>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2290</v>
      </c>
      <c r="E16" s="11"/>
      <c r="F16" s="49" t="s">
        <v>1294</v>
      </c>
      <c r="G16" s="74" t="s">
        <v>2393</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2389</v>
      </c>
      <c r="E17" s="11"/>
      <c r="F17" s="49" t="s">
        <v>1294</v>
      </c>
      <c r="G17" s="74" t="s">
        <v>2289</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2389</v>
      </c>
      <c r="E18" s="11"/>
      <c r="F18" s="49" t="s">
        <v>1294</v>
      </c>
      <c r="G18" s="74" t="s">
        <v>2289</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2389</v>
      </c>
      <c r="E19" s="11"/>
      <c r="F19" s="49" t="s">
        <v>1294</v>
      </c>
      <c r="G19" s="74" t="s">
        <v>2289</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2390</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2288</v>
      </c>
      <c r="E21" s="11"/>
      <c r="F21" s="49" t="s">
        <v>1316</v>
      </c>
      <c r="G21" s="143" t="s">
        <v>2391</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2392</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2392</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7"/>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7"/>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2394</v>
      </c>
      <c r="E60" s="12"/>
      <c r="F60" s="49" t="s">
        <v>1316</v>
      </c>
      <c r="G60" s="144" t="s">
        <v>2396</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2287</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 xml:space="preserve">Biopsy Mitotic count </v>
      </c>
      <c r="D62" s="12" t="s">
        <v>2397</v>
      </c>
      <c r="E62" s="12"/>
      <c r="F62" s="49" t="s">
        <v>1294</v>
      </c>
      <c r="G62" s="77" t="s">
        <v>2438</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2395</v>
      </c>
      <c r="E63" s="12"/>
      <c r="F63" s="49" t="s">
        <v>1294</v>
      </c>
      <c r="G63" s="77" t="s">
        <v>2437</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2395</v>
      </c>
      <c r="E64" s="12"/>
      <c r="F64" s="49" t="s">
        <v>1294</v>
      </c>
      <c r="G64" s="77" t="s">
        <v>2440</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2395</v>
      </c>
      <c r="E65" s="12"/>
      <c r="F65" s="49" t="s">
        <v>1294</v>
      </c>
      <c r="G65" s="77" t="s">
        <v>2439</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4" t="str">
        <f>E3</f>
        <v>http://hl7.eu/fhir/ig/idea4rc/StructureDefinition/CancerEpisode</v>
      </c>
      <c r="F6" s="155"/>
      <c r="G6" s="155"/>
    </row>
    <row r="7" spans="1:19" x14ac:dyDescent="0.75">
      <c r="B7" s="47" t="s">
        <v>15</v>
      </c>
      <c r="C7" s="72"/>
      <c r="D7" s="47" t="s">
        <v>1476</v>
      </c>
      <c r="E7" s="154" t="s">
        <v>1551</v>
      </c>
      <c r="F7" s="155"/>
      <c r="G7" s="155"/>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2293</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5.5" thickBot="1" x14ac:dyDescent="0.9">
      <c r="L3" s="24" t="str">
        <f>L1</f>
        <v>//===================================================</v>
      </c>
      <c r="N3" s="24" t="str">
        <f>N1</f>
        <v>// -------------------------------------------------------------------------------</v>
      </c>
      <c r="P3" s="24" t="str">
        <f>P1</f>
        <v>// -------------------------------------------------------------------------------</v>
      </c>
      <c r="R3" s="24" t="str">
        <f>R1</f>
        <v>// -------------------------------------------------------------------------------</v>
      </c>
    </row>
    <row r="4" spans="1:18" x14ac:dyDescent="0.75">
      <c r="A4" s="5" t="s">
        <v>11</v>
      </c>
      <c r="B4" s="30" t="s">
        <v>1913</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2075</v>
      </c>
      <c r="J7" s="118" t="s">
        <v>2076</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2073</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2074</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2402</v>
      </c>
      <c r="D19" s="148" t="s">
        <v>2419</v>
      </c>
      <c r="I19" s="12"/>
      <c r="J19" s="12"/>
      <c r="P19" s="12"/>
      <c r="R19" s="12"/>
    </row>
    <row r="20" spans="2:18" x14ac:dyDescent="0.75">
      <c r="B20" s="146" t="s">
        <v>2398</v>
      </c>
      <c r="C20" s="147" t="s">
        <v>2403</v>
      </c>
      <c r="D20" s="147" t="s">
        <v>2425</v>
      </c>
      <c r="I20" s="12"/>
      <c r="J20" s="12"/>
      <c r="P20" s="12"/>
      <c r="R20" s="12"/>
    </row>
    <row r="21" spans="2:18" x14ac:dyDescent="0.75">
      <c r="B21" s="146" t="s">
        <v>2399</v>
      </c>
      <c r="C21" s="147" t="s">
        <v>2423</v>
      </c>
      <c r="D21" s="147" t="s">
        <v>2422</v>
      </c>
      <c r="I21" s="12"/>
      <c r="J21" s="12"/>
      <c r="P21" s="12"/>
      <c r="R21" s="12"/>
    </row>
    <row r="22" spans="2:18" x14ac:dyDescent="0.75">
      <c r="B22" s="146" t="s">
        <v>2400</v>
      </c>
      <c r="C22" s="147" t="s">
        <v>2423</v>
      </c>
      <c r="D22" s="147" t="s">
        <v>2421</v>
      </c>
      <c r="I22" s="12"/>
      <c r="J22" s="12"/>
      <c r="P22" s="12"/>
      <c r="R22" s="12"/>
    </row>
    <row r="23" spans="2:18" x14ac:dyDescent="0.75">
      <c r="B23" s="146" t="s">
        <v>2401</v>
      </c>
      <c r="C23" s="147" t="s">
        <v>2420</v>
      </c>
      <c r="D23" s="147" t="s">
        <v>2412</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2404</v>
      </c>
      <c r="C28" s="2" t="s">
        <v>2405</v>
      </c>
      <c r="F28" s="2"/>
      <c r="G28" s="12"/>
      <c r="H28" s="12"/>
      <c r="I28"/>
      <c r="L28"/>
      <c r="M28" s="2"/>
      <c r="N28" s="12"/>
      <c r="O28"/>
      <c r="P28" s="12"/>
    </row>
    <row r="29" spans="2:18" ht="44.25" x14ac:dyDescent="0.75">
      <c r="B29" t="s">
        <v>2406</v>
      </c>
      <c r="C29" s="2" t="s">
        <v>2407</v>
      </c>
      <c r="F29" s="2"/>
      <c r="G29" s="12"/>
      <c r="H29" s="12"/>
      <c r="I29"/>
      <c r="L29"/>
      <c r="M29" s="2"/>
      <c r="N29" s="12"/>
      <c r="O29"/>
      <c r="P29" s="12"/>
    </row>
    <row r="30" spans="2:18" ht="59" x14ac:dyDescent="0.75">
      <c r="B30" t="s">
        <v>2408</v>
      </c>
      <c r="C30" s="2" t="s">
        <v>2409</v>
      </c>
      <c r="F30" s="2"/>
      <c r="G30" s="12"/>
      <c r="H30" s="12"/>
      <c r="I30"/>
      <c r="L30"/>
      <c r="M30" s="2"/>
      <c r="N30" s="12"/>
      <c r="O30"/>
      <c r="P30" s="12"/>
    </row>
    <row r="31" spans="2:18" ht="88.5" x14ac:dyDescent="0.75">
      <c r="B31" t="s">
        <v>2410</v>
      </c>
      <c r="C31" s="2" t="s">
        <v>2411</v>
      </c>
      <c r="F31" s="2"/>
      <c r="G31" s="12"/>
      <c r="H31" s="12"/>
      <c r="I31"/>
      <c r="L31"/>
      <c r="M31" s="2"/>
      <c r="N31" s="12"/>
      <c r="O31"/>
      <c r="P31" s="12"/>
    </row>
    <row r="32" spans="2:18" ht="44.25" x14ac:dyDescent="0.75">
      <c r="B32" t="s">
        <v>2413</v>
      </c>
      <c r="C32" s="2" t="s">
        <v>2414</v>
      </c>
      <c r="F32" s="2"/>
      <c r="G32" s="12"/>
      <c r="H32" s="12"/>
      <c r="I32"/>
      <c r="L32"/>
      <c r="M32" s="2"/>
      <c r="N32" s="12"/>
      <c r="O32"/>
      <c r="P32" s="12"/>
    </row>
    <row r="33" spans="2:18" ht="44.25" x14ac:dyDescent="0.75">
      <c r="B33" t="s">
        <v>2415</v>
      </c>
      <c r="C33" s="2" t="s">
        <v>2416</v>
      </c>
      <c r="F33" s="2"/>
      <c r="G33" s="12"/>
      <c r="H33" s="12"/>
      <c r="I33"/>
      <c r="L33"/>
      <c r="M33" s="2"/>
      <c r="N33" s="12"/>
      <c r="O33"/>
      <c r="P33" s="12"/>
    </row>
    <row r="34" spans="2:18" ht="44.25" x14ac:dyDescent="0.75">
      <c r="B34" t="s">
        <v>2417</v>
      </c>
      <c r="C34" s="2" t="s">
        <v>2418</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4" t="s">
        <v>1486</v>
      </c>
      <c r="F4" s="155"/>
      <c r="G4" s="155"/>
    </row>
    <row r="5" spans="1:19" x14ac:dyDescent="0.75">
      <c r="B5" s="47" t="s">
        <v>10</v>
      </c>
      <c r="C5" s="7" t="s">
        <v>1615</v>
      </c>
      <c r="D5" s="47"/>
      <c r="E5" s="7"/>
    </row>
    <row r="6" spans="1:19" x14ac:dyDescent="0.75">
      <c r="B6" s="47" t="s">
        <v>18</v>
      </c>
      <c r="C6" s="41"/>
      <c r="D6" s="47" t="s">
        <v>1475</v>
      </c>
      <c r="E6" s="154" t="str">
        <f>E3</f>
        <v>http://hl7.eu/fhir/ig/idea4rc/StructureDefinition/EpisodeEvent</v>
      </c>
      <c r="F6" s="155"/>
      <c r="G6" s="155"/>
    </row>
    <row r="7" spans="1:19" x14ac:dyDescent="0.75">
      <c r="B7" s="47" t="s">
        <v>15</v>
      </c>
      <c r="C7" s="72"/>
      <c r="D7" s="47" t="s">
        <v>1476</v>
      </c>
      <c r="E7" s="154" t="s">
        <v>1486</v>
      </c>
      <c r="F7" s="155"/>
      <c r="G7" s="155"/>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59"/>
      <c r="F9" s="160"/>
      <c r="G9" s="16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2428</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2346</v>
      </c>
      <c r="E18" s="12"/>
      <c r="F18" s="49" t="s">
        <v>1294</v>
      </c>
      <c r="G18" s="76" t="s">
        <v>2347</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2294</v>
      </c>
      <c r="E19" s="12"/>
      <c r="F19" s="49" t="s">
        <v>1317</v>
      </c>
      <c r="G19" s="76" t="s">
        <v>2295</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1910</v>
      </c>
      <c r="L4" s="16" t="str">
        <f>CONCATENATE("Logical: ",B4)</f>
        <v>Logical: GeneticTestExpressionI4rc</v>
      </c>
    </row>
    <row r="5" spans="1:18" ht="15.5" thickBot="1" x14ac:dyDescent="0.9">
      <c r="A5" s="14" t="s">
        <v>16</v>
      </c>
      <c r="B5" s="30" t="s">
        <v>1880</v>
      </c>
      <c r="L5" s="16" t="str">
        <f>CONCATENATE("Id: ",B5)</f>
        <v>Id: GeneticTestExpression</v>
      </c>
    </row>
    <row r="6" spans="1:18" ht="15.5" thickBot="1" x14ac:dyDescent="0.9">
      <c r="A6" s="14" t="s">
        <v>10</v>
      </c>
      <c r="B6" s="30" t="s">
        <v>1881</v>
      </c>
      <c r="L6" s="17" t="str">
        <f>CONCATENATE("Title: ##34#",B6,"##34#")</f>
        <v>Title: ##34#Genetic Test Expression##34#</v>
      </c>
    </row>
    <row r="7" spans="1:18" x14ac:dyDescent="0.75">
      <c r="A7" s="26" t="s">
        <v>2</v>
      </c>
      <c r="B7" s="95" t="s">
        <v>1881</v>
      </c>
      <c r="C7" s="9" t="s">
        <v>3</v>
      </c>
      <c r="D7" s="1" t="s">
        <v>4</v>
      </c>
      <c r="E7" s="3" t="s">
        <v>5</v>
      </c>
      <c r="F7" s="3" t="s">
        <v>6</v>
      </c>
      <c r="G7" s="3" t="s">
        <v>7</v>
      </c>
      <c r="H7" s="64" t="s">
        <v>1384</v>
      </c>
      <c r="I7" s="118" t="s">
        <v>2075</v>
      </c>
      <c r="J7" s="118" t="s">
        <v>2076</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1882</v>
      </c>
      <c r="C9" s="142" t="s">
        <v>2371</v>
      </c>
      <c r="D9" t="s">
        <v>1883</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1884</v>
      </c>
      <c r="C10" s="142" t="s">
        <v>1885</v>
      </c>
      <c r="D10" t="s">
        <v>1885</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1886</v>
      </c>
      <c r="C11" s="142" t="s">
        <v>2372</v>
      </c>
      <c r="D11" t="s">
        <v>1887</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1888</v>
      </c>
      <c r="C12" s="142" t="s">
        <v>1889</v>
      </c>
      <c r="D12" t="s">
        <v>1889</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1890</v>
      </c>
      <c r="C13" s="142" t="s">
        <v>2373</v>
      </c>
      <c r="D13" t="s">
        <v>1891</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1892</v>
      </c>
      <c r="C14" s="142" t="s">
        <v>1893</v>
      </c>
      <c r="D14" t="s">
        <v>1893</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2126</v>
      </c>
      <c r="C15" s="142" t="s">
        <v>2374</v>
      </c>
      <c r="D15" t="s">
        <v>1894</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1895</v>
      </c>
      <c r="C16" s="142" t="s">
        <v>1896</v>
      </c>
      <c r="D16" t="s">
        <v>1896</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2127</v>
      </c>
      <c r="C17" s="142" t="s">
        <v>2375</v>
      </c>
      <c r="D17" t="s">
        <v>1897</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1898</v>
      </c>
      <c r="C18" s="142" t="s">
        <v>1899</v>
      </c>
      <c r="D18" t="s">
        <v>1899</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1900</v>
      </c>
      <c r="C19" s="142" t="s">
        <v>2376</v>
      </c>
      <c r="D19" t="s">
        <v>1901</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1902</v>
      </c>
      <c r="C20" s="142" t="s">
        <v>1903</v>
      </c>
      <c r="D20" t="s">
        <v>1903</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2128</v>
      </c>
      <c r="C21" s="142" t="s">
        <v>2377</v>
      </c>
      <c r="D21" t="s">
        <v>1904</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1905</v>
      </c>
      <c r="C22" s="142" t="s">
        <v>1906</v>
      </c>
      <c r="D22" t="s">
        <v>1906</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1907</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2368</v>
      </c>
      <c r="D3" s="47" t="s">
        <v>1473</v>
      </c>
      <c r="E3" s="71" t="str">
        <f>$C$1&amp;B14</f>
        <v>http://hl7.eu/fhir/ig/idea4rc/StructureDefinition/GeneticTestExpressionI4rc</v>
      </c>
    </row>
    <row r="4" spans="1:19" x14ac:dyDescent="0.75">
      <c r="B4" s="47" t="s">
        <v>16</v>
      </c>
      <c r="C4" s="28" t="s">
        <v>2367</v>
      </c>
      <c r="D4" s="47" t="s">
        <v>1474</v>
      </c>
      <c r="E4" s="154" t="s">
        <v>1486</v>
      </c>
      <c r="F4" s="155"/>
      <c r="G4" s="155"/>
    </row>
    <row r="5" spans="1:19" x14ac:dyDescent="0.75">
      <c r="B5" s="47" t="s">
        <v>10</v>
      </c>
      <c r="C5" s="7" t="s">
        <v>2369</v>
      </c>
      <c r="D5" s="47"/>
      <c r="E5" s="7"/>
    </row>
    <row r="6" spans="1:19" x14ac:dyDescent="0.75">
      <c r="B6" s="47" t="s">
        <v>18</v>
      </c>
      <c r="C6" s="41"/>
      <c r="D6" s="47" t="s">
        <v>1475</v>
      </c>
      <c r="E6" s="154" t="str">
        <f>E3</f>
        <v>http://hl7.eu/fhir/ig/idea4rc/StructureDefinition/GeneticTestExpressionI4rc</v>
      </c>
      <c r="F6" s="155"/>
      <c r="G6" s="155"/>
    </row>
    <row r="7" spans="1:19" x14ac:dyDescent="0.75">
      <c r="B7" s="47" t="s">
        <v>15</v>
      </c>
      <c r="C7" s="72"/>
      <c r="D7" s="47" t="s">
        <v>1476</v>
      </c>
      <c r="E7" s="154" t="s">
        <v>1486</v>
      </c>
      <c r="F7" s="155"/>
      <c r="G7" s="155"/>
    </row>
    <row r="8" spans="1:19" ht="45" thickBot="1" x14ac:dyDescent="0.9">
      <c r="B8" s="47" t="s">
        <v>1477</v>
      </c>
      <c r="C8" s="7" t="s">
        <v>2369</v>
      </c>
      <c r="D8" s="47"/>
      <c r="E8" s="7"/>
      <c r="I8" s="12" t="s">
        <v>1289</v>
      </c>
      <c r="J8" s="12" t="s">
        <v>1290</v>
      </c>
      <c r="K8" s="12" t="s">
        <v>1291</v>
      </c>
      <c r="L8" s="12" t="s">
        <v>1292</v>
      </c>
      <c r="M8" s="11" t="s">
        <v>1293</v>
      </c>
      <c r="P8" s="34" t="s">
        <v>1328</v>
      </c>
      <c r="Q8" s="34">
        <v>6</v>
      </c>
    </row>
    <row r="9" spans="1:19" ht="15.5" thickBot="1" x14ac:dyDescent="0.9">
      <c r="B9" s="47" t="s">
        <v>1478</v>
      </c>
      <c r="C9" s="12" t="s">
        <v>2370</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2378</v>
      </c>
      <c r="E16" s="12"/>
      <c r="F16" s="49" t="s">
        <v>1316</v>
      </c>
      <c r="G16" s="77" t="s">
        <v>2380</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2379</v>
      </c>
      <c r="E17" s="12"/>
      <c r="F17" s="49" t="s">
        <v>1316</v>
      </c>
      <c r="G17" s="77" t="s">
        <v>2381</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2378</v>
      </c>
      <c r="E18" s="12"/>
      <c r="F18" s="49" t="s">
        <v>1316</v>
      </c>
      <c r="G18" s="77" t="s">
        <v>2382</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2379</v>
      </c>
      <c r="E19" s="12"/>
      <c r="F19" s="49" t="s">
        <v>1316</v>
      </c>
      <c r="G19" s="77" t="s">
        <v>2382</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2378</v>
      </c>
      <c r="E20" s="12"/>
      <c r="F20" s="49" t="s">
        <v>1316</v>
      </c>
      <c r="G20" s="77" t="s">
        <v>2383</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2379</v>
      </c>
      <c r="E21" s="12"/>
      <c r="F21" s="49" t="s">
        <v>1316</v>
      </c>
      <c r="G21" s="77" t="s">
        <v>2383</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2378</v>
      </c>
      <c r="E22" s="12"/>
      <c r="F22" s="49" t="s">
        <v>1316</v>
      </c>
      <c r="G22" s="77" t="s">
        <v>2384</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2379</v>
      </c>
      <c r="E23" s="12"/>
      <c r="F23" s="49" t="s">
        <v>1316</v>
      </c>
      <c r="G23" s="77" t="s">
        <v>2384</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2378</v>
      </c>
      <c r="E24" s="12"/>
      <c r="F24" s="49" t="s">
        <v>1316</v>
      </c>
      <c r="G24" s="77" t="s">
        <v>2385</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2379</v>
      </c>
      <c r="E25" s="12"/>
      <c r="F25" s="49" t="s">
        <v>1316</v>
      </c>
      <c r="G25" s="77" t="s">
        <v>2385</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2378</v>
      </c>
      <c r="E26" s="12"/>
      <c r="F26" s="49" t="s">
        <v>1316</v>
      </c>
      <c r="G26" s="77" t="s">
        <v>2386</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2379</v>
      </c>
      <c r="E27" s="12"/>
      <c r="F27" s="49" t="s">
        <v>1316</v>
      </c>
      <c r="G27" s="77" t="s">
        <v>2386</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2378</v>
      </c>
      <c r="E28" s="12"/>
      <c r="F28" s="49" t="s">
        <v>1316</v>
      </c>
      <c r="G28" s="77" t="s">
        <v>2387</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2379</v>
      </c>
      <c r="E29" s="12"/>
      <c r="F29" s="49" t="s">
        <v>1316</v>
      </c>
      <c r="G29" s="77" t="s">
        <v>2387</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2388</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2077</v>
      </c>
      <c r="R2" s="24" t="s">
        <v>2078</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2171</v>
      </c>
      <c r="L4" s="16" t="str">
        <f>CONCATENATE("Logical: ",B4)</f>
        <v>Logical: StageI4rc</v>
      </c>
    </row>
    <row r="5" spans="1:18" ht="19.899999999999999" customHeight="1" x14ac:dyDescent="0.75">
      <c r="A5" s="14" t="s">
        <v>16</v>
      </c>
      <c r="B5" s="31" t="s">
        <v>2172</v>
      </c>
      <c r="L5" s="16" t="str">
        <f>CONCATENATE("Id: ",B5)</f>
        <v>Id: Stage</v>
      </c>
    </row>
    <row r="6" spans="1:18" ht="19.899999999999999" customHeight="1" x14ac:dyDescent="0.75">
      <c r="A6" s="14" t="s">
        <v>10</v>
      </c>
      <c r="B6" s="32" t="s">
        <v>2172</v>
      </c>
      <c r="L6" s="17" t="str">
        <f>CONCATENATE("Title: ##34#",B6,"##34#")</f>
        <v>Title: ##34#Stage##34#</v>
      </c>
    </row>
    <row r="7" spans="1:18" ht="19.899999999999999" customHeight="1" x14ac:dyDescent="0.75">
      <c r="A7" s="26" t="s">
        <v>2</v>
      </c>
      <c r="B7" s="63" t="s">
        <v>2172</v>
      </c>
      <c r="C7" s="9" t="s">
        <v>3</v>
      </c>
      <c r="D7" s="1" t="s">
        <v>4</v>
      </c>
      <c r="E7" s="3" t="s">
        <v>5</v>
      </c>
      <c r="F7" s="3" t="s">
        <v>6</v>
      </c>
      <c r="G7" s="3" t="s">
        <v>7</v>
      </c>
      <c r="H7" s="64" t="s">
        <v>1384</v>
      </c>
      <c r="I7" s="118" t="s">
        <v>2075</v>
      </c>
      <c r="J7" s="118" t="s">
        <v>2076</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4">
        <v>1</v>
      </c>
      <c r="B9" s="11" t="s">
        <v>1875</v>
      </c>
      <c r="C9" s="11" t="s">
        <v>2138</v>
      </c>
      <c r="D9" s="11" t="s">
        <v>2138</v>
      </c>
      <c r="E9" s="11">
        <v>1</v>
      </c>
      <c r="F9" s="11">
        <v>1</v>
      </c>
      <c r="G9" t="s">
        <v>1468</v>
      </c>
      <c r="H9" s="12" t="s">
        <v>2148</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4">
        <v>2</v>
      </c>
      <c r="B10" s="11" t="s">
        <v>2129</v>
      </c>
      <c r="C10" s="11" t="s">
        <v>292</v>
      </c>
      <c r="D10" s="11" t="s">
        <v>1388</v>
      </c>
      <c r="E10" s="11">
        <v>1</v>
      </c>
      <c r="F10" s="11">
        <v>1</v>
      </c>
      <c r="G10" t="s">
        <v>1468</v>
      </c>
      <c r="H10" s="12" t="s">
        <v>2149</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5">
        <v>3</v>
      </c>
      <c r="B11" s="11" t="s">
        <v>2130</v>
      </c>
      <c r="C11" s="11" t="s">
        <v>299</v>
      </c>
      <c r="D11" s="11" t="s">
        <v>1389</v>
      </c>
      <c r="E11" s="11">
        <v>1</v>
      </c>
      <c r="F11" s="11">
        <v>1</v>
      </c>
      <c r="G11" t="s">
        <v>1468</v>
      </c>
      <c r="H11" s="12" t="s">
        <v>2150</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4">
        <v>4</v>
      </c>
      <c r="B12" s="11" t="s">
        <v>2131</v>
      </c>
      <c r="C12" s="11" t="s">
        <v>306</v>
      </c>
      <c r="D12" s="11" t="s">
        <v>1390</v>
      </c>
      <c r="E12" s="11">
        <v>1</v>
      </c>
      <c r="F12" s="11">
        <v>1</v>
      </c>
      <c r="G12" t="s">
        <v>1468</v>
      </c>
      <c r="H12" s="12" t="s">
        <v>2151</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4">
        <v>5</v>
      </c>
      <c r="B13" s="11" t="s">
        <v>2132</v>
      </c>
      <c r="C13" s="11" t="s">
        <v>1558</v>
      </c>
      <c r="D13" s="11" t="s">
        <v>1559</v>
      </c>
      <c r="E13" s="11">
        <v>1</v>
      </c>
      <c r="F13" s="11">
        <v>1</v>
      </c>
      <c r="G13" t="s">
        <v>1468</v>
      </c>
      <c r="H13" s="12" t="s">
        <v>2152</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4">
        <v>6</v>
      </c>
      <c r="B14" s="6" t="s">
        <v>2133</v>
      </c>
      <c r="C14" s="11" t="s">
        <v>2139</v>
      </c>
      <c r="D14" s="11" t="s">
        <v>2140</v>
      </c>
      <c r="E14" s="11">
        <v>1</v>
      </c>
      <c r="F14" s="11">
        <v>1</v>
      </c>
      <c r="G14" t="s">
        <v>1468</v>
      </c>
      <c r="H14" s="4" t="s">
        <v>2155</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6">
        <v>7</v>
      </c>
      <c r="B15" s="11" t="s">
        <v>2134</v>
      </c>
      <c r="C15" s="11" t="s">
        <v>2141</v>
      </c>
      <c r="D15" s="11" t="s">
        <v>2142</v>
      </c>
      <c r="E15" s="11">
        <v>1</v>
      </c>
      <c r="F15" s="11">
        <v>1</v>
      </c>
      <c r="G15" t="s">
        <v>1468</v>
      </c>
      <c r="H15" s="12" t="s">
        <v>2156</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6">
        <v>8</v>
      </c>
      <c r="B16" s="6" t="s">
        <v>2135</v>
      </c>
      <c r="C16" s="11" t="s">
        <v>2143</v>
      </c>
      <c r="D16" s="11" t="s">
        <v>2144</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6">
        <v>9</v>
      </c>
      <c r="B17" s="11" t="s">
        <v>1417</v>
      </c>
      <c r="C17" s="11" t="s">
        <v>1392</v>
      </c>
      <c r="D17" s="11" t="s">
        <v>1393</v>
      </c>
      <c r="E17" s="11">
        <v>1</v>
      </c>
      <c r="F17" s="11">
        <v>1</v>
      </c>
      <c r="G17" t="s">
        <v>1468</v>
      </c>
      <c r="H17" s="12" t="s">
        <v>2153</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6">
        <v>10</v>
      </c>
      <c r="B18" s="6" t="s">
        <v>2136</v>
      </c>
      <c r="C18" s="11" t="s">
        <v>2145</v>
      </c>
      <c r="D18" s="11" t="s">
        <v>2146</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6"/>
      <c r="B19" s="6" t="s">
        <v>2157</v>
      </c>
      <c r="C19" s="6" t="s">
        <v>2157</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6">
        <v>11</v>
      </c>
      <c r="B20" s="11" t="s">
        <v>2158</v>
      </c>
      <c r="C20" s="11" t="s">
        <v>1394</v>
      </c>
      <c r="D20" s="11" t="s">
        <v>2301</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6">
        <v>12</v>
      </c>
      <c r="B21" s="11" t="s">
        <v>2159</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6">
        <v>13</v>
      </c>
      <c r="B22" s="11" t="s">
        <v>2160</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6">
        <v>14</v>
      </c>
      <c r="B23" s="11" t="s">
        <v>2161</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6">
        <v>15</v>
      </c>
      <c r="B24" s="11" t="s">
        <v>2162</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6">
        <v>16</v>
      </c>
      <c r="B25" s="11" t="s">
        <v>2163</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7">
        <v>17</v>
      </c>
      <c r="B26" s="11" t="s">
        <v>2164</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4">
        <v>18</v>
      </c>
      <c r="B27" s="11" t="s">
        <v>2165</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7">
        <v>19</v>
      </c>
      <c r="B28" s="11" t="s">
        <v>2166</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4">
        <v>20</v>
      </c>
      <c r="B29" s="11" t="s">
        <v>2167</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7">
        <v>21</v>
      </c>
      <c r="B30" s="11" t="s">
        <v>2137</v>
      </c>
      <c r="C30" s="11" t="s">
        <v>2147</v>
      </c>
      <c r="D30" s="11" t="s">
        <v>1391</v>
      </c>
      <c r="E30" s="11">
        <v>1</v>
      </c>
      <c r="F30" s="11">
        <v>1</v>
      </c>
      <c r="G30" t="s">
        <v>1468</v>
      </c>
      <c r="H30" s="12" t="s">
        <v>2154</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2310</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A3"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2306</v>
      </c>
      <c r="D3" s="47" t="s">
        <v>1473</v>
      </c>
      <c r="E3" s="71" t="str">
        <f>$C$1&amp;B14</f>
        <v>http://hl7.eu/fhir/ig/idea4rc/StructureDefinition/Stage</v>
      </c>
    </row>
    <row r="4" spans="1:19" x14ac:dyDescent="0.75">
      <c r="B4" s="47" t="s">
        <v>16</v>
      </c>
      <c r="C4" s="28" t="s">
        <v>2307</v>
      </c>
      <c r="D4" s="47" t="s">
        <v>1474</v>
      </c>
      <c r="E4" s="150" t="str">
        <f>C1&amp;G4</f>
        <v>http://hl7.eu/fhir/ig/idea4rc/StructureDefinition/Bundle-eu-i4rc</v>
      </c>
      <c r="G4" s="151" t="s">
        <v>2430</v>
      </c>
    </row>
    <row r="5" spans="1:19" x14ac:dyDescent="0.75">
      <c r="B5" s="47" t="s">
        <v>10</v>
      </c>
      <c r="C5" s="7" t="s">
        <v>2308</v>
      </c>
      <c r="D5" s="47"/>
      <c r="E5" s="7"/>
    </row>
    <row r="6" spans="1:19" x14ac:dyDescent="0.75">
      <c r="B6" s="47" t="s">
        <v>18</v>
      </c>
      <c r="C6" s="41"/>
      <c r="D6" s="47" t="s">
        <v>1475</v>
      </c>
      <c r="E6" s="154" t="str">
        <f>E3</f>
        <v>http://hl7.eu/fhir/ig/idea4rc/StructureDefinition/Stage</v>
      </c>
      <c r="F6" s="155"/>
      <c r="G6" s="155"/>
    </row>
    <row r="7" spans="1:19" x14ac:dyDescent="0.75">
      <c r="B7" s="47" t="s">
        <v>15</v>
      </c>
      <c r="C7" s="72"/>
      <c r="D7" s="47" t="s">
        <v>1476</v>
      </c>
      <c r="E7" s="154" t="s">
        <v>1625</v>
      </c>
      <c r="F7" s="155"/>
      <c r="G7" s="155"/>
    </row>
    <row r="8" spans="1:19" ht="44.25" x14ac:dyDescent="0.75">
      <c r="B8" s="47" t="s">
        <v>1477</v>
      </c>
      <c r="C8" s="73" t="s">
        <v>2308</v>
      </c>
      <c r="D8" s="47"/>
      <c r="E8" s="7"/>
      <c r="I8" s="12" t="s">
        <v>1289</v>
      </c>
      <c r="J8" s="12" t="s">
        <v>1290</v>
      </c>
      <c r="K8" s="12" t="s">
        <v>1291</v>
      </c>
      <c r="L8" s="12" t="s">
        <v>1292</v>
      </c>
      <c r="M8" s="11" t="s">
        <v>1293</v>
      </c>
      <c r="P8" s="34" t="s">
        <v>1328</v>
      </c>
      <c r="Q8" s="34">
        <v>6</v>
      </c>
    </row>
    <row r="9" spans="1:19" x14ac:dyDescent="0.75">
      <c r="B9" s="47" t="s">
        <v>1478</v>
      </c>
      <c r="C9" s="12" t="s">
        <v>2309</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2299</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2296</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2297</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2298</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2431</v>
      </c>
      <c r="E20" s="12"/>
      <c r="F20" s="49" t="s">
        <v>1294</v>
      </c>
      <c r="G20" s="76" t="s">
        <v>2432</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2304</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ht="29.5"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ht="29.5"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ht="29.5"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ht="29.5"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ht="29.5"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ht="29.5"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ht="29.5"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4" t="str">
        <f>'Stage-ConceptMap-1'!E3</f>
        <v>http://hl7.eu/fhir/ig/idea4rc/StructureDefinition/Stage</v>
      </c>
      <c r="F3" s="155"/>
      <c r="G3" s="155"/>
    </row>
    <row r="4" spans="1:19" ht="15.5" thickBot="1" x14ac:dyDescent="0.9">
      <c r="B4" s="47" t="s">
        <v>16</v>
      </c>
      <c r="C4" s="28" t="str">
        <f>'Stage-ConceptMap-1'!C4</f>
        <v>stage2FHIR</v>
      </c>
      <c r="D4" s="47" t="s">
        <v>1474</v>
      </c>
      <c r="E4" s="154" t="str">
        <f>'Stage-ConceptMap-1'!E4</f>
        <v>http://hl7.eu/fhir/ig/idea4rc/StructureDefinition/Bundle-eu-i4rc</v>
      </c>
      <c r="F4" s="155"/>
      <c r="G4" s="15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4" t="str">
        <f>E3</f>
        <v>http://hl7.eu/fhir/ig/idea4rc/StructureDefinition/Stage</v>
      </c>
      <c r="F6" s="155"/>
      <c r="G6" s="155"/>
    </row>
    <row r="7" spans="1:19" ht="15.5" thickBot="1" x14ac:dyDescent="0.9">
      <c r="B7" s="47" t="s">
        <v>15</v>
      </c>
      <c r="C7" s="28">
        <f>'Stage-ConceptMap-1'!C7</f>
        <v>0</v>
      </c>
      <c r="D7" s="47" t="s">
        <v>1476</v>
      </c>
      <c r="E7" s="154" t="s">
        <v>1636</v>
      </c>
      <c r="F7" s="155"/>
      <c r="G7" s="155"/>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4" t="s">
        <v>1316</v>
      </c>
      <c r="G16" s="13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4"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4" t="str">
        <f>'Stage-ConceptMap-1'!E3</f>
        <v>http://hl7.eu/fhir/ig/idea4rc/StructureDefinition/Stage</v>
      </c>
      <c r="F3" s="155"/>
      <c r="G3" s="155"/>
    </row>
    <row r="4" spans="1:19" ht="15.5" thickBot="1" x14ac:dyDescent="0.9">
      <c r="B4" s="47" t="s">
        <v>16</v>
      </c>
      <c r="C4" s="28" t="str">
        <f>'Stage-ConceptMap-1'!C4</f>
        <v>stage2FHIR</v>
      </c>
      <c r="D4" s="47" t="s">
        <v>1474</v>
      </c>
      <c r="E4" s="154" t="str">
        <f>'Stage-ConceptMap-1'!E4</f>
        <v>http://hl7.eu/fhir/ig/idea4rc/StructureDefinition/Bundle-eu-i4rc</v>
      </c>
      <c r="F4" s="155"/>
      <c r="G4" s="155"/>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4" t="str">
        <f>E3</f>
        <v>http://hl7.eu/fhir/ig/idea4rc/StructureDefinition/Stage</v>
      </c>
      <c r="F6" s="155"/>
      <c r="G6" s="155"/>
    </row>
    <row r="7" spans="1:19" ht="15.5" thickBot="1" x14ac:dyDescent="0.9">
      <c r="B7" s="47" t="s">
        <v>15</v>
      </c>
      <c r="C7" s="28">
        <f>'Stage-ConceptMap-1'!C7</f>
        <v>0</v>
      </c>
      <c r="D7" s="47" t="s">
        <v>1476</v>
      </c>
      <c r="E7" s="154" t="s">
        <v>1637</v>
      </c>
      <c r="F7" s="155"/>
      <c r="G7" s="155"/>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4"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4"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4" t="str">
        <f>'Stage-ConceptMap-1'!E3</f>
        <v>http://hl7.eu/fhir/ig/idea4rc/StructureDefinition/Stage</v>
      </c>
      <c r="F3" s="155"/>
      <c r="G3" s="155"/>
    </row>
    <row r="4" spans="1:19" x14ac:dyDescent="0.75">
      <c r="B4" s="47" t="s">
        <v>16</v>
      </c>
      <c r="C4" s="28" t="s">
        <v>1620</v>
      </c>
      <c r="D4" s="47" t="s">
        <v>1474</v>
      </c>
      <c r="E4" s="154" t="str">
        <f>'Stage-ConceptMap-1'!E4</f>
        <v>http://hl7.eu/fhir/ig/idea4rc/StructureDefinition/Bundle-eu-i4rc</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v>
      </c>
      <c r="F6" s="155"/>
      <c r="G6" s="155"/>
    </row>
    <row r="7" spans="1:19" x14ac:dyDescent="0.75">
      <c r="B7" s="47" t="s">
        <v>15</v>
      </c>
      <c r="C7" s="72"/>
      <c r="D7" s="47" t="s">
        <v>1476</v>
      </c>
      <c r="E7" s="154" t="s">
        <v>1638</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4" t="s">
        <v>1316</v>
      </c>
      <c r="G15" s="137"/>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4"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4" t="s">
        <v>1311</v>
      </c>
      <c r="G17" s="13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4" t="s">
        <v>1316</v>
      </c>
      <c r="G18" s="137"/>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4" t="str">
        <f>'Stage-ConceptMap-1'!E3</f>
        <v>http://hl7.eu/fhir/ig/idea4rc/StructureDefinition/Stage</v>
      </c>
      <c r="F3" s="155"/>
      <c r="G3" s="155"/>
    </row>
    <row r="4" spans="1:19" x14ac:dyDescent="0.75">
      <c r="B4" s="47" t="s">
        <v>16</v>
      </c>
      <c r="C4" s="28" t="s">
        <v>1620</v>
      </c>
      <c r="D4" s="47" t="s">
        <v>1474</v>
      </c>
      <c r="E4" s="154" t="str">
        <f>'Stage-ConceptMap-1'!E4</f>
        <v>http://hl7.eu/fhir/ig/idea4rc/StructureDefinition/Bundle-eu-i4rc</v>
      </c>
      <c r="F4" s="155"/>
      <c r="G4" s="155"/>
    </row>
    <row r="5" spans="1:19" x14ac:dyDescent="0.75">
      <c r="B5" s="47" t="s">
        <v>10</v>
      </c>
      <c r="C5" s="7" t="s">
        <v>1621</v>
      </c>
      <c r="D5" s="47"/>
      <c r="E5" s="7"/>
    </row>
    <row r="6" spans="1:19" x14ac:dyDescent="0.75">
      <c r="B6" s="47" t="s">
        <v>18</v>
      </c>
      <c r="C6" s="41"/>
      <c r="D6" s="47" t="s">
        <v>1475</v>
      </c>
      <c r="E6" s="155" t="str">
        <f>E3</f>
        <v>http://hl7.eu/fhir/ig/idea4rc/StructureDefinition/Stage</v>
      </c>
      <c r="F6" s="155"/>
      <c r="G6" s="155"/>
    </row>
    <row r="7" spans="1:19" x14ac:dyDescent="0.75">
      <c r="B7" s="47" t="s">
        <v>15</v>
      </c>
      <c r="C7" s="72"/>
      <c r="D7" s="47" t="s">
        <v>1476</v>
      </c>
      <c r="E7" s="155" t="s">
        <v>2312</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4" t="s">
        <v>1316</v>
      </c>
      <c r="G15" s="76" t="s">
        <v>2303</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4" t="str">
        <f>'Stage-ConceptMap-1'!E3</f>
        <v>http://hl7.eu/fhir/ig/idea4rc/StructureDefinition/Stage</v>
      </c>
      <c r="F3" s="155"/>
      <c r="G3" s="155"/>
    </row>
    <row r="4" spans="1:19" x14ac:dyDescent="0.75">
      <c r="B4" s="47" t="s">
        <v>16</v>
      </c>
      <c r="C4" s="73" t="str">
        <f>'Stage-ConceptMap-1'!C4</f>
        <v>stage2FHIR</v>
      </c>
      <c r="D4" s="47" t="s">
        <v>1474</v>
      </c>
      <c r="E4" s="154" t="str">
        <f>'Stage-ConceptMap-1'!E4</f>
        <v>http://hl7.eu/fhir/ig/idea4rc/StructureDefinition/Bundle-eu-i4rc</v>
      </c>
      <c r="F4" s="155"/>
      <c r="G4" s="155"/>
    </row>
    <row r="5" spans="1:19" x14ac:dyDescent="0.75">
      <c r="B5" s="47" t="s">
        <v>10</v>
      </c>
      <c r="C5" s="73" t="str">
        <f>'Stage-ConceptMap-1'!C5</f>
        <v>Stage Model to this guide Map</v>
      </c>
      <c r="D5" s="47"/>
      <c r="E5" s="7"/>
    </row>
    <row r="6" spans="1:19" x14ac:dyDescent="0.75">
      <c r="B6" s="47" t="s">
        <v>18</v>
      </c>
      <c r="C6" s="73">
        <f>'Stage-ConceptMap-1'!C6</f>
        <v>0</v>
      </c>
      <c r="D6" s="47" t="s">
        <v>1475</v>
      </c>
      <c r="E6" s="154" t="str">
        <f>E3</f>
        <v>http://hl7.eu/fhir/ig/idea4rc/StructureDefinition/Stage</v>
      </c>
      <c r="F6" s="155"/>
      <c r="G6" s="155"/>
    </row>
    <row r="7" spans="1:19" x14ac:dyDescent="0.75">
      <c r="B7" s="47" t="s">
        <v>15</v>
      </c>
      <c r="C7" s="73">
        <f>'Stage-ConceptMap-1'!C7</f>
        <v>0</v>
      </c>
      <c r="D7" s="47" t="s">
        <v>1476</v>
      </c>
      <c r="E7" s="154" t="s">
        <v>2300</v>
      </c>
      <c r="F7" s="155"/>
      <c r="G7" s="155"/>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2311</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2352</v>
      </c>
      <c r="E16" s="12"/>
      <c r="F16" s="49" t="s">
        <v>1294</v>
      </c>
      <c r="G16" s="76" t="s">
        <v>2354</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2352</v>
      </c>
      <c r="E17" s="12"/>
      <c r="F17" s="49" t="s">
        <v>1294</v>
      </c>
      <c r="G17" s="76" t="s">
        <v>2353</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2355</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2356</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2357</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2358</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2359</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2360</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2361</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2362</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2363</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2364</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2365</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2366</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2305</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2168</v>
      </c>
      <c r="L4" s="16" t="str">
        <f>CONCATENATE("Logical: ",B4)</f>
        <v>Logical: PathologicalReportInfoI4rc</v>
      </c>
    </row>
    <row r="5" spans="1:18" ht="15.5" thickBot="1" x14ac:dyDescent="0.9">
      <c r="A5" s="14" t="s">
        <v>16</v>
      </c>
      <c r="B5" s="30" t="s">
        <v>2169</v>
      </c>
      <c r="L5" s="16" t="str">
        <f>CONCATENATE("Id: ",B5)</f>
        <v>Id: PathologicalReportInfo</v>
      </c>
    </row>
    <row r="6" spans="1:18" ht="15.5" thickBot="1" x14ac:dyDescent="0.9">
      <c r="A6" s="14" t="s">
        <v>10</v>
      </c>
      <c r="B6" s="30" t="s">
        <v>2170</v>
      </c>
      <c r="L6" s="17" t="str">
        <f>CONCATENATE("Title: ##34#",B6,"##34#")</f>
        <v>Title: ##34#Pathological Report Info##34#</v>
      </c>
    </row>
    <row r="7" spans="1:18" x14ac:dyDescent="0.75">
      <c r="A7" s="26" t="s">
        <v>2</v>
      </c>
      <c r="B7" s="95" t="s">
        <v>2170</v>
      </c>
      <c r="C7" s="9" t="s">
        <v>3</v>
      </c>
      <c r="D7" s="1" t="s">
        <v>4</v>
      </c>
      <c r="E7" s="3" t="s">
        <v>5</v>
      </c>
      <c r="F7" s="3" t="s">
        <v>6</v>
      </c>
      <c r="G7" s="116" t="s">
        <v>7</v>
      </c>
      <c r="H7" s="64" t="s">
        <v>1384</v>
      </c>
      <c r="I7" s="118" t="s">
        <v>2075</v>
      </c>
      <c r="J7" s="118" t="s">
        <v>2076</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2241</v>
      </c>
      <c r="C9" s="11" t="s">
        <v>2249</v>
      </c>
      <c r="D9" s="11" t="s">
        <v>2250</v>
      </c>
      <c r="E9" s="11">
        <v>0</v>
      </c>
      <c r="F9" s="11">
        <v>1</v>
      </c>
      <c r="G9" s="12" t="s">
        <v>1468</v>
      </c>
      <c r="H9" s="12" t="s">
        <v>2251</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2242</v>
      </c>
      <c r="C10" s="11" t="s">
        <v>2252</v>
      </c>
      <c r="D10" s="11" t="s">
        <v>2252</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2243</v>
      </c>
      <c r="C11" s="11" t="s">
        <v>2253</v>
      </c>
      <c r="D11" s="11" t="s">
        <v>2253</v>
      </c>
      <c r="E11" s="11">
        <v>0</v>
      </c>
      <c r="F11" s="11">
        <v>1</v>
      </c>
      <c r="G11" s="12" t="s">
        <v>1985</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2244</v>
      </c>
      <c r="C12" s="11" t="s">
        <v>2254</v>
      </c>
      <c r="D12" s="11" t="s">
        <v>2254</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2245</v>
      </c>
      <c r="C13" s="11" t="s">
        <v>2255</v>
      </c>
      <c r="D13" s="11" t="s">
        <v>2255</v>
      </c>
      <c r="E13" s="11">
        <v>0</v>
      </c>
      <c r="F13" s="11">
        <v>1</v>
      </c>
      <c r="G13" s="12" t="s">
        <v>1468</v>
      </c>
      <c r="H13" s="12" t="s">
        <v>2256</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2246</v>
      </c>
      <c r="C14" s="11" t="s">
        <v>2257</v>
      </c>
      <c r="D14" s="11" t="s">
        <v>2257</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2247</v>
      </c>
      <c r="C15" s="11" t="s">
        <v>2258</v>
      </c>
      <c r="D15" s="11" t="s">
        <v>2258</v>
      </c>
      <c r="E15" s="11">
        <v>0</v>
      </c>
      <c r="F15" s="11">
        <v>1</v>
      </c>
      <c r="G15" s="12" t="s">
        <v>44</v>
      </c>
      <c r="H15" s="12" t="s">
        <v>2259</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2248</v>
      </c>
      <c r="C16" s="11" t="s">
        <v>2260</v>
      </c>
      <c r="D16" s="11" t="s">
        <v>2260</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2261</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#handle)</v>
      </c>
    </row>
    <row r="62" spans="3:3" x14ac:dyDescent="0.75">
      <c r="C62" s="100" t="str">
        <f>IF(PathologicalReportInfo!R9="*  ..  ##34###34# ##334###334#","//--- END",PathologicalReportInfo!R9)</f>
        <v>* degreeOfCytologicAtypia insert ObligationActorAndCode($actor-sarcoma-i4rc, #handle)</v>
      </c>
    </row>
    <row r="63" spans="3:3" x14ac:dyDescent="0.75">
      <c r="C63" s="100" t="str">
        <f>IF(PathologicalReportInfo!R10="*  ..  ##34###34# ##334###334#","//--- END",PathologicalReportInfo!R10)</f>
        <v>* patternOfGrowth insert ObligationActorAndCode($actor-sarcoma-i4rc, #handle)</v>
      </c>
    </row>
    <row r="64" spans="3:3" x14ac:dyDescent="0.75">
      <c r="C64" s="100" t="str">
        <f>IF(PathologicalReportInfo!R11="*  ..  ##34###34# ##334###334#","//--- END",PathologicalReportInfo!R11)</f>
        <v>* mitoticActivity insert ObligationActorAndCode($actor-sarcoma-i4rc, #handle)</v>
      </c>
    </row>
    <row r="65" spans="3:3" x14ac:dyDescent="0.75">
      <c r="C65" s="100" t="str">
        <f>IF(PathologicalReportInfo!R12="*  ..  ##34###34# ##334###334#","//--- END",PathologicalReportInfo!R12)</f>
        <v>* infiltrationOfSurroundingMyometrium insert ObligationActorAndCode($actor-sarcoma-i4rc, #handle)</v>
      </c>
    </row>
    <row r="66" spans="3:3" x14ac:dyDescent="0.75">
      <c r="C66" s="100" t="str">
        <f>IF(PathologicalReportInfo!R13="*  ..  ##34###34# ##334###334#","//--- END",PathologicalReportInfo!R13)</f>
        <v>* typeOfNecrosis insert ObligationActorAndCode($actor-sarcoma-i4rc, #handle)</v>
      </c>
    </row>
    <row r="67" spans="3:3" x14ac:dyDescent="0.75">
      <c r="C67" s="100" t="str">
        <f>IF(PathologicalReportInfo!R14="*  ..  ##34###34# ##334###334#","//--- END",PathologicalReportInfo!R14)</f>
        <v>* expressionOfErPr insert ObligationActorAndCode($actor-sarcoma-i4rc, #handle)</v>
      </c>
    </row>
    <row r="68" spans="3:3" x14ac:dyDescent="0.75">
      <c r="C68" s="100" t="str">
        <f>IF(PathologicalReportInfo!R15="*  ..  ##34###34# ##334###334#","//--- END",PathologicalReportInfo!R15)</f>
        <v>* vascularIntrusionOrInvasion insert ObligationActorAndCode($actor-sarcoma-i4rc, #handle)</v>
      </c>
    </row>
    <row r="69" spans="3:3" x14ac:dyDescent="0.75">
      <c r="C69" s="100" t="str">
        <f>IF(PathologicalReportInfo!R16="*  ..  ##34###34# ##334###334#","//--- END",PathologicalReportInfo!R16)</f>
        <v>* p16AndP53Expression insert ObligationActorAndCode($actor-sarcoma-i4rc, #handle)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1917</v>
      </c>
      <c r="D3" s="47" t="s">
        <v>1473</v>
      </c>
      <c r="E3" s="71" t="str">
        <f>$C$1&amp;B14</f>
        <v>http://hl7.eu/fhir/ig/idea4rc/StructureDefinition/PathologicalReportInfo</v>
      </c>
    </row>
    <row r="4" spans="1:19" x14ac:dyDescent="0.75">
      <c r="B4" s="47" t="s">
        <v>16</v>
      </c>
      <c r="C4" s="28" t="s">
        <v>1917</v>
      </c>
      <c r="D4" s="47" t="s">
        <v>1474</v>
      </c>
      <c r="E4" s="154" t="s">
        <v>1920</v>
      </c>
      <c r="F4" s="155"/>
      <c r="G4" s="155"/>
    </row>
    <row r="5" spans="1:19" x14ac:dyDescent="0.75">
      <c r="B5" s="47" t="s">
        <v>10</v>
      </c>
      <c r="C5" s="7" t="s">
        <v>1918</v>
      </c>
      <c r="D5" s="47"/>
      <c r="E5" s="7"/>
    </row>
    <row r="6" spans="1:19" x14ac:dyDescent="0.75">
      <c r="B6" s="47" t="s">
        <v>18</v>
      </c>
      <c r="C6" s="41"/>
      <c r="D6" s="47" t="s">
        <v>1475</v>
      </c>
      <c r="E6" s="154" t="str">
        <f>E3</f>
        <v>http://hl7.eu/fhir/ig/idea4rc/StructureDefinition/PathologicalReportInfo</v>
      </c>
      <c r="F6" s="155"/>
      <c r="G6" s="155"/>
    </row>
    <row r="7" spans="1:19" x14ac:dyDescent="0.75">
      <c r="B7" s="47" t="s">
        <v>15</v>
      </c>
      <c r="C7" s="72"/>
      <c r="D7" s="47" t="s">
        <v>1476</v>
      </c>
      <c r="E7" s="154" t="str">
        <f>E4</f>
        <v>http://hl7.eu/fhir/ig/idea4rc/StructureDefinition/episodeOfCare-eu-i4rc</v>
      </c>
      <c r="F7" s="155"/>
      <c r="G7" s="155"/>
    </row>
    <row r="8" spans="1:19" ht="45" thickBot="1" x14ac:dyDescent="0.9">
      <c r="B8" s="47" t="s">
        <v>1477</v>
      </c>
      <c r="C8" t="s">
        <v>1918</v>
      </c>
      <c r="D8" s="47"/>
      <c r="E8" s="7"/>
      <c r="I8" s="12" t="s">
        <v>1289</v>
      </c>
      <c r="J8" s="12" t="s">
        <v>1290</v>
      </c>
      <c r="K8" s="12" t="s">
        <v>1291</v>
      </c>
      <c r="L8" s="12" t="s">
        <v>1292</v>
      </c>
      <c r="M8" s="11" t="s">
        <v>1293</v>
      </c>
      <c r="P8" s="34" t="s">
        <v>1328</v>
      </c>
      <c r="Q8" s="34">
        <v>6</v>
      </c>
    </row>
    <row r="9" spans="1:19" ht="30.25" thickBot="1" x14ac:dyDescent="0.9">
      <c r="B9" s="47" t="s">
        <v>1478</v>
      </c>
      <c r="C9" s="12" t="s">
        <v>1919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1921</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1922</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1923</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1924</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1856</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1915</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2075</v>
      </c>
      <c r="J7" s="118" t="s">
        <v>2076</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8">
        <v>1</v>
      </c>
      <c r="B9" s="11" t="s">
        <v>1875</v>
      </c>
      <c r="C9" s="11" t="s">
        <v>2177</v>
      </c>
      <c r="D9" s="11" t="s">
        <v>2178</v>
      </c>
      <c r="E9" s="11">
        <v>1</v>
      </c>
      <c r="F9" s="11">
        <v>1</v>
      </c>
      <c r="G9" s="11" t="s">
        <v>1468</v>
      </c>
      <c r="H9" s="12" t="s">
        <v>2185</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8">
        <v>2</v>
      </c>
      <c r="B10" s="6" t="s">
        <v>2173</v>
      </c>
      <c r="C10" s="11" t="s">
        <v>2179</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8">
        <v>4</v>
      </c>
      <c r="B12" s="11" t="s">
        <v>2192</v>
      </c>
      <c r="C12" s="11" t="s">
        <v>1662</v>
      </c>
      <c r="D12" s="12" t="s">
        <v>1663</v>
      </c>
      <c r="E12" s="11">
        <v>1</v>
      </c>
      <c r="F12" s="11">
        <v>1</v>
      </c>
      <c r="G12" s="11" t="s">
        <v>1468</v>
      </c>
      <c r="H12" s="12" t="s">
        <v>2186</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8">
        <v>5</v>
      </c>
      <c r="B13" s="11" t="s">
        <v>2193</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8">
        <v>6</v>
      </c>
      <c r="B14" s="11" t="s">
        <v>1667</v>
      </c>
      <c r="C14" s="11" t="s">
        <v>1668</v>
      </c>
      <c r="D14" s="11" t="s">
        <v>1669</v>
      </c>
      <c r="E14" s="11">
        <v>0</v>
      </c>
      <c r="F14" s="11">
        <v>1</v>
      </c>
      <c r="G14" s="11" t="s">
        <v>1468</v>
      </c>
      <c r="H14" s="12" t="s">
        <v>2187</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8">
        <v>7</v>
      </c>
      <c r="B15" s="11" t="s">
        <v>2174</v>
      </c>
      <c r="C15" s="11" t="s">
        <v>2180</v>
      </c>
      <c r="D15" s="11" t="s">
        <v>2181</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8">
        <v>8</v>
      </c>
      <c r="B16" s="6" t="s">
        <v>2194</v>
      </c>
      <c r="C16" s="11" t="s">
        <v>2182</v>
      </c>
      <c r="D16" s="11" t="s">
        <v>2182</v>
      </c>
      <c r="E16" s="11">
        <v>1</v>
      </c>
      <c r="F16" s="11">
        <v>1</v>
      </c>
      <c r="G16" s="11" t="s">
        <v>1985</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8">
        <v>9</v>
      </c>
      <c r="B17" s="6" t="s">
        <v>2195</v>
      </c>
      <c r="C17" s="11" t="s">
        <v>2183</v>
      </c>
      <c r="D17" s="11" t="s">
        <v>2183</v>
      </c>
      <c r="E17" s="11">
        <v>1</v>
      </c>
      <c r="F17" s="11">
        <v>1</v>
      </c>
      <c r="G17" s="11" t="s">
        <v>1468</v>
      </c>
      <c r="H17" s="12" t="s">
        <v>2188</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8">
        <v>10</v>
      </c>
      <c r="B18" s="6" t="s">
        <v>2175</v>
      </c>
      <c r="C18" s="11" t="s">
        <v>2184</v>
      </c>
      <c r="D18" s="11" t="s">
        <v>2184</v>
      </c>
      <c r="E18" s="11">
        <v>1</v>
      </c>
      <c r="F18" s="11">
        <v>1</v>
      </c>
      <c r="G18" s="11" t="s">
        <v>1468</v>
      </c>
      <c r="H18" s="12" t="s">
        <v>2189</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8">
        <v>14</v>
      </c>
      <c r="B22" s="11" t="s">
        <v>1681</v>
      </c>
      <c r="C22" s="11" t="s">
        <v>1682</v>
      </c>
      <c r="D22" s="11" t="s">
        <v>1683</v>
      </c>
      <c r="E22" s="11">
        <v>0</v>
      </c>
      <c r="F22" s="11">
        <v>1</v>
      </c>
      <c r="G22" s="11" t="s">
        <v>1468</v>
      </c>
      <c r="H22" s="12" t="s">
        <v>2190</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8">
        <v>17</v>
      </c>
      <c r="B25" s="11" t="s">
        <v>2196</v>
      </c>
      <c r="C25" s="11" t="s">
        <v>1783</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8">
        <v>17</v>
      </c>
      <c r="B26" s="11" t="s">
        <v>2197</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8">
        <v>18</v>
      </c>
      <c r="B27" s="11" t="s">
        <v>2198</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8">
        <v>19</v>
      </c>
      <c r="B28" s="11" t="s">
        <v>2199</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8">
        <v>20</v>
      </c>
      <c r="B29" s="11" t="s">
        <v>2200</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8">
        <v>21</v>
      </c>
      <c r="B30" s="11" t="s">
        <v>2201</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8">
        <v>22</v>
      </c>
      <c r="B31" s="11" t="s">
        <v>2202</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8">
        <v>23</v>
      </c>
      <c r="B32" s="11" t="s">
        <v>2203</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8">
        <v>24</v>
      </c>
      <c r="B33" s="11" t="s">
        <v>2204</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8">
        <v>25</v>
      </c>
      <c r="B34" s="11" t="s">
        <v>2205</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8">
        <v>26</v>
      </c>
      <c r="B35" s="11" t="s">
        <v>2206</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8">
        <v>27</v>
      </c>
      <c r="B36" s="11" t="s">
        <v>2176</v>
      </c>
      <c r="C36" s="11" t="s">
        <v>1710</v>
      </c>
      <c r="D36" s="11" t="s">
        <v>1711</v>
      </c>
      <c r="E36">
        <v>1</v>
      </c>
      <c r="F36">
        <v>1</v>
      </c>
      <c r="G36" s="11" t="s">
        <v>1468</v>
      </c>
      <c r="H36" s="12" t="s">
        <v>2191</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1786</v>
      </c>
      <c r="D3" s="47" t="s">
        <v>1473</v>
      </c>
      <c r="E3" s="71" t="str">
        <f>$C$1&amp;B14</f>
        <v>http://hl7.eu/fhir/ig/idea4rc/StructureDefinition/Surgery</v>
      </c>
    </row>
    <row r="4" spans="1:19" x14ac:dyDescent="0.75">
      <c r="B4" s="47" t="s">
        <v>16</v>
      </c>
      <c r="C4" s="28" t="s">
        <v>1786</v>
      </c>
      <c r="D4" s="47" t="s">
        <v>1474</v>
      </c>
      <c r="E4" s="154" t="s">
        <v>1789</v>
      </c>
      <c r="F4" s="155"/>
      <c r="G4" s="155"/>
    </row>
    <row r="5" spans="1:19" x14ac:dyDescent="0.75">
      <c r="B5" s="47" t="s">
        <v>10</v>
      </c>
      <c r="C5" s="7" t="s">
        <v>1787</v>
      </c>
      <c r="D5" s="47"/>
      <c r="E5" s="7"/>
    </row>
    <row r="6" spans="1:19" x14ac:dyDescent="0.75">
      <c r="B6" s="47" t="s">
        <v>18</v>
      </c>
      <c r="C6" s="41"/>
      <c r="D6" s="47" t="s">
        <v>1475</v>
      </c>
      <c r="E6" s="154" t="str">
        <f>E3</f>
        <v>http://hl7.eu/fhir/ig/idea4rc/StructureDefinition/Surgery</v>
      </c>
      <c r="F6" s="155"/>
      <c r="G6" s="155"/>
    </row>
    <row r="7" spans="1:19" x14ac:dyDescent="0.75">
      <c r="B7" s="47" t="s">
        <v>15</v>
      </c>
      <c r="C7" s="72"/>
      <c r="D7" s="47" t="s">
        <v>1476</v>
      </c>
      <c r="E7" s="154" t="str">
        <f>E4</f>
        <v>http://hl7.eu/fhir/ig/idea4rc/StructureDefinition/Procedure-surgery-eu-i4rc</v>
      </c>
      <c r="F7" s="155"/>
      <c r="G7" s="155"/>
    </row>
    <row r="8" spans="1:19" ht="45" thickBot="1" x14ac:dyDescent="0.9">
      <c r="B8" s="47" t="s">
        <v>1477</v>
      </c>
      <c r="C8" s="7" t="s">
        <v>1787</v>
      </c>
      <c r="D8" s="47"/>
      <c r="E8" s="7"/>
      <c r="I8" s="12" t="s">
        <v>1289</v>
      </c>
      <c r="J8" s="12" t="s">
        <v>1290</v>
      </c>
      <c r="K8" s="12" t="s">
        <v>1291</v>
      </c>
      <c r="L8" s="12" t="s">
        <v>1292</v>
      </c>
      <c r="M8" s="11" t="s">
        <v>1293</v>
      </c>
      <c r="P8" s="34" t="s">
        <v>1328</v>
      </c>
      <c r="Q8" s="34">
        <v>6</v>
      </c>
    </row>
    <row r="9" spans="1:19" ht="15.5" thickBot="1" x14ac:dyDescent="0.9">
      <c r="B9" s="47" t="s">
        <v>1478</v>
      </c>
      <c r="C9" s="12" t="s">
        <v>1788</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1790</v>
      </c>
      <c r="E14" s="6"/>
      <c r="F14" s="49"/>
      <c r="G14" s="49"/>
      <c r="I14" s="12"/>
      <c r="J14" s="11"/>
      <c r="K14" s="11"/>
      <c r="L14" s="11"/>
      <c r="M14" s="48"/>
      <c r="N14" s="51"/>
    </row>
    <row r="15" spans="1:19" ht="44.25" x14ac:dyDescent="0.75">
      <c r="A15" s="44"/>
      <c r="B15" s="11" t="str">
        <f>Surgery!B8</f>
        <v>episodeEvent</v>
      </c>
      <c r="C15" s="11" t="str">
        <f>Surgery!C8</f>
        <v>Episode Event reference</v>
      </c>
      <c r="D15" s="12" t="s">
        <v>1791</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2433</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2348</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2349</v>
      </c>
      <c r="E18" s="12"/>
      <c r="F18" s="49" t="s">
        <v>1294</v>
      </c>
      <c r="G18" s="76" t="s">
        <v>2347</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2313</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2434</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1792</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1793</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2435</v>
      </c>
      <c r="E23" s="12"/>
      <c r="F23" s="49" t="s">
        <v>1294</v>
      </c>
      <c r="G23" s="76" t="s">
        <v>2436</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2435</v>
      </c>
      <c r="E24" s="11"/>
      <c r="F24" s="49" t="s">
        <v>1294</v>
      </c>
      <c r="G24" s="77" t="s">
        <v>2441</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1794</v>
      </c>
      <c r="E25" s="11"/>
      <c r="F25" s="49" t="s">
        <v>1294</v>
      </c>
      <c r="G25" s="76" t="s">
        <v>2302</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2442</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2443</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2314</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2313</v>
      </c>
      <c r="E29" s="12"/>
      <c r="F29" s="49" t="s">
        <v>1316</v>
      </c>
      <c r="G29" s="76" t="s">
        <v>2315</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2317</v>
      </c>
      <c r="E30" s="12"/>
      <c r="F30" s="49" t="s">
        <v>1316</v>
      </c>
      <c r="G30" s="76" t="s">
        <v>2316</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1795</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2313</v>
      </c>
      <c r="E32" s="12"/>
      <c r="F32" s="49" t="s">
        <v>1316</v>
      </c>
      <c r="G32" s="76" t="s">
        <v>2318</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2444</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2444</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2444</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2444</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2444</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2444</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2444</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2444</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2444</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2444</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2445</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1796</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5.5" thickBot="1" x14ac:dyDescent="0.9">
      <c r="L3" s="24" t="str">
        <f>L1</f>
        <v>//===================================================</v>
      </c>
      <c r="N3" s="24" t="str">
        <f>N1</f>
        <v>// -------------------------------------------------------------------------------</v>
      </c>
      <c r="P3" s="24" t="str">
        <f>P1</f>
        <v>// -------------------------------------------------------------------------------</v>
      </c>
      <c r="R3" s="24" t="str">
        <f>R1</f>
        <v>// -------------------------------------------------------------------------------</v>
      </c>
    </row>
    <row r="4" spans="1:18" ht="15.5" thickBot="1" x14ac:dyDescent="0.9">
      <c r="A4" s="5" t="s">
        <v>11</v>
      </c>
      <c r="B4" s="30" t="s">
        <v>2464</v>
      </c>
      <c r="L4" s="16" t="str">
        <f>CONCATENATE("Logical: ",B4)</f>
        <v>Logical: SystemicTreatmentI4rc</v>
      </c>
    </row>
    <row r="5" spans="1:18" ht="15.5" thickBot="1" x14ac:dyDescent="0.9">
      <c r="A5" s="14" t="s">
        <v>16</v>
      </c>
      <c r="B5" s="30" t="s">
        <v>2465</v>
      </c>
      <c r="L5" s="16" t="str">
        <f>CONCATENATE("Id: ",B5)</f>
        <v>Id: SystemicTreatment</v>
      </c>
    </row>
    <row r="6" spans="1:18" ht="15.5" thickBot="1" x14ac:dyDescent="0.9">
      <c r="A6" s="14" t="s">
        <v>10</v>
      </c>
      <c r="B6" s="30" t="s">
        <v>2467</v>
      </c>
      <c r="L6" s="17" t="str">
        <f>CONCATENATE("Title: ##34#",B6,"##34#")</f>
        <v>Title: ##34#Systemic Treatment##34#</v>
      </c>
    </row>
    <row r="7" spans="1:18" x14ac:dyDescent="0.75">
      <c r="A7" s="26" t="s">
        <v>2</v>
      </c>
      <c r="B7" s="30" t="s">
        <v>2467</v>
      </c>
      <c r="C7" s="9" t="s">
        <v>3</v>
      </c>
      <c r="D7" s="1" t="s">
        <v>4</v>
      </c>
      <c r="E7" s="3" t="s">
        <v>5</v>
      </c>
      <c r="F7" s="3" t="s">
        <v>6</v>
      </c>
      <c r="G7" s="3" t="s">
        <v>7</v>
      </c>
      <c r="H7" s="64" t="s">
        <v>1384</v>
      </c>
      <c r="I7" s="118" t="s">
        <v>2075</v>
      </c>
      <c r="J7" s="118" t="s">
        <v>2076</v>
      </c>
      <c r="L7" s="17" t="str">
        <f>CONCATENATE("Description: "," ##334#",B7,"##334#",)</f>
        <v>Description:  ##334#Systemic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18" x14ac:dyDescent="0.75">
      <c r="A9" s="60">
        <v>1</v>
      </c>
      <c r="B9" s="12" t="s">
        <v>2462</v>
      </c>
      <c r="C9" s="12" t="s">
        <v>2468</v>
      </c>
      <c r="D9" s="12" t="s">
        <v>2469</v>
      </c>
      <c r="E9" s="11">
        <v>1</v>
      </c>
      <c r="F9" s="11">
        <v>1</v>
      </c>
      <c r="G9" s="86" t="s">
        <v>1468</v>
      </c>
      <c r="H9" s="12" t="s">
        <v>1645</v>
      </c>
      <c r="I9" s="12" t="b">
        <v>1</v>
      </c>
      <c r="J9" s="12" t="b">
        <v>1</v>
      </c>
      <c r="K9" s="25" t="s">
        <v>2335</v>
      </c>
      <c r="L9" s="12" t="str">
        <f t="shared" si="0"/>
        <v>* typeOfSystemicTreatment 1..1 CodeableConcept ##34#type of Systemic treatment##34# ##334#Select the type of Systemic treatment administered. It is possible to directly select the single treatment as appropriate.##334#</v>
      </c>
      <c r="N9" s="12" t="str">
        <f t="shared" ref="N9:N29" si="1">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44" si="2">IF(I9,IF(L9="*  ..  ##34###34# ##334###334#",L9,CONCATENATE("* ",B9," insert ObligationActorAndCode($actor-headneck, #handle)")),IF(L9="*  ..  ##34###34# ##334###334#",L9,""))</f>
        <v>* typeOfSystemicTreatment insert ObligationActorAndCode($actor-headneck, #handle)</v>
      </c>
      <c r="R9" s="12" t="str">
        <f t="shared" ref="R9:R44" si="3">IF(J9,IF(L9="*  ..  ##34###34# ##334###334#",L9,CONCATENATE("* ",B9," insert ObligationActorAndCode($actor-sarcoma-i4rc, #handle)")),IF(L9="*  ..  ##34###34# ##334###334#",L9,""))</f>
        <v>* typeOfSystemicTreatment insert ObligationActorAndCode($actor-sarcoma-i4rc, #handle)</v>
      </c>
    </row>
    <row r="10" spans="1:18" ht="147.5" x14ac:dyDescent="0.75">
      <c r="A10" s="60">
        <v>2</v>
      </c>
      <c r="B10" s="12" t="s">
        <v>1431</v>
      </c>
      <c r="C10" s="12" t="s">
        <v>1422</v>
      </c>
      <c r="D10" s="12" t="s">
        <v>2336</v>
      </c>
      <c r="E10" s="11">
        <v>1</v>
      </c>
      <c r="F10" s="11">
        <v>1</v>
      </c>
      <c r="G10" s="100" t="s">
        <v>1468</v>
      </c>
      <c r="H10" s="12" t="s">
        <v>1646</v>
      </c>
      <c r="I10" s="12" t="b">
        <v>1</v>
      </c>
      <c r="J10" s="12" t="b">
        <v>0</v>
      </c>
      <c r="K10" s="25" t="s">
        <v>1431</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1"/>
        <v>* intent ^comment = ##334#Palliative; Curative; Unknwon
Palliative - 4179711
Curative - 
Unknown - 4129922##334#</v>
      </c>
      <c r="P10" s="12" t="str">
        <f t="shared" si="2"/>
        <v>* intent insert ObligationActorAndCode($actor-headneck, #handle)</v>
      </c>
      <c r="R10" s="12" t="str">
        <f t="shared" si="3"/>
        <v/>
      </c>
    </row>
    <row r="11" spans="1:18" ht="206.5" x14ac:dyDescent="0.75">
      <c r="A11" s="59">
        <v>3</v>
      </c>
      <c r="B11" s="12" t="s">
        <v>1432</v>
      </c>
      <c r="C11" s="12" t="s">
        <v>1647</v>
      </c>
      <c r="D11" s="12" t="s">
        <v>1648</v>
      </c>
      <c r="E11" s="11">
        <v>1</v>
      </c>
      <c r="F11" s="11">
        <v>1</v>
      </c>
      <c r="G11" s="100" t="s">
        <v>1468</v>
      </c>
      <c r="H11" s="12" t="s">
        <v>2337</v>
      </c>
      <c r="I11" s="12" t="b">
        <v>1</v>
      </c>
      <c r="J11" s="12" t="b">
        <v>0</v>
      </c>
      <c r="K11" s="25" t="s">
        <v>1432</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1"/>
        <v>* setting ^comment = ##334#Neo-adjuvant; Concomitant; Adjuvant; Other tretament alone;  Unknown;
Neo-adjuvant - 44808409
Concomitant - 
 Adjuvant - 44804498
Other tretament alone - 
Unknown - 4129922##334#</v>
      </c>
      <c r="P11" s="12" t="str">
        <f t="shared" si="2"/>
        <v>* setting insert ObligationActorAndCode($actor-headneck, #handle)</v>
      </c>
      <c r="R11" s="12" t="str">
        <f t="shared" si="3"/>
        <v/>
      </c>
    </row>
    <row r="12" spans="1:18" ht="103.25" x14ac:dyDescent="0.75">
      <c r="A12" s="59"/>
      <c r="B12" s="4" t="s">
        <v>2207</v>
      </c>
      <c r="C12" s="12" t="s">
        <v>2213</v>
      </c>
      <c r="D12" s="11" t="s">
        <v>2214</v>
      </c>
      <c r="E12" s="11">
        <v>0</v>
      </c>
      <c r="F12" s="11">
        <v>1</v>
      </c>
      <c r="G12" t="s">
        <v>1468</v>
      </c>
      <c r="H12" s="2" t="s">
        <v>2215</v>
      </c>
      <c r="I12" s="12" t="b">
        <v>0</v>
      </c>
      <c r="J12" s="12" t="b">
        <v>1</v>
      </c>
      <c r="K12" s="25" t="s">
        <v>2207</v>
      </c>
      <c r="L12" s="12" t="str">
        <f t="shared" si="0"/>
        <v>* computedTomographyInfo 0..1 CodeableConcept ##34#Computed tomography info##34# ##334#Information for computed tomography##334#</v>
      </c>
      <c r="N12" s="12" t="str">
        <f t="shared" si="1"/>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2"/>
        <v/>
      </c>
      <c r="R12" s="12" t="str">
        <f t="shared" si="3"/>
        <v>* computedTomographyInfo insert ObligationActorAndCode($actor-sarcoma-i4rc, #handle)</v>
      </c>
    </row>
    <row r="13" spans="1:18" ht="29.5" x14ac:dyDescent="0.75">
      <c r="A13" s="59">
        <v>4</v>
      </c>
      <c r="B13" s="12" t="s">
        <v>2463</v>
      </c>
      <c r="C13" s="12" t="s">
        <v>2474</v>
      </c>
      <c r="D13" s="12" t="s">
        <v>2339</v>
      </c>
      <c r="E13" s="11">
        <v>1</v>
      </c>
      <c r="F13" s="11">
        <v>1</v>
      </c>
      <c r="G13" s="86" t="s">
        <v>43</v>
      </c>
      <c r="H13" s="12"/>
      <c r="I13" s="12" t="b">
        <v>1</v>
      </c>
      <c r="J13" s="12" t="b">
        <v>1</v>
      </c>
      <c r="K13" s="25" t="s">
        <v>2338</v>
      </c>
      <c r="L13" s="12" t="str">
        <f t="shared" si="0"/>
        <v>* startDateSystemicTreatment 1..1 date ##34#Start date Systemic treatment##34# ##334#Specifies when Other treatment begins##334#</v>
      </c>
      <c r="N13" s="12" t="str">
        <f t="shared" si="1"/>
        <v/>
      </c>
      <c r="P13" s="12" t="str">
        <f t="shared" si="2"/>
        <v>* startDateSystemicTreatment insert ObligationActorAndCode($actor-headneck, #handle)</v>
      </c>
      <c r="R13" s="12" t="str">
        <f t="shared" si="3"/>
        <v>* startDateSystemicTreatment insert ObligationActorAndCode($actor-sarcoma-i4rc, #handle)</v>
      </c>
    </row>
    <row r="14" spans="1:18" ht="29.5" x14ac:dyDescent="0.75">
      <c r="A14" s="59">
        <v>5</v>
      </c>
      <c r="B14" s="12" t="s">
        <v>2466</v>
      </c>
      <c r="C14" s="12" t="s">
        <v>2475</v>
      </c>
      <c r="D14" s="12" t="s">
        <v>2341</v>
      </c>
      <c r="E14" s="11">
        <v>1</v>
      </c>
      <c r="F14" s="11">
        <v>1</v>
      </c>
      <c r="G14" s="86" t="s">
        <v>43</v>
      </c>
      <c r="H14" s="12"/>
      <c r="I14" s="12" t="b">
        <v>1</v>
      </c>
      <c r="J14" s="12" t="b">
        <v>1</v>
      </c>
      <c r="K14" s="25" t="s">
        <v>2340</v>
      </c>
      <c r="L14" s="12" t="str">
        <f t="shared" si="0"/>
        <v>* endDateSystemicTreatment 1..1 date ##34#End date Systemic treatment##34# ##334#Specifies when Other treatment ends##334#</v>
      </c>
      <c r="N14" s="12" t="str">
        <f t="shared" si="1"/>
        <v/>
      </c>
      <c r="P14" s="12" t="str">
        <f t="shared" si="2"/>
        <v>* endDateSystemicTreatment insert ObligationActorAndCode($actor-headneck, #handle)</v>
      </c>
      <c r="R14" s="12" t="str">
        <f t="shared" si="3"/>
        <v>* endDateSystemicTreatment insert ObligationActorAndCode($actor-sarcoma-i4rc, #handle)</v>
      </c>
    </row>
    <row r="15" spans="1:18" ht="88.5" x14ac:dyDescent="0.75">
      <c r="A15" s="59">
        <v>6</v>
      </c>
      <c r="B15" s="12" t="s">
        <v>1433</v>
      </c>
      <c r="C15" s="12" t="s">
        <v>1649</v>
      </c>
      <c r="D15" s="12" t="s">
        <v>1650</v>
      </c>
      <c r="E15" s="11">
        <v>0</v>
      </c>
      <c r="F15" s="11">
        <v>1</v>
      </c>
      <c r="G15" s="130" t="s">
        <v>1784</v>
      </c>
      <c r="H15" s="12"/>
      <c r="I15" s="12" t="b">
        <v>1</v>
      </c>
      <c r="J15" s="12" t="b">
        <v>1</v>
      </c>
      <c r="K15" s="25" t="s">
        <v>1433</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1"/>
        <v/>
      </c>
      <c r="P15" s="12" t="str">
        <f t="shared" si="2"/>
        <v>* numberOfCyclesAdministrations insert ObligationActorAndCode($actor-headneck, #handle)</v>
      </c>
      <c r="R15" s="12" t="str">
        <f t="shared" si="3"/>
        <v>* numberOfCyclesAdministrations insert ObligationActorAndCode($actor-sarcoma-i4rc, #handle)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0"/>
        <v>* regimen 0..1 BackboneElement ##34#Regimen##34# ##334#Regimen##334#</v>
      </c>
      <c r="N16" s="12" t="str">
        <f t="shared" si="1"/>
        <v/>
      </c>
      <c r="P16" s="12" t="str">
        <f t="shared" si="2"/>
        <v>* regimen insert ObligationActorAndCode($actor-headneck, #handle)</v>
      </c>
      <c r="R16" s="12" t="str">
        <f t="shared" si="3"/>
        <v>* regimen insert ObligationActorAndCode($actor-sarcoma-i4rc, #handle)</v>
      </c>
    </row>
    <row r="17" spans="1:18" ht="44.25" x14ac:dyDescent="0.75">
      <c r="A17" s="60">
        <v>8</v>
      </c>
      <c r="B17" s="13" t="s">
        <v>1778</v>
      </c>
      <c r="C17" s="12" t="s">
        <v>1424</v>
      </c>
      <c r="D17" s="13" t="s">
        <v>1424</v>
      </c>
      <c r="E17" s="11">
        <v>1</v>
      </c>
      <c r="F17" s="11">
        <v>1</v>
      </c>
      <c r="G17" s="86" t="s">
        <v>1468</v>
      </c>
      <c r="H17" s="12" t="s">
        <v>1651</v>
      </c>
      <c r="I17" s="12" t="b">
        <v>1</v>
      </c>
      <c r="J17" s="12" t="b">
        <v>1</v>
      </c>
      <c r="K17" s="25" t="s">
        <v>2208</v>
      </c>
      <c r="L17" s="12" t="str">
        <f t="shared" si="0"/>
        <v>* regimen.drugs1 1..1 CodeableConcept ##34#Drugs 1##34# ##334#Drugs 1##334#</v>
      </c>
      <c r="N17" s="12" t="str">
        <f t="shared" si="1"/>
        <v>* regimen.drugs1 ^comment = ##334#ATC list
Athena vocabulary 
ATC##334#</v>
      </c>
      <c r="P17" s="12" t="str">
        <f t="shared" si="2"/>
        <v>* regimen.drugs1 insert ObligationActorAndCode($actor-headneck, #handle)</v>
      </c>
      <c r="R17" s="12" t="str">
        <f t="shared" si="3"/>
        <v>* regimen.drugs1 insert ObligationActorAndCode($actor-sarcoma-i4rc, #handle)</v>
      </c>
    </row>
    <row r="18" spans="1:18" ht="44.25" x14ac:dyDescent="0.75">
      <c r="A18" s="60">
        <v>9</v>
      </c>
      <c r="B18" s="13" t="s">
        <v>1779</v>
      </c>
      <c r="C18" s="12" t="s">
        <v>1425</v>
      </c>
      <c r="D18" s="13" t="s">
        <v>1425</v>
      </c>
      <c r="E18" s="11">
        <v>1</v>
      </c>
      <c r="F18" s="11">
        <v>1</v>
      </c>
      <c r="G18" s="86" t="s">
        <v>1468</v>
      </c>
      <c r="H18" s="12" t="s">
        <v>1651</v>
      </c>
      <c r="I18" s="12" t="b">
        <v>1</v>
      </c>
      <c r="J18" s="12" t="b">
        <v>1</v>
      </c>
      <c r="K18" s="25" t="s">
        <v>2209</v>
      </c>
      <c r="L18" s="12" t="str">
        <f t="shared" si="0"/>
        <v>* regimen.drugs2 1..1 CodeableConcept ##34#Drugs 2##34# ##334#Drugs 2##334#</v>
      </c>
      <c r="N18" s="12" t="str">
        <f t="shared" si="1"/>
        <v>* regimen.drugs2 ^comment = ##334#ATC list
Athena vocabulary 
ATC##334#</v>
      </c>
      <c r="P18" s="12" t="str">
        <f t="shared" si="2"/>
        <v>* regimen.drugs2 insert ObligationActorAndCode($actor-headneck, #handle)</v>
      </c>
      <c r="R18" s="12" t="str">
        <f t="shared" si="3"/>
        <v>* regimen.drugs2 insert ObligationActorAndCode($actor-sarcoma-i4rc, #handle)</v>
      </c>
    </row>
    <row r="19" spans="1:18" ht="44.25" x14ac:dyDescent="0.75">
      <c r="A19" s="60">
        <v>10</v>
      </c>
      <c r="B19" s="13" t="s">
        <v>1780</v>
      </c>
      <c r="C19" s="12" t="s">
        <v>1426</v>
      </c>
      <c r="D19" s="13" t="s">
        <v>1426</v>
      </c>
      <c r="E19" s="11">
        <v>1</v>
      </c>
      <c r="F19" s="11">
        <v>1</v>
      </c>
      <c r="G19" s="86" t="s">
        <v>1468</v>
      </c>
      <c r="H19" s="12" t="s">
        <v>1651</v>
      </c>
      <c r="I19" s="12" t="b">
        <v>1</v>
      </c>
      <c r="J19" s="12" t="b">
        <v>1</v>
      </c>
      <c r="K19" t="s">
        <v>2210</v>
      </c>
      <c r="L19" s="12" t="str">
        <f t="shared" si="0"/>
        <v>* regimen.drugs3 1..1 CodeableConcept ##34#Drugs 3##34# ##334#Drugs 3##334#</v>
      </c>
      <c r="N19" s="12" t="str">
        <f t="shared" si="1"/>
        <v>* regimen.drugs3 ^comment = ##334#ATC list
Athena vocabulary 
ATC##334#</v>
      </c>
      <c r="P19" s="12" t="str">
        <f t="shared" si="2"/>
        <v>* regimen.drugs3 insert ObligationActorAndCode($actor-headneck, #handle)</v>
      </c>
      <c r="R19" s="12" t="str">
        <f t="shared" si="3"/>
        <v>* regimen.drugs3 insert ObligationActorAndCode($actor-sarcoma-i4rc, #handle)</v>
      </c>
    </row>
    <row r="20" spans="1:18" ht="44.25" x14ac:dyDescent="0.75">
      <c r="A20" s="60">
        <v>11</v>
      </c>
      <c r="B20" s="13" t="s">
        <v>1781</v>
      </c>
      <c r="C20" s="12" t="s">
        <v>1429</v>
      </c>
      <c r="D20" s="12" t="s">
        <v>2342</v>
      </c>
      <c r="E20" s="11">
        <v>1</v>
      </c>
      <c r="F20" s="11">
        <v>1</v>
      </c>
      <c r="G20" s="86" t="s">
        <v>43</v>
      </c>
      <c r="H20" s="12"/>
      <c r="I20" s="12" t="b">
        <v>1</v>
      </c>
      <c r="J20" s="12" t="b">
        <v>0</v>
      </c>
      <c r="K20" t="s">
        <v>2211</v>
      </c>
      <c r="L20" s="12" t="str">
        <f t="shared" si="0"/>
        <v>* regimen.startDateRegimenChanged 1..1 date ##34#Start date regimen changed##34# ##334#specifies when the new Other treatment begins, if a combination please specify the start of the first drug##334#</v>
      </c>
      <c r="N20" s="12" t="str">
        <f t="shared" si="1"/>
        <v/>
      </c>
      <c r="P20" s="12" t="str">
        <f t="shared" si="2"/>
        <v>* regimen.startDateRegimenChanged insert ObligationActorAndCode($actor-headneck, #handle)</v>
      </c>
      <c r="R20" s="12" t="str">
        <f t="shared" si="3"/>
        <v/>
      </c>
    </row>
    <row r="21" spans="1:18" ht="44.25" x14ac:dyDescent="0.75">
      <c r="A21" s="60">
        <v>12</v>
      </c>
      <c r="B21" s="13" t="s">
        <v>1782</v>
      </c>
      <c r="C21" s="12" t="s">
        <v>1430</v>
      </c>
      <c r="D21" s="12" t="s">
        <v>2343</v>
      </c>
      <c r="E21" s="11">
        <v>1</v>
      </c>
      <c r="F21" s="11">
        <v>1</v>
      </c>
      <c r="G21" s="86" t="s">
        <v>43</v>
      </c>
      <c r="H21" s="12"/>
      <c r="I21" s="12" t="b">
        <v>1</v>
      </c>
      <c r="J21" s="12" t="b">
        <v>0</v>
      </c>
      <c r="K21" t="s">
        <v>2212</v>
      </c>
      <c r="L21" s="12" t="str">
        <f t="shared" si="0"/>
        <v>* regimen.endDateRegimenChanged 1..1 date ##34#End date regimen changed##34# ##334#specifies when the new  Other treatment ends,if a combination please specify the end of the last drug##334#</v>
      </c>
      <c r="N21" s="12" t="str">
        <f t="shared" si="1"/>
        <v/>
      </c>
      <c r="P21" s="12" t="str">
        <f t="shared" si="2"/>
        <v>* regimen.endDateRegimenChanged insert ObligationActorAndCode($actor-headneck, #handle)</v>
      </c>
      <c r="R21" s="12" t="str">
        <f t="shared" si="3"/>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0"/>
        <v>* reasonForEndOfTreatment 1..1 CodeableConcept ##34#Reason for end of treatment##34# ##334#Clarifies the reasons why the treatment ended or was interrupted##334#</v>
      </c>
      <c r="N22"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2"/>
        <v>* reasonForEndOfTreatment insert ObligationActorAndCode($actor-headneck, #handle)</v>
      </c>
      <c r="R22" s="12" t="str">
        <f t="shared" si="3"/>
        <v>* reasonForEndOfTreatment insert ObligationActorAndCode($actor-sarcoma-i4rc, #handle)</v>
      </c>
    </row>
    <row r="23" spans="1:18" ht="103.25" x14ac:dyDescent="0.75">
      <c r="A23" s="59">
        <v>14</v>
      </c>
      <c r="B23" s="11" t="s">
        <v>1858</v>
      </c>
      <c r="C23" s="12" t="s">
        <v>1653</v>
      </c>
      <c r="D23" s="11" t="s">
        <v>1654</v>
      </c>
      <c r="E23" s="11">
        <v>1</v>
      </c>
      <c r="F23" s="11">
        <v>1</v>
      </c>
      <c r="G23" t="s">
        <v>1468</v>
      </c>
      <c r="H23" s="12" t="s">
        <v>1655</v>
      </c>
      <c r="I23" s="12" t="b">
        <v>1</v>
      </c>
      <c r="J23" s="12" t="b">
        <v>1</v>
      </c>
      <c r="K23" t="s">
        <v>1858</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1"/>
        <v>* treatmentResponse ^comment = ##334#Complete response; Partial response; Stable disease; Progression; Unknown.
Complete response - 4163135
Partial response -  4161302
Stable disease - 4241442
Progression - 4168352
Unknown - 4129922##334#</v>
      </c>
      <c r="P23" s="12" t="str">
        <f t="shared" si="2"/>
        <v>* treatmentResponse insert ObligationActorAndCode($actor-headneck, #handle)</v>
      </c>
      <c r="R23" s="12" t="str">
        <f t="shared" si="3"/>
        <v>* treatmentResponse insert ObligationActorAndCode($actor-sarcoma-i4rc, #handle)</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A28" s="59"/>
      <c r="B28" s="12"/>
      <c r="C28" s="12"/>
      <c r="D28" s="12"/>
      <c r="E28" s="11"/>
      <c r="F28" s="11"/>
      <c r="G28" s="11"/>
      <c r="H28" s="12"/>
      <c r="I28" s="12"/>
      <c r="J28" s="12"/>
      <c r="L28" s="12" t="str">
        <f t="shared" si="0"/>
        <v>*  ..  ##34###34# ##334###334#</v>
      </c>
      <c r="N28" s="12" t="str">
        <f t="shared" si="1"/>
        <v>*  ..  ##34###34# ##334###334#</v>
      </c>
      <c r="P28" s="12" t="str">
        <f t="shared" si="2"/>
        <v>*  ..  ##34###34# ##334###334#</v>
      </c>
      <c r="R28" s="12" t="str">
        <f t="shared" si="3"/>
        <v>*  ..  ##34###34# ##334###334#</v>
      </c>
    </row>
    <row r="29" spans="1:18" x14ac:dyDescent="0.75">
      <c r="I29" s="12"/>
      <c r="J29" s="12"/>
      <c r="L29" s="12" t="str">
        <f t="shared" si="0"/>
        <v>*  ..  ##34###34# ##334###334#</v>
      </c>
      <c r="N29" s="12" t="str">
        <f t="shared" si="1"/>
        <v>*  ..  ##34###34# ##334###334#</v>
      </c>
      <c r="P29" s="12" t="str">
        <f t="shared" si="2"/>
        <v>*  ..  ##34###34# ##334###334#</v>
      </c>
      <c r="R29" s="12" t="str">
        <f t="shared" si="3"/>
        <v>*  ..  ##34###34# ##334###334#</v>
      </c>
    </row>
    <row r="30" spans="1:18" x14ac:dyDescent="0.75">
      <c r="I30" s="12"/>
      <c r="J30" s="12"/>
      <c r="P30" s="12" t="str">
        <f t="shared" si="2"/>
        <v/>
      </c>
      <c r="R30" s="12" t="str">
        <f t="shared" si="3"/>
        <v/>
      </c>
    </row>
    <row r="31" spans="1:18" x14ac:dyDescent="0.75">
      <c r="I31" s="12"/>
      <c r="J31" s="12"/>
      <c r="P31" s="12" t="str">
        <f t="shared" si="2"/>
        <v/>
      </c>
      <c r="R31" s="12" t="str">
        <f t="shared" si="3"/>
        <v/>
      </c>
    </row>
    <row r="32" spans="1:18" x14ac:dyDescent="0.75">
      <c r="I32" s="12"/>
      <c r="J32" s="12"/>
      <c r="P32" s="12" t="str">
        <f t="shared" si="2"/>
        <v/>
      </c>
      <c r="R32" s="12" t="str">
        <f t="shared" si="3"/>
        <v/>
      </c>
    </row>
    <row r="33" spans="9:18" x14ac:dyDescent="0.75">
      <c r="I33" s="12"/>
      <c r="J33" s="12"/>
      <c r="P33" s="12" t="str">
        <f t="shared" si="2"/>
        <v/>
      </c>
      <c r="R33" s="12" t="str">
        <f t="shared" si="3"/>
        <v/>
      </c>
    </row>
    <row r="34" spans="9:18" x14ac:dyDescent="0.75">
      <c r="I34" s="12"/>
      <c r="J34" s="12"/>
      <c r="P34" s="12" t="str">
        <f t="shared" si="2"/>
        <v/>
      </c>
      <c r="R34" s="12" t="str">
        <f t="shared" si="3"/>
        <v/>
      </c>
    </row>
    <row r="35" spans="9:18" x14ac:dyDescent="0.75">
      <c r="I35" s="12"/>
      <c r="J35" s="12"/>
      <c r="P35" s="12" t="str">
        <f t="shared" si="2"/>
        <v/>
      </c>
      <c r="R35" s="12" t="str">
        <f t="shared" si="3"/>
        <v/>
      </c>
    </row>
    <row r="36" spans="9:18" x14ac:dyDescent="0.75">
      <c r="I36" s="12"/>
      <c r="J36" s="12"/>
      <c r="P36" s="12" t="str">
        <f t="shared" si="2"/>
        <v/>
      </c>
      <c r="R36" s="12" t="str">
        <f t="shared" si="3"/>
        <v/>
      </c>
    </row>
    <row r="37" spans="9:18" x14ac:dyDescent="0.75">
      <c r="I37" s="12"/>
      <c r="J37" s="12"/>
      <c r="P37" s="12" t="str">
        <f t="shared" si="2"/>
        <v/>
      </c>
      <c r="R37" s="12" t="str">
        <f t="shared" si="3"/>
        <v/>
      </c>
    </row>
    <row r="38" spans="9:18" x14ac:dyDescent="0.75">
      <c r="I38" s="12"/>
      <c r="J38" s="12"/>
      <c r="P38" s="12" t="str">
        <f t="shared" si="2"/>
        <v/>
      </c>
      <c r="R38" s="12" t="str">
        <f t="shared" si="3"/>
        <v/>
      </c>
    </row>
    <row r="39" spans="9:18" x14ac:dyDescent="0.75">
      <c r="I39" s="12"/>
      <c r="J39" s="12"/>
      <c r="P39" s="12" t="str">
        <f t="shared" si="2"/>
        <v/>
      </c>
      <c r="R39" s="12" t="str">
        <f t="shared" si="3"/>
        <v/>
      </c>
    </row>
    <row r="40" spans="9:18" x14ac:dyDescent="0.75">
      <c r="I40" s="12"/>
      <c r="J40" s="12"/>
      <c r="P40" s="12" t="str">
        <f t="shared" si="2"/>
        <v/>
      </c>
      <c r="R40" s="12" t="str">
        <f t="shared" si="3"/>
        <v/>
      </c>
    </row>
    <row r="41" spans="9:18" x14ac:dyDescent="0.75">
      <c r="I41" s="12"/>
      <c r="J41" s="12"/>
      <c r="P41" s="12" t="str">
        <f t="shared" si="2"/>
        <v/>
      </c>
      <c r="R41" s="12" t="str">
        <f t="shared" si="3"/>
        <v/>
      </c>
    </row>
    <row r="42" spans="9:18" x14ac:dyDescent="0.75">
      <c r="I42" s="12"/>
      <c r="J42" s="12"/>
      <c r="P42" s="12" t="str">
        <f t="shared" si="2"/>
        <v/>
      </c>
      <c r="R42" s="12" t="str">
        <f t="shared" si="3"/>
        <v/>
      </c>
    </row>
    <row r="43" spans="9:18" x14ac:dyDescent="0.75">
      <c r="I43" s="12"/>
      <c r="J43" s="12"/>
      <c r="P43" s="12" t="str">
        <f t="shared" si="2"/>
        <v/>
      </c>
      <c r="R43" s="12" t="str">
        <f t="shared" si="3"/>
        <v/>
      </c>
    </row>
    <row r="44" spans="9:18" x14ac:dyDescent="0.75">
      <c r="I44" s="12"/>
      <c r="J44" s="12"/>
      <c r="P44" s="12" t="str">
        <f t="shared" si="2"/>
        <v/>
      </c>
      <c r="R44" s="12" t="str">
        <f t="shared" si="3"/>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2470</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abSelected="1"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2471</v>
      </c>
      <c r="D3" s="47" t="s">
        <v>1473</v>
      </c>
      <c r="E3" s="71" t="str">
        <f>$C$1&amp;B14</f>
        <v>http://hl7.eu/fhir/ig/idea4rc/StructureDefinition/SystemicTreatment</v>
      </c>
    </row>
    <row r="4" spans="1:19" x14ac:dyDescent="0.75">
      <c r="B4" s="47" t="s">
        <v>16</v>
      </c>
      <c r="C4" s="28" t="s">
        <v>2476</v>
      </c>
      <c r="D4" s="47" t="s">
        <v>1474</v>
      </c>
      <c r="E4" s="154" t="s">
        <v>1818</v>
      </c>
      <c r="F4" s="162"/>
      <c r="G4" s="162"/>
    </row>
    <row r="5" spans="1:19" x14ac:dyDescent="0.75">
      <c r="B5" s="47" t="s">
        <v>10</v>
      </c>
      <c r="C5" s="166" t="s">
        <v>2472</v>
      </c>
      <c r="D5" s="47"/>
      <c r="E5" s="7"/>
    </row>
    <row r="6" spans="1:19" x14ac:dyDescent="0.75">
      <c r="B6" s="47" t="s">
        <v>18</v>
      </c>
      <c r="C6" s="41"/>
      <c r="D6" s="47" t="s">
        <v>1475</v>
      </c>
      <c r="E6" s="154" t="str">
        <f>E3</f>
        <v>http://hl7.eu/fhir/ig/idea4rc/StructureDefinition/SystemicTreatment</v>
      </c>
      <c r="F6" s="155"/>
      <c r="G6" s="155"/>
    </row>
    <row r="7" spans="1:19" x14ac:dyDescent="0.75">
      <c r="B7" s="47" t="s">
        <v>15</v>
      </c>
      <c r="C7" s="72"/>
      <c r="D7" s="47" t="s">
        <v>1476</v>
      </c>
      <c r="E7" s="154" t="str">
        <f>E4</f>
        <v>http://hl7.eu/fhir/ig/idea4rc/StructureDefinition/MedicationAdministration-eu-i4rc</v>
      </c>
      <c r="F7" s="155"/>
      <c r="G7" s="155"/>
    </row>
    <row r="8" spans="1:19" ht="45" thickBot="1" x14ac:dyDescent="0.9">
      <c r="B8" s="47" t="s">
        <v>1477</v>
      </c>
      <c r="C8" s="7" t="s">
        <v>2472</v>
      </c>
      <c r="D8" s="47"/>
      <c r="E8" s="7"/>
      <c r="I8" s="12" t="s">
        <v>1289</v>
      </c>
      <c r="J8" s="12" t="s">
        <v>1290</v>
      </c>
      <c r="K8" s="12" t="s">
        <v>1291</v>
      </c>
      <c r="L8" s="12" t="s">
        <v>1292</v>
      </c>
      <c r="M8" s="11" t="s">
        <v>1293</v>
      </c>
      <c r="P8" s="34" t="s">
        <v>1328</v>
      </c>
      <c r="Q8" s="34">
        <v>6</v>
      </c>
    </row>
    <row r="9" spans="1:19" ht="30.25" thickBot="1" x14ac:dyDescent="0.9">
      <c r="B9" s="47" t="s">
        <v>1478</v>
      </c>
      <c r="C9" s="12" t="s">
        <v>2345</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1790</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1791</v>
      </c>
      <c r="E15" s="12"/>
      <c r="F15" s="49" t="s">
        <v>1294</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1812</v>
      </c>
      <c r="E16" s="12"/>
      <c r="F16" s="49" t="s">
        <v>1316</v>
      </c>
      <c r="G16" s="77" t="s">
        <v>2319</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1812</v>
      </c>
      <c r="E17" s="12"/>
      <c r="F17" s="49" t="s">
        <v>1294</v>
      </c>
      <c r="G17" s="49" t="s">
        <v>1479</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1812</v>
      </c>
      <c r="E18" s="12"/>
      <c r="F18" s="49" t="s">
        <v>1294</v>
      </c>
      <c r="G18" s="76" t="s">
        <v>1479</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1612</v>
      </c>
      <c r="E19" s="12"/>
      <c r="F19" s="49" t="s">
        <v>1316</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1813</v>
      </c>
      <c r="E20" s="12"/>
      <c r="F20" s="49" t="s">
        <v>1316</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1294</v>
      </c>
      <c r="G21" s="76" t="s">
        <v>2302</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1294</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1814</v>
      </c>
      <c r="E23" s="11"/>
      <c r="F23" s="49" t="s">
        <v>1294</v>
      </c>
      <c r="G23" s="76" t="s">
        <v>1479</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1814</v>
      </c>
      <c r="E24" s="11"/>
      <c r="F24" s="49" t="s">
        <v>1294</v>
      </c>
      <c r="G24" s="76" t="s">
        <v>1479</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1814</v>
      </c>
      <c r="E25" s="11"/>
      <c r="F25" s="49" t="s">
        <v>1294</v>
      </c>
      <c r="G25" s="76" t="s">
        <v>1479</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SystemicTreatment!B19</f>
        <v>regimen.drugs3</v>
      </c>
      <c r="C26" s="11" t="str">
        <f>SystemicTreatment!C19</f>
        <v>Drugs 3</v>
      </c>
      <c r="D26" s="153"/>
      <c r="E26" s="12"/>
      <c r="F26" s="49" t="s">
        <v>1294</v>
      </c>
      <c r="G26" s="76" t="s">
        <v>1479</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1294</v>
      </c>
      <c r="G27" s="76" t="s">
        <v>1479</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1815</v>
      </c>
      <c r="E28" s="12"/>
      <c r="F28" s="49" t="s">
        <v>1294</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1816</v>
      </c>
      <c r="E29" s="12"/>
      <c r="F29" s="49" t="s">
        <v>1294</v>
      </c>
      <c r="G29" s="76" t="s">
        <v>1817</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2473</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1819</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4" zoomScale="84" zoomScaleNormal="115" workbookViewId="0">
      <selection activeCell="B18" sqref="B18"/>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2075</v>
      </c>
      <c r="J7" s="118" t="s">
        <v>2076</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6" t="s">
        <v>1712</v>
      </c>
      <c r="C9" s="11" t="s">
        <v>1713</v>
      </c>
      <c r="D9" s="12" t="s">
        <v>2351</v>
      </c>
      <c r="E9" s="11">
        <v>1</v>
      </c>
      <c r="F9" s="11">
        <v>1</v>
      </c>
      <c r="G9" s="11" t="s">
        <v>1468</v>
      </c>
      <c r="H9" s="12" t="s">
        <v>1659</v>
      </c>
      <c r="I9" s="12" t="b">
        <v>1</v>
      </c>
      <c r="J9" s="12" t="b">
        <v>1</v>
      </c>
      <c r="K9" s="25" t="s">
        <v>1712</v>
      </c>
      <c r="L9" s="12" t="str">
        <f t="shared" ref="L9:L11" si="2">CONCATENATE("* ",B9, " ",E9,"..",F9," ",G9," ##34#",C9,"##34# ##334#",D9,"##334#")</f>
        <v>* radiotherapy 1..1 CodeableConcept ##34#Radiotherapy##34# ##334#Whether it was performed at the registering hospital or another hospital.##334#</v>
      </c>
      <c r="N9" s="12" t="str">
        <f t="shared" ref="N9:N11" si="3">IF(H9="",IF(L9="*  ..  ##34###34# ##334###334#",L9,""),IF(L9="*  ..  ##34###34# ##334###334#",L9,CONCATENATE("* ",B9," ^comment = ##334#",H9,"##334#")))</f>
        <v>* radiotherapy ^comment = ##334#Yes done at the hospital; Yes done at a different hospital; Not Done; Unknown.
Custom##334#</v>
      </c>
      <c r="P9" s="12" t="str">
        <f t="shared" ref="P9:P11" si="4">IF(I9,IF(L9="*  ..  ##34###34# ##334###334#",L9,CONCATENATE("* ",B9," insert ObligationActorAndCode($actor-headneck, #handle)")),IF(L9="*  ..  ##34###34# ##334###334#",L9,""))</f>
        <v>* radiotherapy insert ObligationActorAndCode($actor-headneck, #handle)</v>
      </c>
      <c r="R9" s="12" t="str">
        <f t="shared" ref="R9:R11"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1717</v>
      </c>
      <c r="C12" s="11" t="s">
        <v>1718</v>
      </c>
      <c r="D12" s="12" t="s">
        <v>1719</v>
      </c>
      <c r="E12" s="11">
        <v>1</v>
      </c>
      <c r="F12" s="11">
        <v>1</v>
      </c>
      <c r="G12" s="11" t="s">
        <v>1468</v>
      </c>
      <c r="H12" s="12" t="s">
        <v>1720</v>
      </c>
      <c r="I12" s="12" t="b">
        <v>1</v>
      </c>
      <c r="J12" s="12" t="b">
        <v>1</v>
      </c>
      <c r="K12" s="25" t="s">
        <v>1717</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ref="P12:P42" si="8">IF(I12,IF(L12="*  ..  ##34###34# ##334###334#",L12,CONCATENATE("* ",B12," insert ObligationActorAndCode($actor-headneck, #handle)")),IF(L12="*  ..  ##34###34# ##334###334#",L12,""))</f>
        <v>* beamQuality insert ObligationActorAndCode($actor-headneck, #handle)</v>
      </c>
      <c r="R12" s="12" t="str">
        <f t="shared" ref="R12:R42" si="9">IF(J12,IF(L12="*  ..  ##34###34# ##334###334#",L12,CONCATENATE("* ",B12," insert ObligationActorAndCode($actor-sarcoma-i4rc, #handle)")),IF(L12="*  ..  ##34###34# ##334###334#",L12,""))</f>
        <v>* beamQuality insert ObligationActorAndCode($actor-sarcoma-i4rc, #handle)</v>
      </c>
    </row>
    <row r="13" spans="1:18" ht="191.75" x14ac:dyDescent="0.75">
      <c r="A13" s="96">
        <v>5</v>
      </c>
      <c r="B13" s="11" t="s">
        <v>2447</v>
      </c>
      <c r="C13" s="11" t="s">
        <v>2448</v>
      </c>
      <c r="D13" s="11" t="s">
        <v>2448</v>
      </c>
      <c r="E13" s="11">
        <v>0</v>
      </c>
      <c r="F13" s="11">
        <v>1</v>
      </c>
      <c r="G13" s="11" t="s">
        <v>0</v>
      </c>
      <c r="H13" s="12"/>
      <c r="I13" s="12" t="b">
        <v>1</v>
      </c>
      <c r="J13" s="12" t="b">
        <v>0</v>
      </c>
      <c r="K13" s="25" t="s">
        <v>1721</v>
      </c>
      <c r="L13" s="12" t="str">
        <f t="shared" si="6"/>
        <v>* otherBeam 0..1 string ##34#Beam quality Other; specify##34# ##334#Beam quality Other; specify##334#</v>
      </c>
      <c r="N13" s="12" t="str">
        <f t="shared" si="7"/>
        <v/>
      </c>
      <c r="P13" s="12" t="str">
        <f t="shared" si="8"/>
        <v>* otherBeam insert ObligationActorAndCode($actor-headneck, #handle)</v>
      </c>
      <c r="R13" s="12" t="str">
        <f t="shared" si="9"/>
        <v/>
      </c>
    </row>
    <row r="14" spans="1:18" ht="221.25" x14ac:dyDescent="0.75">
      <c r="A14" s="60">
        <v>6</v>
      </c>
      <c r="B14" s="11" t="s">
        <v>1722</v>
      </c>
      <c r="C14" s="11" t="s">
        <v>1723</v>
      </c>
      <c r="D14" s="12" t="s">
        <v>1724</v>
      </c>
      <c r="E14" s="11">
        <v>1</v>
      </c>
      <c r="F14" s="11">
        <v>1</v>
      </c>
      <c r="G14" s="11" t="s">
        <v>1468</v>
      </c>
      <c r="H14" s="12" t="s">
        <v>1725</v>
      </c>
      <c r="I14" s="12" t="b">
        <v>1</v>
      </c>
      <c r="J14" s="12" t="b">
        <v>1</v>
      </c>
      <c r="K14" s="25" t="s">
        <v>1722</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8"/>
        <v>* treatmentTechnique insert ObligationActorAndCode($actor-headneck, #handle)</v>
      </c>
      <c r="R14" s="12" t="str">
        <f t="shared" si="9"/>
        <v>* treatmentTechnique insert ObligationActorAndCode($actor-sarcoma-i4rc, #handle)</v>
      </c>
    </row>
    <row r="15" spans="1:18" ht="29.5" x14ac:dyDescent="0.75">
      <c r="A15" s="59">
        <v>7</v>
      </c>
      <c r="B15" s="11" t="s">
        <v>1726</v>
      </c>
      <c r="C15" s="11" t="s">
        <v>1727</v>
      </c>
      <c r="D15" s="12" t="s">
        <v>1728</v>
      </c>
      <c r="E15" s="11">
        <v>1</v>
      </c>
      <c r="F15" s="11">
        <v>1</v>
      </c>
      <c r="G15" s="42" t="s">
        <v>1784</v>
      </c>
      <c r="H15" s="12"/>
      <c r="I15" s="12" t="b">
        <v>1</v>
      </c>
      <c r="J15" s="12" t="b">
        <v>1</v>
      </c>
      <c r="K15" s="25" t="s">
        <v>2216</v>
      </c>
      <c r="L15" s="12" t="str">
        <f t="shared" si="6"/>
        <v>* totalDoseTdGy 1..1 decimal ##34#Total Dose (TD) Gy##34# ##334#Refers to the total dose delivered to the patient in Gy##334#</v>
      </c>
      <c r="N15" s="12" t="str">
        <f t="shared" si="7"/>
        <v/>
      </c>
      <c r="P15" s="12" t="str">
        <f t="shared" si="8"/>
        <v>* totalDoseTdGy insert ObligationActorAndCode($actor-headneck, #handle)</v>
      </c>
      <c r="R15" s="12" t="str">
        <f t="shared" si="9"/>
        <v>* totalDoseTdGy insert ObligationActorAndCode($actor-sarcoma-i4rc, #handle)</v>
      </c>
    </row>
    <row r="16" spans="1:18" ht="29.5" x14ac:dyDescent="0.75">
      <c r="A16" s="140">
        <v>8</v>
      </c>
      <c r="B16" s="11" t="s">
        <v>1729</v>
      </c>
      <c r="C16" s="11" t="s">
        <v>1730</v>
      </c>
      <c r="D16" s="12" t="s">
        <v>1731</v>
      </c>
      <c r="E16" s="11">
        <v>1</v>
      </c>
      <c r="F16" s="11">
        <v>1</v>
      </c>
      <c r="G16" s="42" t="s">
        <v>1784</v>
      </c>
      <c r="H16" s="12"/>
      <c r="I16" s="12" t="b">
        <v>1</v>
      </c>
      <c r="J16" s="12" t="b">
        <v>0</v>
      </c>
      <c r="K16" s="25" t="s">
        <v>2217</v>
      </c>
      <c r="L16" s="12" t="str">
        <f t="shared" si="6"/>
        <v>* fractionSizeFs 1..1 decimal ##34#Fraction Size (FS)##34# ##334#Refers to the Dose per fraction delivered to the patient.##334#</v>
      </c>
      <c r="N16" s="12" t="str">
        <f t="shared" si="7"/>
        <v/>
      </c>
      <c r="P16" s="12" t="str">
        <f t="shared" si="8"/>
        <v>* fractionSizeFs insert ObligationActorAndCode($actor-headneck, #handle)</v>
      </c>
      <c r="R16" s="12" t="str">
        <f t="shared" si="9"/>
        <v/>
      </c>
    </row>
    <row r="17" spans="1:18" ht="29.5" x14ac:dyDescent="0.75">
      <c r="A17" s="59">
        <v>9</v>
      </c>
      <c r="B17" s="11" t="s">
        <v>1732</v>
      </c>
      <c r="C17" s="11" t="s">
        <v>1733</v>
      </c>
      <c r="D17" s="12" t="s">
        <v>1734</v>
      </c>
      <c r="E17" s="11">
        <v>1</v>
      </c>
      <c r="F17" s="11">
        <v>1</v>
      </c>
      <c r="G17" s="42" t="s">
        <v>1784</v>
      </c>
      <c r="H17" s="12"/>
      <c r="I17" s="12" t="b">
        <v>1</v>
      </c>
      <c r="J17" s="12" t="b">
        <v>1</v>
      </c>
      <c r="K17" s="25" t="s">
        <v>1732</v>
      </c>
      <c r="L17" s="12" t="str">
        <f t="shared" si="6"/>
        <v>* numberOfFractions 1..1 decimal ##34#Number of fractions##34# ##334#Refers to the total number of fractions delivered to the patient##334#</v>
      </c>
      <c r="N17" s="12" t="str">
        <f t="shared" si="7"/>
        <v/>
      </c>
      <c r="P17" s="12" t="str">
        <f t="shared" si="8"/>
        <v>* numberOfFractions insert ObligationActorAndCode($actor-headneck, #handle)</v>
      </c>
      <c r="R17" s="12" t="str">
        <f t="shared" si="9"/>
        <v>* numberOfFractions insert ObligationActorAndCode($actor-sarcoma-i4rc, #handle)</v>
      </c>
    </row>
    <row r="18" spans="1:18" ht="59" x14ac:dyDescent="0.75">
      <c r="A18" s="60">
        <v>10</v>
      </c>
      <c r="B18" s="11" t="s">
        <v>1735</v>
      </c>
      <c r="C18" s="11" t="s">
        <v>1736</v>
      </c>
      <c r="D18" s="12" t="s">
        <v>1737</v>
      </c>
      <c r="E18" s="11">
        <v>0</v>
      </c>
      <c r="F18" s="11">
        <v>1</v>
      </c>
      <c r="G18" s="11" t="s">
        <v>1468</v>
      </c>
      <c r="H18" s="12" t="s">
        <v>1677</v>
      </c>
      <c r="I18" s="12" t="b">
        <v>1</v>
      </c>
      <c r="J18" s="12" t="b">
        <v>0</v>
      </c>
      <c r="K18" t="s">
        <v>1735</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8"/>
        <v>* adaptiveRt insert ObligationActorAndCode($actor-headneck, #handle)</v>
      </c>
      <c r="R18" s="12" t="str">
        <f t="shared" si="9"/>
        <v/>
      </c>
    </row>
    <row r="19" spans="1:18" ht="73.75" x14ac:dyDescent="0.75">
      <c r="A19" s="59">
        <v>11</v>
      </c>
      <c r="B19" s="11" t="s">
        <v>1738</v>
      </c>
      <c r="C19" s="11" t="s">
        <v>1739</v>
      </c>
      <c r="D19" s="12" t="s">
        <v>1740</v>
      </c>
      <c r="E19" s="11">
        <v>0</v>
      </c>
      <c r="F19" s="11">
        <v>1</v>
      </c>
      <c r="G19" s="11" t="s">
        <v>1468</v>
      </c>
      <c r="H19" s="12" t="s">
        <v>1677</v>
      </c>
      <c r="I19" s="12" t="b">
        <v>1</v>
      </c>
      <c r="J19" s="12" t="b">
        <v>0</v>
      </c>
      <c r="K19" t="s">
        <v>2218</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8"/>
        <v>* igrtImageGuideRadiotherapy insert ObligationActorAndCode($actor-headneck, #handle)</v>
      </c>
      <c r="R19" s="12" t="str">
        <f t="shared" si="9"/>
        <v/>
      </c>
    </row>
    <row r="20" spans="1:18" ht="29.5" x14ac:dyDescent="0.75">
      <c r="A20" s="59">
        <v>12</v>
      </c>
      <c r="B20" s="11" t="s">
        <v>1741</v>
      </c>
      <c r="C20" s="11" t="s">
        <v>1742</v>
      </c>
      <c r="D20" s="12" t="s">
        <v>1743</v>
      </c>
      <c r="E20" s="11">
        <v>1</v>
      </c>
      <c r="F20" s="11">
        <v>1</v>
      </c>
      <c r="G20" s="11" t="s">
        <v>43</v>
      </c>
      <c r="H20" s="12"/>
      <c r="I20" s="12" t="b">
        <v>1</v>
      </c>
      <c r="J20" s="12" t="b">
        <v>1</v>
      </c>
      <c r="K20" t="s">
        <v>1741</v>
      </c>
      <c r="L20" s="12" t="str">
        <f t="shared" si="6"/>
        <v>* startDate 1..1 date ##34#Start date##34# ##334#Date when  the first radiation treatment was delivered##334#</v>
      </c>
      <c r="N20" s="12" t="str">
        <f t="shared" si="7"/>
        <v/>
      </c>
      <c r="P20" s="12" t="str">
        <f t="shared" si="8"/>
        <v>* startDate insert ObligationActorAndCode($actor-headneck, #handle)</v>
      </c>
      <c r="R20" s="12" t="str">
        <f t="shared" si="9"/>
        <v>* startDate insert ObligationActorAndCode($actor-sarcoma-i4rc, #handle)</v>
      </c>
    </row>
    <row r="21" spans="1:18" ht="29.5" x14ac:dyDescent="0.75">
      <c r="A21" s="59">
        <v>13</v>
      </c>
      <c r="B21" s="11" t="s">
        <v>1744</v>
      </c>
      <c r="C21" s="11" t="s">
        <v>1745</v>
      </c>
      <c r="D21" s="12" t="s">
        <v>1746</v>
      </c>
      <c r="E21" s="11">
        <v>1</v>
      </c>
      <c r="F21" s="11">
        <v>1</v>
      </c>
      <c r="G21" s="11" t="s">
        <v>43</v>
      </c>
      <c r="H21" s="12"/>
      <c r="I21" s="12" t="b">
        <v>1</v>
      </c>
      <c r="J21" s="12" t="b">
        <v>1</v>
      </c>
      <c r="K21" t="s">
        <v>1744</v>
      </c>
      <c r="L21" s="12" t="str">
        <f t="shared" si="6"/>
        <v>* endDate 1..1 date ##34#End  date##34# ##334#Date when the last radiation treatment ended##334#</v>
      </c>
      <c r="N21" s="12" t="str">
        <f t="shared" si="7"/>
        <v/>
      </c>
      <c r="P21" s="12" t="str">
        <f t="shared" si="8"/>
        <v>* endDate insert ObligationActorAndCode($actor-headneck, #handle)</v>
      </c>
      <c r="R21" s="12" t="str">
        <f t="shared" si="9"/>
        <v>* endDate insert ObligationActorAndCode($actor-sarcoma-i4rc, #handle)</v>
      </c>
    </row>
    <row r="22" spans="1:18" ht="59" x14ac:dyDescent="0.75">
      <c r="A22" s="59">
        <v>14</v>
      </c>
      <c r="B22" s="11" t="s">
        <v>1747</v>
      </c>
      <c r="C22" s="11" t="s">
        <v>1748</v>
      </c>
      <c r="D22" s="12" t="s">
        <v>1749</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8"/>
        <v>* treatmentSites insert ObligationActorAndCode($actor-headneck, #handle)</v>
      </c>
      <c r="R22" s="12" t="str">
        <f t="shared" si="9"/>
        <v/>
      </c>
    </row>
    <row r="23" spans="1:18" ht="29.5" x14ac:dyDescent="0.75">
      <c r="A23" s="60">
        <v>15</v>
      </c>
      <c r="B23" s="42" t="s">
        <v>1768</v>
      </c>
      <c r="C23" s="11" t="s">
        <v>1750</v>
      </c>
      <c r="D23" s="13" t="s">
        <v>1750</v>
      </c>
      <c r="E23" s="11">
        <v>0</v>
      </c>
      <c r="F23" s="11">
        <v>1</v>
      </c>
      <c r="G23" s="11" t="s">
        <v>44</v>
      </c>
      <c r="H23" s="12"/>
      <c r="I23" s="12" t="b">
        <v>1</v>
      </c>
      <c r="J23" s="12" t="b">
        <v>0</v>
      </c>
      <c r="K23" t="s">
        <v>2219</v>
      </c>
      <c r="L23" s="12" t="str">
        <f t="shared" si="6"/>
        <v>* treatmentSites.primary 0..1 boolean ##34#Primary##34# ##334#Primary##334#</v>
      </c>
      <c r="N23" s="12" t="str">
        <f t="shared" si="7"/>
        <v/>
      </c>
      <c r="P23" s="12" t="str">
        <f t="shared" si="8"/>
        <v>* treatmentSites.primary insert ObligationActorAndCode($actor-headneck, #handle)</v>
      </c>
      <c r="R23" s="12" t="str">
        <f t="shared" si="9"/>
        <v/>
      </c>
    </row>
    <row r="24" spans="1:18" ht="29.5" x14ac:dyDescent="0.75">
      <c r="A24" s="59">
        <v>16</v>
      </c>
      <c r="B24" s="42" t="s">
        <v>1769</v>
      </c>
      <c r="C24" s="11" t="s">
        <v>1751</v>
      </c>
      <c r="D24" s="13" t="s">
        <v>1751</v>
      </c>
      <c r="E24" s="11">
        <v>0</v>
      </c>
      <c r="F24" s="11">
        <v>1</v>
      </c>
      <c r="G24" s="11" t="s">
        <v>44</v>
      </c>
      <c r="H24" s="12"/>
      <c r="I24" s="12" t="b">
        <v>1</v>
      </c>
      <c r="J24" s="12" t="b">
        <v>0</v>
      </c>
      <c r="K24" t="s">
        <v>2220</v>
      </c>
      <c r="L24" s="12" t="str">
        <f t="shared" si="6"/>
        <v>* treatmentSites.neck 0..1 boolean ##34#Neck##34# ##334#Neck##334#</v>
      </c>
      <c r="N24" s="12" t="str">
        <f t="shared" si="7"/>
        <v/>
      </c>
      <c r="P24" s="12" t="str">
        <f t="shared" si="8"/>
        <v>* treatmentSites.neck insert ObligationActorAndCode($actor-headneck, #handle)</v>
      </c>
      <c r="R24" s="12" t="str">
        <f t="shared" si="9"/>
        <v/>
      </c>
    </row>
    <row r="25" spans="1:18" ht="29.5" x14ac:dyDescent="0.75">
      <c r="A25" s="60">
        <v>17</v>
      </c>
      <c r="B25" s="42" t="s">
        <v>1770</v>
      </c>
      <c r="C25" s="11" t="s">
        <v>1752</v>
      </c>
      <c r="D25" s="13" t="s">
        <v>1752</v>
      </c>
      <c r="E25" s="11">
        <v>1</v>
      </c>
      <c r="F25" s="11">
        <v>1</v>
      </c>
      <c r="G25" s="11" t="s">
        <v>44</v>
      </c>
      <c r="H25" s="12"/>
      <c r="I25" s="12" t="b">
        <v>1</v>
      </c>
      <c r="J25" s="12" t="b">
        <v>0</v>
      </c>
      <c r="K25" t="s">
        <v>2221</v>
      </c>
      <c r="L25" s="12" t="str">
        <f t="shared" si="6"/>
        <v>* treatmentSites.primaryAndIpsilateralNeck 1..1 boolean ##34#Primary and Ipsilateral Neck##34# ##334#Primary and Ipsilateral Neck##334#</v>
      </c>
      <c r="N25" s="12" t="str">
        <f t="shared" si="7"/>
        <v/>
      </c>
      <c r="P25" s="12" t="str">
        <f t="shared" si="8"/>
        <v>* treatmentSites.primaryAndIpsilateralNeck insert ObligationActorAndCode($actor-headneck, #handle)</v>
      </c>
      <c r="R25" s="12" t="str">
        <f t="shared" si="9"/>
        <v/>
      </c>
    </row>
    <row r="26" spans="1:18" ht="29.5" x14ac:dyDescent="0.75">
      <c r="A26" s="60">
        <v>18</v>
      </c>
      <c r="B26" s="42" t="s">
        <v>1771</v>
      </c>
      <c r="C26" s="11" t="s">
        <v>1753</v>
      </c>
      <c r="D26" s="13" t="s">
        <v>1753</v>
      </c>
      <c r="E26" s="11">
        <v>1</v>
      </c>
      <c r="F26" s="11">
        <v>1</v>
      </c>
      <c r="G26" s="11" t="s">
        <v>44</v>
      </c>
      <c r="H26" s="12"/>
      <c r="I26" s="12" t="b">
        <v>1</v>
      </c>
      <c r="J26" s="12" t="b">
        <v>0</v>
      </c>
      <c r="K26" t="s">
        <v>2222</v>
      </c>
      <c r="L26" s="12" t="str">
        <f t="shared" si="6"/>
        <v>* treatmentSites.primaryAndBilateralNeck 1..1 boolean ##34#Primary and Bilateral Neck##34# ##334#Primary and Bilateral Neck##334#</v>
      </c>
      <c r="N26" s="12" t="str">
        <f t="shared" si="7"/>
        <v/>
      </c>
      <c r="P26" s="12" t="str">
        <f t="shared" si="8"/>
        <v>* treatmentSites.primaryAndBilateralNeck insert ObligationActorAndCode($actor-headneck, #handle)</v>
      </c>
      <c r="R26" s="12" t="str">
        <f t="shared" si="9"/>
        <v/>
      </c>
    </row>
    <row r="27" spans="1:18" ht="29.5" x14ac:dyDescent="0.75">
      <c r="A27" s="60">
        <v>19</v>
      </c>
      <c r="B27" s="42" t="s">
        <v>1772</v>
      </c>
      <c r="C27" s="11" t="s">
        <v>1754</v>
      </c>
      <c r="D27" s="13" t="s">
        <v>1754</v>
      </c>
      <c r="E27" s="11">
        <v>1</v>
      </c>
      <c r="F27" s="11">
        <v>1</v>
      </c>
      <c r="G27" s="11" t="s">
        <v>44</v>
      </c>
      <c r="H27" s="12"/>
      <c r="I27" s="12" t="b">
        <v>1</v>
      </c>
      <c r="J27" s="12" t="b">
        <v>0</v>
      </c>
      <c r="K27" t="s">
        <v>2223</v>
      </c>
      <c r="L27" s="12" t="str">
        <f t="shared" si="6"/>
        <v>* treatmentSites.distantMetastasis 1..1 boolean ##34#Distant Metastasis##34# ##334#Distant Metastasis##334#</v>
      </c>
      <c r="N27" s="12" t="str">
        <f t="shared" si="7"/>
        <v/>
      </c>
      <c r="P27" s="12" t="str">
        <f t="shared" si="8"/>
        <v>* treatmentSites.distantMetastasis insert ObligationActorAndCode($actor-headneck, #handle)</v>
      </c>
      <c r="R27" s="12" t="str">
        <f t="shared" si="9"/>
        <v/>
      </c>
    </row>
    <row r="28" spans="1:18" ht="44.25" x14ac:dyDescent="0.75">
      <c r="A28" s="59">
        <v>20</v>
      </c>
      <c r="B28" s="11" t="s">
        <v>1755</v>
      </c>
      <c r="C28" s="11" t="s">
        <v>1756</v>
      </c>
      <c r="D28" s="12" t="s">
        <v>1757</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8"/>
        <v>* metastaticTreatmentSites insert ObligationActorAndCode($actor-headneck, #handle)</v>
      </c>
      <c r="R28" s="12" t="str">
        <f t="shared" si="9"/>
        <v>* metastaticTreatmentSites insert ObligationActorAndCode($actor-sarcoma-i4rc, #handle)</v>
      </c>
    </row>
    <row r="29" spans="1:18" ht="44.25" x14ac:dyDescent="0.75">
      <c r="A29" s="59">
        <v>21</v>
      </c>
      <c r="B29" s="42" t="s">
        <v>1773</v>
      </c>
      <c r="C29" s="11" t="s">
        <v>1758</v>
      </c>
      <c r="D29" s="13" t="s">
        <v>1758</v>
      </c>
      <c r="E29" s="11">
        <v>0</v>
      </c>
      <c r="F29" s="11">
        <v>1</v>
      </c>
      <c r="G29" s="11" t="s">
        <v>44</v>
      </c>
      <c r="H29" s="12"/>
      <c r="I29" s="12" t="b">
        <v>1</v>
      </c>
      <c r="J29" s="12" t="b">
        <v>1</v>
      </c>
      <c r="K29" t="s">
        <v>1398</v>
      </c>
      <c r="L29" s="12" t="str">
        <f t="shared" si="6"/>
        <v>* metastaticTreatmentSites.lung 0..1 boolean ##34#Lung
##34# ##334#Lung
##334#</v>
      </c>
      <c r="N29" s="12" t="str">
        <f t="shared" si="7"/>
        <v/>
      </c>
      <c r="P29" s="12" t="str">
        <f t="shared" si="8"/>
        <v>* metastaticTreatmentSites.lung insert ObligationActorAndCode($actor-headneck, #handle)</v>
      </c>
      <c r="R29" s="12" t="str">
        <f t="shared" si="9"/>
        <v>* metastaticTreatmentSites.lung insert ObligationActorAndCode($actor-sarcoma-i4rc, #handle)</v>
      </c>
    </row>
    <row r="30" spans="1:18" ht="44.25" x14ac:dyDescent="0.75">
      <c r="A30" s="59">
        <v>22</v>
      </c>
      <c r="B30" s="42" t="s">
        <v>1774</v>
      </c>
      <c r="C30" s="11" t="s">
        <v>1760</v>
      </c>
      <c r="D30" s="13" t="s">
        <v>1760</v>
      </c>
      <c r="E30" s="11">
        <v>0</v>
      </c>
      <c r="F30" s="11">
        <v>1</v>
      </c>
      <c r="G30" s="11" t="s">
        <v>44</v>
      </c>
      <c r="H30" s="12"/>
      <c r="I30" s="12" t="b">
        <v>1</v>
      </c>
      <c r="J30" s="12" t="b">
        <v>1</v>
      </c>
      <c r="K30" t="s">
        <v>1759</v>
      </c>
      <c r="L30" s="12" t="str">
        <f t="shared" si="6"/>
        <v>* metastaticTreatmentSites.mediastinum 0..1 boolean ##34#Mediastinum
##34# ##334#Mediastinum
##334#</v>
      </c>
      <c r="N30" s="12" t="str">
        <f t="shared" si="7"/>
        <v/>
      </c>
      <c r="P30" s="12" t="str">
        <f t="shared" si="8"/>
        <v>* metastaticTreatmentSites.mediastinum insert ObligationActorAndCode($actor-headneck, #handle)</v>
      </c>
      <c r="R30" s="12" t="str">
        <f t="shared" si="9"/>
        <v>* metastaticTreatmentSites.mediastinum insert ObligationActorAndCode($actor-sarcoma-i4rc, #handle)</v>
      </c>
    </row>
    <row r="31" spans="1:18" ht="44.25" x14ac:dyDescent="0.75">
      <c r="A31" s="11">
        <v>23</v>
      </c>
      <c r="B31" s="42" t="s">
        <v>1775</v>
      </c>
      <c r="C31" s="12" t="s">
        <v>1761</v>
      </c>
      <c r="D31" s="13" t="s">
        <v>1761</v>
      </c>
      <c r="E31" s="11">
        <v>0</v>
      </c>
      <c r="F31" s="11">
        <v>1</v>
      </c>
      <c r="G31" s="11" t="s">
        <v>44</v>
      </c>
      <c r="H31" s="12"/>
      <c r="I31" s="12" t="b">
        <v>1</v>
      </c>
      <c r="J31" s="12" t="b">
        <v>1</v>
      </c>
      <c r="K31" t="s">
        <v>1400</v>
      </c>
      <c r="L31" s="12" t="str">
        <f t="shared" si="6"/>
        <v>* metastaticTreatmentSites.bone 0..1 boolean ##34#Bone
##34# ##334#Bone
##334#</v>
      </c>
      <c r="N31" s="12" t="str">
        <f t="shared" si="7"/>
        <v/>
      </c>
      <c r="P31" s="12" t="str">
        <f t="shared" si="8"/>
        <v>* metastaticTreatmentSites.bone insert ObligationActorAndCode($actor-headneck, #handle)</v>
      </c>
      <c r="R31" s="12" t="str">
        <f t="shared" si="9"/>
        <v>* metastaticTreatmentSites.bone insert ObligationActorAndCode($actor-sarcoma-i4rc, #handle)</v>
      </c>
    </row>
    <row r="32" spans="1:18" ht="44.25" x14ac:dyDescent="0.75">
      <c r="A32" s="11">
        <v>24</v>
      </c>
      <c r="B32" s="42" t="s">
        <v>1776</v>
      </c>
      <c r="C32" s="12" t="s">
        <v>1762</v>
      </c>
      <c r="D32" s="13" t="s">
        <v>1762</v>
      </c>
      <c r="E32" s="11">
        <v>0</v>
      </c>
      <c r="F32" s="11">
        <v>1</v>
      </c>
      <c r="G32" s="11" t="s">
        <v>44</v>
      </c>
      <c r="H32" s="12"/>
      <c r="I32" s="12" t="b">
        <v>1</v>
      </c>
      <c r="J32" s="12" t="b">
        <v>1</v>
      </c>
      <c r="K32" t="s">
        <v>1418</v>
      </c>
      <c r="L32" s="12" t="str">
        <f t="shared" si="6"/>
        <v>* metastaticTreatmentSites.softTissue 0..1 boolean ##34#Soft Tissue
##34# ##334#Soft Tissue
##334#</v>
      </c>
      <c r="N32" s="12" t="str">
        <f t="shared" si="7"/>
        <v/>
      </c>
      <c r="P32" s="12" t="str">
        <f t="shared" si="8"/>
        <v>* metastaticTreatmentSites.softTissue insert ObligationActorAndCode($actor-headneck, #handle)</v>
      </c>
      <c r="R32" s="12" t="str">
        <f t="shared" si="9"/>
        <v>* metastaticTreatmentSites.softTissue insert ObligationActorAndCode($actor-sarcoma-i4rc, #handle)</v>
      </c>
    </row>
    <row r="33" spans="1:18" ht="44.25" x14ac:dyDescent="0.75">
      <c r="A33" s="11">
        <v>25</v>
      </c>
      <c r="B33" s="42" t="s">
        <v>1777</v>
      </c>
      <c r="C33" s="12" t="s">
        <v>1763</v>
      </c>
      <c r="D33" s="13" t="s">
        <v>1763</v>
      </c>
      <c r="E33" s="11">
        <v>0</v>
      </c>
      <c r="F33" s="11">
        <v>1</v>
      </c>
      <c r="G33" s="11" t="s">
        <v>44</v>
      </c>
      <c r="H33" s="12"/>
      <c r="I33" s="12" t="b">
        <v>1</v>
      </c>
      <c r="J33" s="12" t="b">
        <v>1</v>
      </c>
      <c r="K33" t="s">
        <v>1402</v>
      </c>
      <c r="L33" s="12" t="str">
        <f t="shared" si="6"/>
        <v>* metastaticTreatmentSites.liver 0..1 boolean ##34#Liver
##34# ##334#Liver
##334#</v>
      </c>
      <c r="N33" s="12" t="str">
        <f t="shared" si="7"/>
        <v/>
      </c>
      <c r="P33" s="12" t="str">
        <f t="shared" si="8"/>
        <v>* metastaticTreatmentSites.liver insert ObligationActorAndCode($actor-headneck, #handle)</v>
      </c>
      <c r="R33" s="12" t="str">
        <f t="shared" si="9"/>
        <v>* metastaticTreatmentSites.liver insert ObligationActorAndCode($actor-sarcoma-i4rc, #handle)</v>
      </c>
    </row>
    <row r="34" spans="1:18" ht="147.5" x14ac:dyDescent="0.75">
      <c r="A34" s="6">
        <v>26</v>
      </c>
      <c r="B34" s="11" t="s">
        <v>1764</v>
      </c>
      <c r="C34" s="12" t="s">
        <v>1765</v>
      </c>
      <c r="D34" s="12" t="s">
        <v>1766</v>
      </c>
      <c r="E34" s="11">
        <v>1</v>
      </c>
      <c r="F34" s="11">
        <v>1</v>
      </c>
      <c r="G34" s="11" t="s">
        <v>1468</v>
      </c>
      <c r="H34" s="12" t="s">
        <v>1767</v>
      </c>
      <c r="I34" s="12" t="b">
        <v>1</v>
      </c>
      <c r="J34" s="12" t="b">
        <v>1</v>
      </c>
      <c r="K34" t="s">
        <v>1764</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8"/>
        <v>* treatmentCompletedAsPlanned insert ObligationActorAndCode($actor-headneck, #handle)</v>
      </c>
      <c r="R34" s="12" t="str">
        <f t="shared" si="9"/>
        <v>* treatmentCompletedAsPlanned insert ObligationActorAndCode($actor-sarcoma-i4rc, #handle)</v>
      </c>
    </row>
    <row r="35" spans="1:18" ht="29.5" x14ac:dyDescent="0.75">
      <c r="A35" s="11"/>
      <c r="B35" s="11" t="s">
        <v>2224</v>
      </c>
      <c r="C35" s="11" t="s">
        <v>2228</v>
      </c>
      <c r="D35" s="12" t="s">
        <v>2228</v>
      </c>
      <c r="E35" s="11">
        <v>1</v>
      </c>
      <c r="F35" s="11">
        <v>1</v>
      </c>
      <c r="G35" s="97" t="s">
        <v>1</v>
      </c>
      <c r="H35" s="6"/>
      <c r="I35" s="12" t="b">
        <v>0</v>
      </c>
      <c r="J35" s="12" t="b">
        <v>1</v>
      </c>
      <c r="K35" t="s">
        <v>2224</v>
      </c>
      <c r="L35" s="12" t="str">
        <f t="shared" si="6"/>
        <v>* regionalDeepHyperthemia 1..1 BackboneElement ##34#Regional deep hyperthemia##34# ##334#Regional deep hyperthemia##334#</v>
      </c>
      <c r="N35" s="12" t="str">
        <f t="shared" si="7"/>
        <v/>
      </c>
      <c r="P35" s="12" t="str">
        <f t="shared" si="8"/>
        <v/>
      </c>
      <c r="R35" s="12" t="str">
        <f t="shared" si="9"/>
        <v>* regionalDeepHyperthemia insert ObligationActorAndCode($actor-sarcoma-i4rc, #handle)</v>
      </c>
    </row>
    <row r="36" spans="1:18" ht="29.5" x14ac:dyDescent="0.75">
      <c r="A36" s="11"/>
      <c r="B36" s="11" t="s">
        <v>2234</v>
      </c>
      <c r="C36" s="11" t="s">
        <v>2228</v>
      </c>
      <c r="D36" s="12" t="s">
        <v>2229</v>
      </c>
      <c r="E36" s="11">
        <v>0</v>
      </c>
      <c r="F36" s="11">
        <v>1</v>
      </c>
      <c r="G36" s="97" t="s">
        <v>43</v>
      </c>
      <c r="H36" s="11"/>
      <c r="I36" s="12" t="b">
        <v>0</v>
      </c>
      <c r="J36" s="12" t="b">
        <v>1</v>
      </c>
      <c r="K36" t="s">
        <v>2225</v>
      </c>
      <c r="L36" s="12" t="str">
        <f t="shared" si="6"/>
        <v>* regionalDeepHyperthemia.startDate 0..1 date ##34#Regional deep hyperthemia##34# ##334#RDH_startdate##334#</v>
      </c>
      <c r="N36" s="12" t="str">
        <f t="shared" si="7"/>
        <v/>
      </c>
      <c r="P36" s="12" t="str">
        <f t="shared" si="8"/>
        <v/>
      </c>
      <c r="R36" s="12" t="str">
        <f t="shared" si="9"/>
        <v>* regionalDeepHyperthemia.startDate insert ObligationActorAndCode($actor-sarcoma-i4rc, #handle)</v>
      </c>
    </row>
    <row r="37" spans="1:18" ht="29.5" x14ac:dyDescent="0.75">
      <c r="A37" s="11"/>
      <c r="B37" s="11" t="s">
        <v>2235</v>
      </c>
      <c r="C37" s="11" t="s">
        <v>2228</v>
      </c>
      <c r="D37" s="12" t="s">
        <v>2230</v>
      </c>
      <c r="E37" s="11">
        <v>0</v>
      </c>
      <c r="F37" s="11">
        <v>1</v>
      </c>
      <c r="G37" s="97" t="s">
        <v>43</v>
      </c>
      <c r="H37" s="11"/>
      <c r="I37" s="12" t="b">
        <v>0</v>
      </c>
      <c r="J37" s="12" t="b">
        <v>1</v>
      </c>
      <c r="K37" t="s">
        <v>2226</v>
      </c>
      <c r="L37" s="12" t="str">
        <f t="shared" si="6"/>
        <v>* regionalDeepHyperthemia.endDate 0..1 date ##34#Regional deep hyperthemia##34# ##334#RDH_enddate##334#</v>
      </c>
      <c r="N37" s="12" t="str">
        <f t="shared" si="7"/>
        <v/>
      </c>
      <c r="P37" s="12" t="str">
        <f t="shared" si="8"/>
        <v/>
      </c>
      <c r="R37" s="12" t="str">
        <f t="shared" si="9"/>
        <v>* regionalDeepHyperthemia.endDate insert ObligationActorAndCode($actor-sarcoma-i4rc, #handle)</v>
      </c>
    </row>
    <row r="38" spans="1:18" ht="118" x14ac:dyDescent="0.75">
      <c r="A38" s="11"/>
      <c r="B38" s="11" t="s">
        <v>2227</v>
      </c>
      <c r="C38" s="11" t="s">
        <v>2231</v>
      </c>
      <c r="D38" s="12" t="s">
        <v>2232</v>
      </c>
      <c r="E38" s="11">
        <v>0</v>
      </c>
      <c r="F38" s="11">
        <v>1</v>
      </c>
      <c r="G38" s="11" t="s">
        <v>1468</v>
      </c>
      <c r="H38" s="12" t="s">
        <v>2233</v>
      </c>
      <c r="I38" s="12" t="b">
        <v>0</v>
      </c>
      <c r="J38" s="12" t="b">
        <v>1</v>
      </c>
      <c r="K38" t="s">
        <v>2227</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8"/>
        <v/>
      </c>
      <c r="R38" s="12" t="str">
        <f t="shared" si="9"/>
        <v>* clinicalTreatmentResponse insert ObligationActorAndCode($actor-sarcoma-i4rc, #handle)</v>
      </c>
    </row>
    <row r="39" spans="1:18" x14ac:dyDescent="0.75">
      <c r="I39" s="12"/>
      <c r="J39" s="12"/>
      <c r="L39" s="12" t="str">
        <f t="shared" si="6"/>
        <v>*  ..  ##34###34# ##334###334#</v>
      </c>
      <c r="N39" s="12" t="str">
        <f t="shared" si="7"/>
        <v>*  ..  ##34###34# ##334###334#</v>
      </c>
      <c r="P39" s="12" t="str">
        <f t="shared" si="8"/>
        <v>*  ..  ##34###34# ##334###334#</v>
      </c>
      <c r="R39" s="12" t="str">
        <f t="shared" si="9"/>
        <v>*  ..  ##34###34# ##334###334#</v>
      </c>
    </row>
    <row r="40" spans="1:18" x14ac:dyDescent="0.75">
      <c r="I40" s="12"/>
      <c r="J40" s="12"/>
      <c r="L40" s="12" t="str">
        <f t="shared" si="6"/>
        <v>*  ..  ##34###34# ##334###334#</v>
      </c>
      <c r="N40" s="12" t="str">
        <f t="shared" si="7"/>
        <v>*  ..  ##34###34# ##334###334#</v>
      </c>
      <c r="P40" s="12" t="str">
        <f t="shared" si="8"/>
        <v>*  ..  ##34###34# ##334###334#</v>
      </c>
      <c r="R40" s="12" t="str">
        <f t="shared" si="9"/>
        <v>*  ..  ##34###34# ##334###334#</v>
      </c>
    </row>
    <row r="41" spans="1:18" x14ac:dyDescent="0.75">
      <c r="I41" s="12"/>
      <c r="J41" s="12"/>
      <c r="L41" s="12" t="str">
        <f t="shared" si="6"/>
        <v>*  ..  ##34###34# ##334###334#</v>
      </c>
      <c r="N41" s="12" t="str">
        <f t="shared" si="7"/>
        <v>*  ..  ##34###34# ##334###334#</v>
      </c>
      <c r="P41" s="12" t="str">
        <f t="shared" si="8"/>
        <v>*  ..  ##34###34# ##334###334#</v>
      </c>
      <c r="R41" s="12" t="str">
        <f t="shared" si="9"/>
        <v>*  ..  ##34###34# ##334###334#</v>
      </c>
    </row>
    <row r="42" spans="1:18" x14ac:dyDescent="0.75">
      <c r="I42" s="12"/>
      <c r="J42" s="12"/>
      <c r="L42" s="12" t="str">
        <f t="shared" si="6"/>
        <v>*  ..  ##34###34# ##334###334#</v>
      </c>
      <c r="N42" s="12" t="str">
        <f t="shared" si="7"/>
        <v>*  ..  ##34###34# ##334###334#</v>
      </c>
      <c r="P42" s="12" t="str">
        <f t="shared" si="8"/>
        <v>*  ..  ##34###34# ##334###334#</v>
      </c>
      <c r="R42" s="12" t="str">
        <f t="shared" si="9"/>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C133" sqref="C133:C16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1785</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29.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ht="29.5" x14ac:dyDescent="0.75">
      <c r="C20" s="12" t="str">
        <f>IF(Radiotherapy!L20="*  ..  ##34###34# ##334###334#","//--- END",Radiotherapy!L20)</f>
        <v>* startDate 1..1 date ##34#Start date##34# ##334#Date when  the first radiation treatment was delivered##334#</v>
      </c>
    </row>
    <row r="21" spans="3:3" ht="29.5" x14ac:dyDescent="0.75">
      <c r="C21" s="12" t="str">
        <f>IF(Radiotherapy!L21="*  ..  ##34###34# ##334###334#","//--- END",Radiotherapy!L21)</f>
        <v>* endDate 1..1 date ##34#End  date##34# ##334#Date when the last radiation treatment ended##334#</v>
      </c>
    </row>
    <row r="22" spans="3:3" ht="29.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ht="29.5" x14ac:dyDescent="0.75">
      <c r="C23" s="12" t="str">
        <f>IF(Radiotherapy!L23="*  ..  ##34###34# ##334###334#","//--- END",Radiotherapy!L23)</f>
        <v>* treatmentSites.primary 0..1 boolean ##34#Primary##34# ##334#Primary##334#</v>
      </c>
    </row>
    <row r="24" spans="3:3" ht="29.5"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ht="29.5"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
##334#</v>
      </c>
    </row>
    <row r="30" spans="3:3" ht="29.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#handle)</v>
      </c>
    </row>
    <row r="90" spans="3:3" x14ac:dyDescent="0.75">
      <c r="C90" s="12" t="str">
        <f>IF(Radiotherapy!P9="*  ..  ##34###34# ##334###334#","//--- END",Radiotherapy!P9)</f>
        <v>* radiotherapy insert ObligationActorAndCode($actor-headneck, #handle)</v>
      </c>
    </row>
    <row r="91" spans="3:3" x14ac:dyDescent="0.75">
      <c r="C91" s="12" t="str">
        <f>IF(Radiotherapy!P10="*  ..  ##34###34# ##334###334#","//--- END",Radiotherapy!P10)</f>
        <v>* intent insert ObligationActorAndCode($actor-headneck, #handle)</v>
      </c>
    </row>
    <row r="92" spans="3:3" x14ac:dyDescent="0.75">
      <c r="C92" s="12" t="str">
        <f>IF(Radiotherapy!P11="*  ..  ##34###34# ##334###334#","//--- END",Radiotherapy!P11)</f>
        <v>* setting insert ObligationActorAndCode($actor-headneck, #handle)</v>
      </c>
    </row>
    <row r="93" spans="3:3" x14ac:dyDescent="0.75">
      <c r="C93" s="12" t="str">
        <f>IF(Radiotherapy!P12="*  ..  ##34###34# ##334###334#","//--- END",Radiotherapy!P12)</f>
        <v>* beamQuality insert ObligationActorAndCode($actor-headneck, #handle)</v>
      </c>
    </row>
    <row r="94" spans="3:3" x14ac:dyDescent="0.75">
      <c r="C94" s="12" t="str">
        <f>IF(Radiotherapy!P13="*  ..  ##34###34# ##334###334#","//--- END",Radiotherapy!P13)</f>
        <v>* otherBeam insert ObligationActorAndCode($actor-headneck, #handle)</v>
      </c>
    </row>
    <row r="95" spans="3:3" x14ac:dyDescent="0.75">
      <c r="C95" s="12" t="str">
        <f>IF(Radiotherapy!P14="*  ..  ##34###34# ##334###334#","//--- END",Radiotherapy!P14)</f>
        <v>* treatmentTechnique insert ObligationActorAndCode($actor-headneck, #handle)</v>
      </c>
    </row>
    <row r="96" spans="3:3" x14ac:dyDescent="0.75">
      <c r="C96" s="12" t="str">
        <f>IF(Radiotherapy!P15="*  ..  ##34###34# ##334###334#","//--- END",Radiotherapy!P15)</f>
        <v>* totalDoseTdGy insert ObligationActorAndCode($actor-headneck, #handle)</v>
      </c>
    </row>
    <row r="97" spans="3:3" x14ac:dyDescent="0.75">
      <c r="C97" s="12" t="str">
        <f>IF(Radiotherapy!P16="*  ..  ##34###34# ##334###334#","//--- END",Radiotherapy!P16)</f>
        <v>* fractionSizeFs insert ObligationActorAndCode($actor-headneck, #handle)</v>
      </c>
    </row>
    <row r="98" spans="3:3" x14ac:dyDescent="0.75">
      <c r="C98" s="12" t="str">
        <f>IF(Radiotherapy!P17="*  ..  ##34###34# ##334###334#","//--- END",Radiotherapy!P17)</f>
        <v>* numberOfFractions insert ObligationActorAndCode($actor-headneck, #handle)</v>
      </c>
    </row>
    <row r="99" spans="3:3" x14ac:dyDescent="0.75">
      <c r="C99" s="12" t="str">
        <f>IF(Radiotherapy!P18="*  ..  ##34###34# ##334###334#","//--- END",Radiotherapy!P18)</f>
        <v>* adaptiveRt insert ObligationActorAndCode($actor-headneck, #handle)</v>
      </c>
    </row>
    <row r="100" spans="3:3" x14ac:dyDescent="0.75">
      <c r="C100" s="12" t="str">
        <f>IF(Radiotherapy!P19="*  ..  ##34###34# ##334###334#","//--- END",Radiotherapy!P19)</f>
        <v>* igrtImageGuideRadiotherapy insert ObligationActorAndCode($actor-headneck, #handle)</v>
      </c>
    </row>
    <row r="101" spans="3:3" x14ac:dyDescent="0.75">
      <c r="C101" s="12" t="str">
        <f>IF(Radiotherapy!P20="*  ..  ##34###34# ##334###334#","//--- END",Radiotherapy!P20)</f>
        <v>* startDate insert ObligationActorAndCode($actor-headneck, #handle)</v>
      </c>
    </row>
    <row r="102" spans="3:3" x14ac:dyDescent="0.75">
      <c r="C102" s="12" t="str">
        <f>IF(Radiotherapy!P21="*  ..  ##34###34# ##334###334#","//--- END",Radiotherapy!P21)</f>
        <v>* endDate insert ObligationActorAndCode($actor-headneck, #handle)</v>
      </c>
    </row>
    <row r="103" spans="3:3" x14ac:dyDescent="0.75">
      <c r="C103" s="12" t="str">
        <f>IF(Radiotherapy!P22="*  ..  ##34###34# ##334###334#","//--- END",Radiotherapy!P22)</f>
        <v>* treatmentSites insert ObligationActorAndCode($actor-headneck, #handle)</v>
      </c>
    </row>
    <row r="104" spans="3:3" x14ac:dyDescent="0.75">
      <c r="C104" s="12" t="str">
        <f>IF(Radiotherapy!P23="*  ..  ##34###34# ##334###334#","//--- END",Radiotherapy!P23)</f>
        <v>* treatmentSites.primary insert ObligationActorAndCode($actor-headneck, #handle)</v>
      </c>
    </row>
    <row r="105" spans="3:3" x14ac:dyDescent="0.75">
      <c r="C105" s="12" t="str">
        <f>IF(Radiotherapy!P24="*  ..  ##34###34# ##334###334#","//--- END",Radiotherapy!P24)</f>
        <v>* treatmentSites.neck insert ObligationActorAndCode($actor-headneck, #handle)</v>
      </c>
    </row>
    <row r="106" spans="3:3" x14ac:dyDescent="0.75">
      <c r="C106" s="12" t="str">
        <f>IF(Radiotherapy!P25="*  ..  ##34###34# ##334###334#","//--- END",Radiotherapy!P25)</f>
        <v>* treatmentSites.primaryAndIpsilateralNeck insert ObligationActorAndCode($actor-headneck, #handle)</v>
      </c>
    </row>
    <row r="107" spans="3:3" x14ac:dyDescent="0.75">
      <c r="C107" s="12" t="str">
        <f>IF(Radiotherapy!P26="*  ..  ##34###34# ##334###334#","//--- END",Radiotherapy!P26)</f>
        <v>* treatmentSites.primaryAndBilateralNeck insert ObligationActorAndCode($actor-headneck, #handle)</v>
      </c>
    </row>
    <row r="108" spans="3:3" x14ac:dyDescent="0.75">
      <c r="C108" s="12" t="str">
        <f>IF(Radiotherapy!P27="*  ..  ##34###34# ##334###334#","//--- END",Radiotherapy!P27)</f>
        <v>* treatmentSites.distantMetastasis insert ObligationActorAndCode($actor-headneck, #handle)</v>
      </c>
    </row>
    <row r="109" spans="3:3" x14ac:dyDescent="0.75">
      <c r="C109" s="12" t="str">
        <f>IF(Radiotherapy!P28="*  ..  ##34###34# ##334###334#","//--- END",Radiotherapy!P28)</f>
        <v>* metastaticTreatmentSites insert ObligationActorAndCode($actor-headneck, #handle)</v>
      </c>
    </row>
    <row r="110" spans="3:3" x14ac:dyDescent="0.75">
      <c r="C110" s="12" t="str">
        <f>IF(Radiotherapy!P29="*  ..  ##34###34# ##334###334#","//--- END",Radiotherapy!P29)</f>
        <v>* metastaticTreatmentSites.lung insert ObligationActorAndCode($actor-headneck, #handle)</v>
      </c>
    </row>
    <row r="111" spans="3:3" x14ac:dyDescent="0.75">
      <c r="C111" s="12" t="str">
        <f>IF(Radiotherapy!P30="*  ..  ##34###34# ##334###334#","//--- END",Radiotherapy!P30)</f>
        <v>* metastaticTreatmentSites.mediastinum insert ObligationActorAndCode($actor-headneck, #handle)</v>
      </c>
    </row>
    <row r="112" spans="3:3" x14ac:dyDescent="0.75">
      <c r="C112" s="12" t="str">
        <f>IF(Radiotherapy!P31="*  ..  ##34###34# ##334###334#","//--- END",Radiotherapy!P31)</f>
        <v>* metastaticTreatmentSites.bone insert ObligationActorAndCode($actor-headneck, #handle)</v>
      </c>
    </row>
    <row r="113" spans="3:3" x14ac:dyDescent="0.75">
      <c r="C113" s="12" t="str">
        <f>IF(Radiotherapy!P32="*  ..  ##34###34# ##334###334#","//--- END",Radiotherapy!P32)</f>
        <v>* metastaticTreatmentSites.softTissue insert ObligationActorAndCode($actor-headneck, #handle)</v>
      </c>
    </row>
    <row r="114" spans="3:3" x14ac:dyDescent="0.75">
      <c r="C114" s="12" t="str">
        <f>IF(Radiotherapy!P33="*  ..  ##34###34# ##334###334#","//--- END",Radiotherapy!P33)</f>
        <v>* metastaticTreatmentSites.liver insert ObligationActorAndCode($actor-headneck, #handle)</v>
      </c>
    </row>
    <row r="115" spans="3:3" x14ac:dyDescent="0.75">
      <c r="C115" s="12" t="str">
        <f>IF(Radiotherapy!P34="*  ..  ##34###34# ##334###334#","//--- END",Radiotherapy!P34)</f>
        <v>* treatmentCompletedAsPlanned insert ObligationActorAndCode($actor-headneck, #handle)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#handle)</v>
      </c>
    </row>
    <row r="134" spans="3:3" x14ac:dyDescent="0.75">
      <c r="C134" s="12" t="str">
        <f>IF(Radiotherapy!R9="*  ..  ##34###34# ##334###334#","//--- END",Radiotherapy!R9)</f>
        <v>* radiotherapy insert ObligationActorAndCode($actor-sarcoma-i4rc, #handle)</v>
      </c>
    </row>
    <row r="135" spans="3:3" x14ac:dyDescent="0.75">
      <c r="C135" s="12" t="str">
        <f>IF(Radiotherapy!R10="*  ..  ##34###34# ##334###334#","//--- END",Radiotherapy!R10)</f>
        <v>* intent insert ObligationActorAndCode($actor-sarcoma-i4rc, #handle)</v>
      </c>
    </row>
    <row r="136" spans="3:3" x14ac:dyDescent="0.75">
      <c r="C136" s="12" t="str">
        <f>IF(Radiotherapy!R11="*  ..  ##34###34# ##334###334#","//--- END",Radiotherapy!R11)</f>
        <v>* setting insert ObligationActorAndCode($actor-sarcoma-i4rc, #handle)</v>
      </c>
    </row>
    <row r="137" spans="3:3" x14ac:dyDescent="0.75">
      <c r="C137" s="12" t="str">
        <f>IF(Radiotherapy!R12="*  ..  ##34###34# ##334###334#","//--- END",Radiotherapy!R12)</f>
        <v>* beamQuality insert ObligationActorAndCode($actor-sarcoma-i4rc, #handle)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#handle)</v>
      </c>
    </row>
    <row r="140" spans="3:3" x14ac:dyDescent="0.75">
      <c r="C140" s="12" t="str">
        <f>IF(Radiotherapy!R15="*  ..  ##34###34# ##334###334#","//--- END",Radiotherapy!R15)</f>
        <v>* totalDoseTdGy insert ObligationActorAndCode($actor-sarcoma-i4rc, #handle)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#handle)</v>
      </c>
    </row>
    <row r="146" spans="3:3" x14ac:dyDescent="0.75">
      <c r="C146" s="12" t="str">
        <f>IF(Radiotherapy!R21="*  ..  ##34###34# ##334###334#","//--- END",Radiotherapy!R21)</f>
        <v>* endDate insert ObligationActorAndCode($actor-sarcoma-i4rc, #handle)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#handle)</v>
      </c>
    </row>
    <row r="154" spans="3:3" x14ac:dyDescent="0.75">
      <c r="C154" s="12" t="str">
        <f>IF(Radiotherapy!R29="*  ..  ##34###34# ##334###334#","//--- END",Radiotherapy!R29)</f>
        <v>* metastaticTreatmentSites.lung insert ObligationActorAndCode($actor-sarcoma-i4rc, #handle)</v>
      </c>
    </row>
    <row r="155" spans="3:3" x14ac:dyDescent="0.75">
      <c r="C155" s="12" t="str">
        <f>IF(Radiotherapy!R30="*  ..  ##34###34# ##334###334#","//--- END",Radiotherapy!R30)</f>
        <v>* metastaticTreatmentSites.mediastinum insert ObligationActorAndCode($actor-sarcoma-i4rc, #handle)</v>
      </c>
    </row>
    <row r="156" spans="3:3" x14ac:dyDescent="0.75">
      <c r="C156" s="12" t="str">
        <f>IF(Radiotherapy!R31="*  ..  ##34###34# ##334###334#","//--- END",Radiotherapy!R31)</f>
        <v>* metastaticTreatmentSites.bone insert ObligationActorAndCode($actor-sarcoma-i4rc, #handle)</v>
      </c>
    </row>
    <row r="157" spans="3:3" x14ac:dyDescent="0.75">
      <c r="C157" s="12" t="str">
        <f>IF(Radiotherapy!R32="*  ..  ##34###34# ##334###334#","//--- END",Radiotherapy!R32)</f>
        <v>* metastaticTreatmentSites.softTissue insert ObligationActorAndCode($actor-sarcoma-i4rc, #handle)</v>
      </c>
    </row>
    <row r="158" spans="3:3" x14ac:dyDescent="0.75">
      <c r="C158" s="12" t="str">
        <f>IF(Radiotherapy!R33="*  ..  ##34###34# ##334###334#","//--- END",Radiotherapy!R33)</f>
        <v>* metastaticTreatmentSites.liver insert ObligationActorAndCode($actor-sarcoma-i4rc, #handle)</v>
      </c>
    </row>
    <row r="159" spans="3:3" x14ac:dyDescent="0.75">
      <c r="C159" s="12" t="str">
        <f>IF(Radiotherapy!R34="*  ..  ##34###34# ##334###334#","//--- END",Radiotherapy!R34)</f>
        <v>* treatmentCompletedAsPlanned insert ObligationActorAndCode($actor-sarcoma-i4rc, #handle)</v>
      </c>
    </row>
    <row r="160" spans="3:3" x14ac:dyDescent="0.75">
      <c r="C160" s="12" t="str">
        <f>IF(Radiotherapy!R35="*  ..  ##34###34# ##334###334#","//--- END",Radiotherapy!R35)</f>
        <v>* regionalDeepHyperthemia insert ObligationActorAndCode($actor-sarcoma-i4rc, #handle)</v>
      </c>
    </row>
    <row r="161" spans="3:3" x14ac:dyDescent="0.75">
      <c r="C161" s="12" t="str">
        <f>IF(Radiotherapy!R36="*  ..  ##34###34# ##334###334#","//--- END",Radiotherapy!R36)</f>
        <v>* regionalDeepHyperthemia.startDate insert ObligationActorAndCode($actor-sarcoma-i4rc, #handle)</v>
      </c>
    </row>
    <row r="162" spans="3:3" x14ac:dyDescent="0.75">
      <c r="C162" s="12" t="str">
        <f>IF(Radiotherapy!R37="*  ..  ##34###34# ##334###334#","//--- END",Radiotherapy!R37)</f>
        <v>* regionalDeepHyperthemia.endDate insert ObligationActorAndCode($actor-sarcoma-i4rc, #handle)</v>
      </c>
    </row>
    <row r="163" spans="3:3" x14ac:dyDescent="0.75">
      <c r="C163" s="12" t="str">
        <f>IF(Radiotherapy!R38="*  ..  ##34###34# ##334###334#","//--- END",Radiotherapy!R38)</f>
        <v>* clinicalTreatmentResponse insert ObligationActorAndCode($actor-sarcoma-i4rc, #handle)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1797</v>
      </c>
      <c r="D3" s="47" t="s">
        <v>1473</v>
      </c>
      <c r="E3" s="71" t="str">
        <f>$C$1&amp;B14</f>
        <v>http://hl7.eu/fhir/ig/idea4rc/StructureDefinition/RadiotherapyI4rc</v>
      </c>
    </row>
    <row r="4" spans="1:19" x14ac:dyDescent="0.75">
      <c r="B4" s="47" t="s">
        <v>16</v>
      </c>
      <c r="C4" s="28" t="s">
        <v>1797</v>
      </c>
      <c r="D4" s="47" t="s">
        <v>1474</v>
      </c>
      <c r="E4" s="154" t="s">
        <v>1820</v>
      </c>
      <c r="F4" s="155"/>
      <c r="G4" s="155"/>
    </row>
    <row r="5" spans="1:19" x14ac:dyDescent="0.75">
      <c r="B5" s="47" t="s">
        <v>10</v>
      </c>
      <c r="C5" s="7" t="s">
        <v>1798</v>
      </c>
      <c r="D5" s="47"/>
      <c r="E5" s="7"/>
    </row>
    <row r="6" spans="1:19" x14ac:dyDescent="0.75">
      <c r="B6" s="47" t="s">
        <v>18</v>
      </c>
      <c r="C6" s="41"/>
      <c r="D6" s="47" t="s">
        <v>1475</v>
      </c>
      <c r="E6" s="154" t="str">
        <f>E3</f>
        <v>http://hl7.eu/fhir/ig/idea4rc/StructureDefinition/RadiotherapyI4rc</v>
      </c>
      <c r="F6" s="155"/>
      <c r="G6" s="155"/>
    </row>
    <row r="7" spans="1:19" x14ac:dyDescent="0.75">
      <c r="B7" s="47" t="s">
        <v>15</v>
      </c>
      <c r="C7" s="72"/>
      <c r="D7" s="47" t="s">
        <v>1476</v>
      </c>
      <c r="E7" s="154" t="str">
        <f>E4</f>
        <v>http://hl7.eu/fhir/ig/idea4rc/StructureDefinition/Procedure-radiotheraphy-eu-i4rc</v>
      </c>
      <c r="F7" s="155"/>
      <c r="G7" s="155"/>
    </row>
    <row r="8" spans="1:19" ht="15.5" thickBot="1" x14ac:dyDescent="0.9">
      <c r="B8" s="47" t="s">
        <v>1477</v>
      </c>
      <c r="C8" s="7" t="s">
        <v>1798</v>
      </c>
      <c r="D8" s="47"/>
      <c r="E8" s="7"/>
      <c r="I8" s="12"/>
      <c r="J8" s="12"/>
      <c r="K8" s="12"/>
      <c r="L8" s="12"/>
      <c r="M8" s="11"/>
      <c r="P8" s="34" t="s">
        <v>1328</v>
      </c>
      <c r="Q8" s="34">
        <v>6</v>
      </c>
    </row>
    <row r="9" spans="1:19" ht="30.25" thickBot="1" x14ac:dyDescent="0.9">
      <c r="B9" s="47" t="s">
        <v>1478</v>
      </c>
      <c r="C9" s="12" t="s">
        <v>1799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1790</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1791</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2350</v>
      </c>
      <c r="E16" s="12"/>
      <c r="F16" s="49" t="s">
        <v>1294</v>
      </c>
      <c r="G16" s="76" t="s">
        <v>2347</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2446</v>
      </c>
      <c r="E17" s="12"/>
      <c r="F17" s="49" t="s">
        <v>1294</v>
      </c>
      <c r="G17" s="76" t="s">
        <v>2320</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1810</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1806</v>
      </c>
      <c r="E19" s="12"/>
      <c r="F19" s="49" t="s">
        <v>1294</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1807</v>
      </c>
      <c r="E20" s="12"/>
      <c r="F20" s="49" t="s">
        <v>1294</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1802</v>
      </c>
      <c r="E21" s="12"/>
      <c r="F21" s="49" t="s">
        <v>1294</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1803</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2321</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1804</v>
      </c>
      <c r="E24" s="11"/>
      <c r="F24" s="49" t="s">
        <v>1294</v>
      </c>
      <c r="G24" s="76" t="s">
        <v>1805</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1802</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1808</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1809</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2322</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1613</v>
      </c>
      <c r="E30" s="12"/>
      <c r="F30" s="49" t="s">
        <v>1294</v>
      </c>
      <c r="G30" s="76" t="s">
        <v>2322</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2322</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2322</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2322</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2324</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2322</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2322</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2322</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2322</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2322</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1804</v>
      </c>
      <c r="E40" s="11"/>
      <c r="F40" s="49" t="s">
        <v>1294</v>
      </c>
      <c r="G40" s="76" t="s">
        <v>2323</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ht="29.5"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ht="29.5"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ht="29.5"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1811</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5.5" thickBot="1" x14ac:dyDescent="0.9">
      <c r="L3" s="24" t="str">
        <f>L1</f>
        <v>//===================================================</v>
      </c>
      <c r="N3" s="24" t="str">
        <f>N1</f>
        <v>// -------------------------------------------------------------------------------</v>
      </c>
      <c r="P3" s="24" t="str">
        <f>P1</f>
        <v>// -------------------------------------------------------------------------------</v>
      </c>
      <c r="R3" s="24" t="str">
        <f>R1</f>
        <v>// -------------------------------------------------------------------------------</v>
      </c>
    </row>
    <row r="4" spans="1:18" ht="15.5" thickBot="1" x14ac:dyDescent="0.9">
      <c r="A4" s="5" t="s">
        <v>11</v>
      </c>
      <c r="B4" s="30" t="s">
        <v>2270</v>
      </c>
      <c r="L4" s="16" t="str">
        <f>CONCATENATE("Logical: ",B4)</f>
        <v>Logical: OtherTreatmentI4rc</v>
      </c>
    </row>
    <row r="5" spans="1:18" ht="15.5" thickBot="1" x14ac:dyDescent="0.9">
      <c r="A5" s="14" t="s">
        <v>16</v>
      </c>
      <c r="B5" s="30" t="s">
        <v>2271</v>
      </c>
      <c r="L5" s="16" t="str">
        <f>CONCATENATE("Id: ",B5)</f>
        <v>Id: OtherTreatment</v>
      </c>
    </row>
    <row r="6" spans="1:18" ht="15.5" thickBot="1" x14ac:dyDescent="0.9">
      <c r="A6" s="14" t="s">
        <v>10</v>
      </c>
      <c r="B6" s="30" t="s">
        <v>2272</v>
      </c>
      <c r="L6" s="17" t="str">
        <f>CONCATENATE("Title: ##34#",B6,"##34#")</f>
        <v>Title: ##34#Other Local Treatment##34#</v>
      </c>
    </row>
    <row r="7" spans="1:18" x14ac:dyDescent="0.75">
      <c r="A7" s="26" t="s">
        <v>2</v>
      </c>
      <c r="B7" s="30" t="s">
        <v>2272</v>
      </c>
      <c r="C7" s="9" t="s">
        <v>3</v>
      </c>
      <c r="D7" s="1" t="s">
        <v>4</v>
      </c>
      <c r="E7" s="3" t="s">
        <v>5</v>
      </c>
      <c r="F7" s="3" t="s">
        <v>6</v>
      </c>
      <c r="G7" s="3" t="s">
        <v>7</v>
      </c>
      <c r="H7" s="64" t="s">
        <v>1384</v>
      </c>
      <c r="I7" s="118" t="s">
        <v>2075</v>
      </c>
      <c r="J7" s="118" t="s">
        <v>2076</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1875</v>
      </c>
      <c r="C9" s="12" t="s">
        <v>2262</v>
      </c>
      <c r="D9" s="12" t="s">
        <v>2263</v>
      </c>
      <c r="E9" s="12">
        <v>1</v>
      </c>
      <c r="F9" s="12">
        <v>1</v>
      </c>
      <c r="G9" s="12" t="s">
        <v>1468</v>
      </c>
      <c r="H9" s="12" t="s">
        <v>2264</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1741</v>
      </c>
      <c r="C10" s="12" t="s">
        <v>1742</v>
      </c>
      <c r="D10" s="12" t="s">
        <v>2265</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1744</v>
      </c>
      <c r="C11" s="12" t="s">
        <v>1745</v>
      </c>
      <c r="D11" s="12" t="s">
        <v>2266</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1858</v>
      </c>
      <c r="C12" s="12" t="s">
        <v>2267</v>
      </c>
      <c r="D12" s="12" t="s">
        <v>1654</v>
      </c>
      <c r="E12" s="12">
        <v>0</v>
      </c>
      <c r="F12" s="12">
        <v>1</v>
      </c>
      <c r="G12" s="12" t="s">
        <v>1468</v>
      </c>
      <c r="H12" s="12" t="s">
        <v>2268</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3"/>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2269</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2334</v>
      </c>
      <c r="D3" s="47" t="s">
        <v>1473</v>
      </c>
      <c r="E3" s="71" t="str">
        <f>$C$1&amp;B14</f>
        <v>http://hl7.eu/fhir/ig/idea4rc/StructureDefinition/OtherTreatment</v>
      </c>
    </row>
    <row r="4" spans="1:19" x14ac:dyDescent="0.75">
      <c r="B4" s="47" t="s">
        <v>16</v>
      </c>
      <c r="C4" s="28" t="s">
        <v>2334</v>
      </c>
      <c r="D4" s="47" t="s">
        <v>1474</v>
      </c>
      <c r="E4" s="163" t="s">
        <v>2332</v>
      </c>
      <c r="F4" s="155"/>
      <c r="G4" s="155"/>
    </row>
    <row r="5" spans="1:19" x14ac:dyDescent="0.75">
      <c r="B5" s="47" t="s">
        <v>10</v>
      </c>
      <c r="C5" s="7" t="s">
        <v>2344</v>
      </c>
      <c r="D5" s="47"/>
      <c r="E5" s="7"/>
    </row>
    <row r="6" spans="1:19" x14ac:dyDescent="0.75">
      <c r="B6" s="47" t="s">
        <v>18</v>
      </c>
      <c r="C6" s="41"/>
      <c r="D6" s="47" t="s">
        <v>1475</v>
      </c>
      <c r="E6" s="154" t="str">
        <f>E3</f>
        <v>http://hl7.eu/fhir/ig/idea4rc/StructureDefinition/OtherTreatment</v>
      </c>
      <c r="F6" s="155"/>
      <c r="G6" s="155"/>
    </row>
    <row r="7" spans="1:19" x14ac:dyDescent="0.75">
      <c r="B7" s="47" t="s">
        <v>15</v>
      </c>
      <c r="C7" s="72"/>
      <c r="D7" s="47" t="s">
        <v>1476</v>
      </c>
      <c r="E7" s="154" t="str">
        <f>E4</f>
        <v>http://hl7.eu/fhir/ig/idea4rc/StructureDefinition/Procedure-otherTreatment-eu-i4rc</v>
      </c>
      <c r="F7" s="155"/>
      <c r="G7" s="155"/>
    </row>
    <row r="8" spans="1:19" ht="45" thickBot="1" x14ac:dyDescent="0.9">
      <c r="B8" s="47" t="s">
        <v>1477</v>
      </c>
      <c r="C8" s="7" t="s">
        <v>2344</v>
      </c>
      <c r="D8" s="47"/>
      <c r="E8" s="7"/>
      <c r="I8" s="12" t="s">
        <v>1289</v>
      </c>
      <c r="J8" s="12" t="s">
        <v>1290</v>
      </c>
      <c r="K8" s="12" t="s">
        <v>1291</v>
      </c>
      <c r="L8" s="12" t="s">
        <v>1292</v>
      </c>
      <c r="M8" s="11" t="s">
        <v>1293</v>
      </c>
      <c r="P8" s="34" t="s">
        <v>1328</v>
      </c>
      <c r="Q8" s="34">
        <v>6</v>
      </c>
    </row>
    <row r="9" spans="1:19" ht="30.25" thickBot="1" x14ac:dyDescent="0.9">
      <c r="B9" s="47" t="s">
        <v>1478</v>
      </c>
      <c r="C9" s="12" t="s">
        <v>2345</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1790</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1791</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2325</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1808</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1809</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1793</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2333</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141" t="s">
        <v>1911</v>
      </c>
      <c r="L4" s="16" t="str">
        <f>CONCATENATE("Logical: ",B4)</f>
        <v>Logical: TreatmentResponseI4rc</v>
      </c>
    </row>
    <row r="5" spans="1:18" ht="15.5" thickBot="1" x14ac:dyDescent="0.9">
      <c r="A5" s="14" t="s">
        <v>16</v>
      </c>
      <c r="B5" s="30" t="s">
        <v>1857</v>
      </c>
      <c r="L5" s="16" t="str">
        <f>CONCATENATE("Id: ",B5)</f>
        <v>Id: TreatmentResponse</v>
      </c>
    </row>
    <row r="6" spans="1:18" ht="15.5" thickBot="1" x14ac:dyDescent="0.9">
      <c r="A6" s="14" t="s">
        <v>10</v>
      </c>
      <c r="B6" s="30" t="s">
        <v>1859</v>
      </c>
      <c r="L6" s="17" t="str">
        <f>CONCATENATE("Title: ##34#",B6,"##34#")</f>
        <v>Title: ##34#Treatment Response##34#</v>
      </c>
    </row>
    <row r="7" spans="1:18" x14ac:dyDescent="0.75">
      <c r="A7" s="26" t="s">
        <v>2</v>
      </c>
      <c r="B7" s="30" t="s">
        <v>1859</v>
      </c>
      <c r="C7" s="9" t="s">
        <v>3</v>
      </c>
      <c r="D7" s="1" t="s">
        <v>4</v>
      </c>
      <c r="E7" s="3" t="s">
        <v>5</v>
      </c>
      <c r="F7" s="3" t="s">
        <v>6</v>
      </c>
      <c r="G7" s="3" t="s">
        <v>7</v>
      </c>
      <c r="H7" s="64" t="s">
        <v>1384</v>
      </c>
      <c r="I7" s="118" t="s">
        <v>2075</v>
      </c>
      <c r="J7" s="118" t="s">
        <v>2076</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1858</v>
      </c>
      <c r="C9" s="11" t="s">
        <v>1653</v>
      </c>
      <c r="D9" s="11" t="s">
        <v>1860</v>
      </c>
      <c r="E9" s="11">
        <v>1</v>
      </c>
      <c r="F9" s="11">
        <v>1</v>
      </c>
      <c r="G9" s="11" t="s">
        <v>1468</v>
      </c>
      <c r="H9" s="12" t="s">
        <v>2237</v>
      </c>
      <c r="I9" s="12" t="b">
        <v>1</v>
      </c>
      <c r="J9" s="12" t="b">
        <v>1</v>
      </c>
      <c r="K9" s="25" t="s">
        <v>1858</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2236</v>
      </c>
      <c r="C10" s="11" t="s">
        <v>1861</v>
      </c>
      <c r="D10" s="11" t="s">
        <v>1862</v>
      </c>
      <c r="E10" s="11">
        <v>1</v>
      </c>
      <c r="F10" s="11">
        <v>1</v>
      </c>
      <c r="G10" s="11" t="s">
        <v>1468</v>
      </c>
      <c r="H10" s="11" t="s">
        <v>1863</v>
      </c>
      <c r="I10" s="12" t="b">
        <v>1</v>
      </c>
      <c r="J10" s="12" t="b">
        <v>1</v>
      </c>
      <c r="K10" s="25" t="s">
        <v>2236</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1864</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1865</v>
      </c>
      <c r="D3" s="47" t="s">
        <v>1473</v>
      </c>
      <c r="E3" s="71" t="str">
        <f>$C$1&amp;B14</f>
        <v>http://hl7.eu/fhir/ig/idea4rc/StructureDefinition/TreatmentResponseI4rc</v>
      </c>
    </row>
    <row r="4" spans="1:19" x14ac:dyDescent="0.75">
      <c r="B4" s="47" t="s">
        <v>16</v>
      </c>
      <c r="C4" s="28" t="s">
        <v>1865</v>
      </c>
      <c r="D4" s="47" t="s">
        <v>1474</v>
      </c>
      <c r="E4" s="154" t="s">
        <v>1820</v>
      </c>
      <c r="F4" s="155"/>
      <c r="G4" s="155"/>
    </row>
    <row r="5" spans="1:19" x14ac:dyDescent="0.75">
      <c r="B5" s="47" t="s">
        <v>10</v>
      </c>
      <c r="C5" s="7" t="s">
        <v>1798</v>
      </c>
      <c r="D5" s="47"/>
      <c r="E5" s="7"/>
    </row>
    <row r="6" spans="1:19" x14ac:dyDescent="0.75">
      <c r="B6" s="47" t="s">
        <v>18</v>
      </c>
      <c r="C6" s="41"/>
      <c r="D6" s="47" t="s">
        <v>1475</v>
      </c>
      <c r="E6" s="154" t="str">
        <f>E3</f>
        <v>http://hl7.eu/fhir/ig/idea4rc/StructureDefinition/TreatmentResponseI4rc</v>
      </c>
      <c r="F6" s="155"/>
      <c r="G6" s="155"/>
    </row>
    <row r="7" spans="1:19" x14ac:dyDescent="0.75">
      <c r="B7" s="47" t="s">
        <v>15</v>
      </c>
      <c r="C7" s="72"/>
      <c r="D7" s="47" t="s">
        <v>1476</v>
      </c>
      <c r="E7" s="154" t="str">
        <f>E4</f>
        <v>http://hl7.eu/fhir/ig/idea4rc/StructureDefinition/Procedure-radiotheraphy-eu-i4rc</v>
      </c>
      <c r="F7" s="155"/>
      <c r="G7" s="155"/>
    </row>
    <row r="8" spans="1:19" ht="45" thickBot="1" x14ac:dyDescent="0.9">
      <c r="B8" s="47" t="s">
        <v>1477</v>
      </c>
      <c r="C8" s="7" t="s">
        <v>1798</v>
      </c>
      <c r="D8" s="47"/>
      <c r="E8" s="7"/>
      <c r="I8" s="12" t="s">
        <v>1289</v>
      </c>
      <c r="J8" s="12" t="s">
        <v>1290</v>
      </c>
      <c r="K8" s="12" t="s">
        <v>1291</v>
      </c>
      <c r="L8" s="12" t="s">
        <v>1292</v>
      </c>
      <c r="M8" s="11" t="s">
        <v>1293</v>
      </c>
      <c r="P8" s="34" t="s">
        <v>1328</v>
      </c>
      <c r="Q8" s="34">
        <v>6</v>
      </c>
    </row>
    <row r="9" spans="1:19" ht="30.25" thickBot="1" x14ac:dyDescent="0.9">
      <c r="B9" s="47" t="s">
        <v>1478</v>
      </c>
      <c r="C9" s="12" t="s">
        <v>1799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1790</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1866</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2077</v>
      </c>
      <c r="R2" s="24" t="s">
        <v>2078</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1874</v>
      </c>
      <c r="L6" s="17" t="str">
        <f>CONCATENATE("Title: ##34#",B6,"##34#")</f>
        <v>Title: ##34#Adverse Event##34#</v>
      </c>
    </row>
    <row r="7" spans="1:18" x14ac:dyDescent="0.75">
      <c r="A7" s="26" t="s">
        <v>2</v>
      </c>
      <c r="B7" s="30" t="s">
        <v>1874</v>
      </c>
      <c r="C7" s="9" t="s">
        <v>3</v>
      </c>
      <c r="D7" s="1" t="s">
        <v>4</v>
      </c>
      <c r="E7" s="3" t="s">
        <v>5</v>
      </c>
      <c r="F7" s="3" t="s">
        <v>6</v>
      </c>
      <c r="G7" s="3" t="s">
        <v>7</v>
      </c>
      <c r="H7" s="64" t="s">
        <v>1384</v>
      </c>
      <c r="I7" s="118" t="s">
        <v>2075</v>
      </c>
      <c r="J7" s="118" t="s">
        <v>2076</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1875</v>
      </c>
      <c r="C9" s="11" t="s">
        <v>1867</v>
      </c>
      <c r="D9" s="11" t="s">
        <v>1868</v>
      </c>
      <c r="E9" s="11">
        <v>1</v>
      </c>
      <c r="F9" s="11">
        <v>1</v>
      </c>
      <c r="G9" s="11" t="s">
        <v>1468</v>
      </c>
      <c r="H9" s="11"/>
      <c r="I9" s="12" t="b">
        <v>1</v>
      </c>
      <c r="J9" s="12" t="b">
        <v>0</v>
      </c>
      <c r="K9" s="25" t="s">
        <v>2238</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1876</v>
      </c>
      <c r="C10" s="11" t="s">
        <v>1869</v>
      </c>
      <c r="D10" s="11" t="s">
        <v>1870</v>
      </c>
      <c r="E10" s="11">
        <v>1</v>
      </c>
      <c r="F10" s="11">
        <v>1</v>
      </c>
      <c r="G10" s="11" t="s">
        <v>43</v>
      </c>
      <c r="H10" s="11"/>
      <c r="I10" s="12" t="b">
        <v>1</v>
      </c>
      <c r="J10" s="12" t="b">
        <v>0</v>
      </c>
      <c r="K10" s="25" t="s">
        <v>2239</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1877</v>
      </c>
      <c r="C11" s="11" t="s">
        <v>1871</v>
      </c>
      <c r="D11" s="11" t="s">
        <v>1872</v>
      </c>
      <c r="E11" s="11">
        <v>1</v>
      </c>
      <c r="F11" s="11">
        <v>1</v>
      </c>
      <c r="G11" s="11" t="s">
        <v>1468</v>
      </c>
      <c r="H11" s="62" t="s">
        <v>1873</v>
      </c>
      <c r="I11" s="12" t="b">
        <v>1</v>
      </c>
      <c r="J11" s="12" t="b">
        <v>0</v>
      </c>
      <c r="K11" s="25" t="s">
        <v>2240</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1878</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1865</v>
      </c>
      <c r="D3" s="47" t="s">
        <v>1473</v>
      </c>
      <c r="E3" s="71" t="str">
        <f>$C$1&amp;B14</f>
        <v>http://hl7.eu/fhir/ig/idea4rc/StructureDefinition/AdverseEventI4rc</v>
      </c>
    </row>
    <row r="4" spans="1:19" x14ac:dyDescent="0.75">
      <c r="B4" s="47" t="s">
        <v>16</v>
      </c>
      <c r="C4" s="28" t="s">
        <v>1865</v>
      </c>
      <c r="D4" s="47" t="s">
        <v>1474</v>
      </c>
      <c r="E4" s="164" t="s">
        <v>2326</v>
      </c>
      <c r="F4" s="165"/>
      <c r="G4" s="165"/>
    </row>
    <row r="5" spans="1:19" x14ac:dyDescent="0.75">
      <c r="B5" s="47" t="s">
        <v>10</v>
      </c>
      <c r="C5" s="7" t="s">
        <v>1798</v>
      </c>
      <c r="D5" s="47"/>
      <c r="E5" s="7"/>
    </row>
    <row r="6" spans="1:19" x14ac:dyDescent="0.75">
      <c r="B6" s="47" t="s">
        <v>18</v>
      </c>
      <c r="C6" s="41"/>
      <c r="D6" s="47" t="s">
        <v>1475</v>
      </c>
      <c r="E6" s="154" t="str">
        <f>E3</f>
        <v>http://hl7.eu/fhir/ig/idea4rc/StructureDefinition/AdverseEventI4rc</v>
      </c>
      <c r="F6" s="155"/>
      <c r="G6" s="155"/>
    </row>
    <row r="7" spans="1:19" x14ac:dyDescent="0.75">
      <c r="B7" s="47" t="s">
        <v>15</v>
      </c>
      <c r="C7" s="72"/>
      <c r="D7" s="47" t="s">
        <v>1476</v>
      </c>
      <c r="E7" s="154" t="str">
        <f>E4</f>
        <v>http://hl7.eu/fhir/ig/idea4rc/StructureDefinition/AdverseEvent-eu-i4rc</v>
      </c>
      <c r="F7" s="155"/>
      <c r="G7" s="155"/>
    </row>
    <row r="8" spans="1:19" ht="45" thickBot="1" x14ac:dyDescent="0.9">
      <c r="B8" s="47" t="s">
        <v>1477</v>
      </c>
      <c r="C8" s="7" t="s">
        <v>1798</v>
      </c>
      <c r="D8" s="47"/>
      <c r="E8" s="7"/>
      <c r="I8" s="12" t="s">
        <v>1289</v>
      </c>
      <c r="J8" s="12" t="s">
        <v>1290</v>
      </c>
      <c r="K8" s="12" t="s">
        <v>1291</v>
      </c>
      <c r="L8" s="12" t="s">
        <v>1292</v>
      </c>
      <c r="M8" s="11" t="s">
        <v>1293</v>
      </c>
      <c r="P8" s="34" t="s">
        <v>1328</v>
      </c>
      <c r="Q8" s="34">
        <v>6</v>
      </c>
    </row>
    <row r="9" spans="1:19" ht="30.25" thickBot="1" x14ac:dyDescent="0.9">
      <c r="B9" s="47" t="s">
        <v>1478</v>
      </c>
      <c r="C9" s="12" t="s">
        <v>1799</v>
      </c>
      <c r="D9" s="92"/>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2327</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2328</v>
      </c>
      <c r="E16" s="12"/>
      <c r="F16" s="49" t="s">
        <v>1294</v>
      </c>
      <c r="G16" s="76" t="s">
        <v>2329</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2330</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2331</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1879</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1914</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4" t="s">
        <v>1625</v>
      </c>
      <c r="F4" s="155"/>
      <c r="G4" s="155"/>
    </row>
    <row r="5" spans="1:19" x14ac:dyDescent="0.75">
      <c r="B5" s="47" t="s">
        <v>10</v>
      </c>
      <c r="C5" s="7" t="s">
        <v>1640</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1625</v>
      </c>
      <c r="F7" s="155"/>
      <c r="G7" s="155"/>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1800</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1800</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1800</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1800</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4" t="s">
        <v>1636</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1636</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4" t="s">
        <v>1637</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1637</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4" t="s">
        <v>1638</v>
      </c>
      <c r="F4" s="155"/>
      <c r="G4" s="155"/>
    </row>
    <row r="5" spans="1:19" x14ac:dyDescent="0.75">
      <c r="B5" s="47" t="s">
        <v>10</v>
      </c>
      <c r="C5" s="7" t="s">
        <v>1621</v>
      </c>
      <c r="D5" s="47"/>
      <c r="E5" s="7"/>
    </row>
    <row r="6" spans="1:19" x14ac:dyDescent="0.75">
      <c r="B6" s="47" t="s">
        <v>18</v>
      </c>
      <c r="C6" s="41"/>
      <c r="D6" s="47" t="s">
        <v>1475</v>
      </c>
      <c r="E6" s="154" t="str">
        <f>E3</f>
        <v>http://hl7.eu/fhir/ig/idea4rc/StructureDefinition/StageI4rc</v>
      </c>
      <c r="F6" s="155"/>
      <c r="G6" s="155"/>
    </row>
    <row r="7" spans="1:19" x14ac:dyDescent="0.75">
      <c r="B7" s="47" t="s">
        <v>15</v>
      </c>
      <c r="C7" s="72"/>
      <c r="D7" s="47" t="s">
        <v>1476</v>
      </c>
      <c r="E7" s="154" t="s">
        <v>1638</v>
      </c>
      <c r="F7" s="155"/>
      <c r="G7" s="155"/>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2024-05-10T19:35:45Z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