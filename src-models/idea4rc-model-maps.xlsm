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8.xml" ContentType="application/vnd.openxmlformats-officedocument.drawing+xml"/>
  <Override PartName="/xl/ctrlProps/ctrlProp2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99" documentId="13_ncr:1_{1D853C1E-3A3B-4794-8914-0F0D38C2C53E}" xr6:coauthVersionLast="47" xr6:coauthVersionMax="47" xr10:uidLastSave="{C00C0755-605E-4D1E-95E5-270AF195697B}"/>
  <bookViews>
    <workbookView xWindow="-90" yWindow="-21710" windowWidth="38620" windowHeight="21100" tabRatio="819" firstSheet="11" activeTab="18"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Map-1" sheetId="173" r:id="rId6"/>
    <sheet name="CancerEpisode-fsh" sheetId="174" r:id="rId7"/>
    <sheet name="CancerEpisode-ConceptMap-1" sheetId="178" r:id="rId8"/>
    <sheet name="CancerEpisode-ConceptMap-2" sheetId="186" r:id="rId9"/>
    <sheet name="CancerEpisode-CM-fsh" sheetId="179" r:id="rId10"/>
    <sheet name="Subject" sheetId="169" r:id="rId11"/>
    <sheet name="Subject-Map-1" sheetId="170" r:id="rId12"/>
    <sheet name="Subject-fsh" sheetId="171" r:id="rId13"/>
    <sheet name="Subject-ConceptMap-1" sheetId="180" r:id="rId14"/>
    <sheet name="Subject-ConceptMap-2" sheetId="182" r:id="rId15"/>
    <sheet name="Subject-ConceptMap-3" sheetId="183" r:id="rId16"/>
    <sheet name="Subject-ConceptMap-4" sheetId="184" r:id="rId17"/>
    <sheet name="Subject-ConceptMap-5" sheetId="185" r:id="rId18"/>
    <sheet name="Subject-CM-fsh" sheetId="181" r:id="rId19"/>
    <sheet name="EpisodeEvent-src" sheetId="192" r:id="rId20"/>
    <sheet name="EpisodeEvent" sheetId="193" r:id="rId21"/>
    <sheet name="EpisodeEvent-Map-1" sheetId="194" r:id="rId22"/>
    <sheet name="EpisodeEvent-fsh" sheetId="195" r:id="rId23"/>
    <sheet name="EpisodeEvent-ConceptMap-1" sheetId="196" r:id="rId24"/>
    <sheet name="EpisodeEvent-CM-fsh" sheetId="198" r:id="rId25"/>
    <sheet name="ClinicalStage-src" sheetId="187" r:id="rId26"/>
    <sheet name="ClinicalStage" sheetId="159" r:id="rId27"/>
    <sheet name="ClinicalStage-Map-1" sheetId="160" r:id="rId28"/>
    <sheet name="ClinicalStage-fsh" sheetId="161" r:id="rId29"/>
    <sheet name="ClinicalStage-ConceptMap-1" sheetId="199" r:id="rId30"/>
    <sheet name="ClinicalStage-ConceptMap-2" sheetId="201" r:id="rId31"/>
    <sheet name="ClinicalStage-ConceptMap-3" sheetId="202" r:id="rId32"/>
    <sheet name="ClinicalStage-ConceptMap-4" sheetId="203" r:id="rId33"/>
    <sheet name="ClinicalStage-CM-fsh" sheetId="200" r:id="rId34"/>
    <sheet name="PathologicalStage-src" sheetId="188" r:id="rId35"/>
    <sheet name="PathologicalStage" sheetId="189" r:id="rId36"/>
    <sheet name="PathologicalStage-fsh" sheetId="191" r:id="rId37"/>
    <sheet name="PathStage-ConceptMap-1" sheetId="204" r:id="rId38"/>
    <sheet name="PathStage-ConceptMap-2" sheetId="205" r:id="rId39"/>
    <sheet name="PathStage-ConceptMap-3" sheetId="206" r:id="rId40"/>
    <sheet name="PathStage-ConceptMap-4" sheetId="207" r:id="rId41"/>
    <sheet name="PathStage-CM-fsh" sheetId="208" r:id="rId42"/>
    <sheet name="SystemicTreatment" sheetId="164" r:id="rId43"/>
    <sheet name="SystemicTreatment-fsh" sheetId="166" r:id="rId44"/>
    <sheet name="Surgery" sheetId="209" r:id="rId45"/>
    <sheet name="Surgery-fsh" sheetId="210" r:id="rId46"/>
    <sheet name="Surgery-ConceptMap-1" sheetId="213" r:id="rId47"/>
    <sheet name="Surgery-CM-fsh" sheetId="214" r:id="rId48"/>
    <sheet name="Radiotherapy" sheetId="211" r:id="rId49"/>
    <sheet name="Radiotherapy-fsh" sheetId="212" r:id="rId50"/>
    <sheet name="Radiotherapy-ConceptMap-1" sheetId="215" r:id="rId51"/>
    <sheet name="Radiotherapy-CM-fsh" sheetId="216" r:id="rId52"/>
    <sheet name="ConvertOsiris" sheetId="138" r:id="rId53"/>
    <sheet name="Osiris" sheetId="141" r:id="rId54"/>
    <sheet name="Osiris-Map" sheetId="142" r:id="rId55"/>
    <sheet name="Osiris-fsh-noMap" sheetId="144" r:id="rId56"/>
    <sheet name="Osiris-fsh" sheetId="143" r:id="rId57"/>
    <sheet name="Osiris-ConceptMap" sheetId="145" r:id="rId58"/>
    <sheet name="Osiris-CM-fsh" sheetId="147" r:id="rId59"/>
    <sheet name="equivalence" sheetId="146" r:id="rId60"/>
  </sheets>
  <externalReferences>
    <externalReference r:id="rId61"/>
  </externalReferences>
  <definedNames>
    <definedName name="_xlnm._FilterDatabase" localSheetId="1" hidden="1">'2.Demographic &amp; life style'!$A$2:$S$47</definedName>
    <definedName name="_xlnm._FilterDatabase" localSheetId="4" hidden="1">CancerEpisode!$A$7:$M$39</definedName>
    <definedName name="_xlnm._FilterDatabase" localSheetId="52" hidden="1">ConvertOsiris!$D$2:$U$232</definedName>
    <definedName name="_xlnm._FilterDatabase" localSheetId="48" hidden="1">Radiotherapy!$A$7:$M$34</definedName>
    <definedName name="_xlnm._FilterDatabase" localSheetId="10"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8" l="1"/>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I19" i="215" s="1"/>
  <c r="C19" i="215"/>
  <c r="J19" i="215" s="1"/>
  <c r="B20" i="215"/>
  <c r="C20" i="215"/>
  <c r="B21" i="215"/>
  <c r="C21" i="215"/>
  <c r="J21" i="215" s="1"/>
  <c r="B22" i="215"/>
  <c r="C22" i="215"/>
  <c r="B23" i="215"/>
  <c r="C23" i="215"/>
  <c r="J23" i="215" s="1"/>
  <c r="B24" i="215"/>
  <c r="C24" i="215"/>
  <c r="B25" i="215"/>
  <c r="C25" i="215"/>
  <c r="B26" i="215"/>
  <c r="C26" i="215"/>
  <c r="B27" i="215"/>
  <c r="I27" i="215" s="1"/>
  <c r="C27" i="215"/>
  <c r="J27" i="215" s="1"/>
  <c r="B28" i="215"/>
  <c r="C28" i="215"/>
  <c r="B29" i="215"/>
  <c r="C29" i="215"/>
  <c r="J29" i="215" s="1"/>
  <c r="B30" i="215"/>
  <c r="C30" i="215"/>
  <c r="B31" i="215"/>
  <c r="I31" i="215" s="1"/>
  <c r="S111" i="215" s="1" a="1"/>
  <c r="S111" i="215" s="1"/>
  <c r="B115" i="216" s="1"/>
  <c r="C31" i="215"/>
  <c r="J31" i="215" s="1"/>
  <c r="B32" i="215"/>
  <c r="C32" i="215"/>
  <c r="B33" i="215"/>
  <c r="C33" i="215"/>
  <c r="J33" i="215" s="1"/>
  <c r="B34" i="215"/>
  <c r="C34" i="215"/>
  <c r="B35" i="215"/>
  <c r="C35" i="215"/>
  <c r="J35" i="215" s="1"/>
  <c r="B36" i="215"/>
  <c r="C36" i="215"/>
  <c r="B37" i="215"/>
  <c r="C37" i="215"/>
  <c r="B38" i="215"/>
  <c r="C38" i="215"/>
  <c r="C15" i="215"/>
  <c r="B15" i="215"/>
  <c r="B14" i="215"/>
  <c r="B15" i="216"/>
  <c r="B13" i="216"/>
  <c r="B12" i="216"/>
  <c r="B9" i="216"/>
  <c r="B8" i="216"/>
  <c r="B4" i="216"/>
  <c r="R163" i="215"/>
  <c r="Q163" i="215"/>
  <c r="S163" i="215" s="1" a="1"/>
  <c r="S163" i="215" s="1"/>
  <c r="R162" i="215"/>
  <c r="Q162" i="215"/>
  <c r="S162" i="215" s="1" a="1"/>
  <c r="S162" i="215" s="1"/>
  <c r="S161" i="215" a="1"/>
  <c r="S161" i="215" s="1"/>
  <c r="B165" i="216" s="1"/>
  <c r="R161" i="215"/>
  <c r="Q161" i="215"/>
  <c r="R160" i="215"/>
  <c r="Q160" i="215"/>
  <c r="S160" i="215" s="1" a="1"/>
  <c r="S160" i="215" s="1"/>
  <c r="B164" i="216" s="1"/>
  <c r="S159" i="215" a="1"/>
  <c r="S159" i="215" s="1"/>
  <c r="B163" i="216" s="1"/>
  <c r="R159" i="215"/>
  <c r="Q159" i="215"/>
  <c r="R158" i="215"/>
  <c r="Q158" i="215"/>
  <c r="R157" i="215"/>
  <c r="Q157" i="215"/>
  <c r="S157" i="215" s="1" a="1"/>
  <c r="S157" i="215" s="1"/>
  <c r="B161" i="216" s="1"/>
  <c r="R156" i="215"/>
  <c r="Q156" i="215"/>
  <c r="S156" i="215" s="1" a="1"/>
  <c r="S156" i="215" s="1"/>
  <c r="B160" i="216" s="1"/>
  <c r="S155" i="215" a="1"/>
  <c r="S155" i="215" s="1"/>
  <c r="B159" i="216" s="1"/>
  <c r="R155" i="215"/>
  <c r="Q155" i="215"/>
  <c r="R154" i="215"/>
  <c r="Q154" i="215"/>
  <c r="R153" i="215"/>
  <c r="Q153" i="215"/>
  <c r="R152" i="215"/>
  <c r="Q152" i="215"/>
  <c r="S152" i="215" s="1" a="1"/>
  <c r="S152" i="215" s="1"/>
  <c r="B156" i="216" s="1"/>
  <c r="R151" i="215"/>
  <c r="Q151" i="215"/>
  <c r="S151" i="215" s="1" a="1"/>
  <c r="S151" i="215" s="1"/>
  <c r="B155" i="216" s="1"/>
  <c r="R150" i="215"/>
  <c r="Q150" i="215"/>
  <c r="R149" i="215"/>
  <c r="Q149" i="215"/>
  <c r="R148" i="215"/>
  <c r="Q148" i="215"/>
  <c r="R147" i="215"/>
  <c r="Q147" i="215"/>
  <c r="R146" i="215"/>
  <c r="Q146" i="215"/>
  <c r="S145" i="215" a="1"/>
  <c r="S145" i="215" s="1"/>
  <c r="B149" i="216" s="1"/>
  <c r="R145" i="215"/>
  <c r="Q145" i="215"/>
  <c r="R144" i="215"/>
  <c r="Q144" i="215"/>
  <c r="R143" i="215"/>
  <c r="Q143" i="215"/>
  <c r="R142" i="215"/>
  <c r="Q142" i="215"/>
  <c r="R141" i="215"/>
  <c r="Q141" i="215"/>
  <c r="R140" i="215"/>
  <c r="Q140" i="215"/>
  <c r="S140" i="215" s="1" a="1"/>
  <c r="S140" i="215" s="1"/>
  <c r="B144" i="216" s="1"/>
  <c r="R139" i="215"/>
  <c r="Q139" i="215"/>
  <c r="R138" i="215"/>
  <c r="Q138" i="215"/>
  <c r="R137" i="215"/>
  <c r="Q137" i="215"/>
  <c r="R136" i="215"/>
  <c r="Q136" i="215"/>
  <c r="R135" i="215"/>
  <c r="Q135" i="215"/>
  <c r="R134" i="215"/>
  <c r="Q134" i="215"/>
  <c r="R133" i="215"/>
  <c r="Q133" i="215"/>
  <c r="S133" i="215" s="1" a="1"/>
  <c r="S133" i="215" s="1"/>
  <c r="B137" i="216" s="1"/>
  <c r="R132" i="215"/>
  <c r="Q132" i="215"/>
  <c r="R131" i="215"/>
  <c r="Q131" i="215"/>
  <c r="R130" i="215"/>
  <c r="Q130" i="215"/>
  <c r="R129" i="215"/>
  <c r="Q129" i="215"/>
  <c r="R128" i="215"/>
  <c r="Q128" i="215"/>
  <c r="R127" i="215"/>
  <c r="Q127" i="215"/>
  <c r="R126" i="215"/>
  <c r="Q126" i="215"/>
  <c r="R125" i="215"/>
  <c r="Q125" i="215"/>
  <c r="S125" i="215" s="1" a="1"/>
  <c r="S125" i="215" s="1"/>
  <c r="B129" i="216" s="1"/>
  <c r="R124" i="215"/>
  <c r="Q124" i="215"/>
  <c r="R123" i="215"/>
  <c r="Q123" i="215"/>
  <c r="R122" i="215"/>
  <c r="Q122" i="215"/>
  <c r="R121" i="215"/>
  <c r="Q121" i="215"/>
  <c r="S121" i="215" s="1" a="1"/>
  <c r="S121" i="215" s="1"/>
  <c r="B125" i="216" s="1"/>
  <c r="R120" i="215"/>
  <c r="Q120" i="215"/>
  <c r="S120" i="215" s="1" a="1"/>
  <c r="S120" i="215" s="1"/>
  <c r="B124" i="216" s="1"/>
  <c r="R119" i="215"/>
  <c r="Q119" i="215"/>
  <c r="R118" i="215"/>
  <c r="Q118" i="215"/>
  <c r="R117" i="215"/>
  <c r="Q117" i="215"/>
  <c r="R116" i="215"/>
  <c r="Q116" i="215"/>
  <c r="R115" i="215"/>
  <c r="Q115" i="215"/>
  <c r="S115" i="215" s="1" a="1"/>
  <c r="S115" i="215" s="1"/>
  <c r="B119" i="216" s="1"/>
  <c r="R114" i="215"/>
  <c r="Q114" i="215"/>
  <c r="S113" i="215" a="1"/>
  <c r="S113" i="215" s="1"/>
  <c r="B117" i="216" s="1"/>
  <c r="R113" i="215"/>
  <c r="Q113" i="215"/>
  <c r="R112" i="215"/>
  <c r="Q112" i="215"/>
  <c r="R111" i="215"/>
  <c r="Q111" i="215"/>
  <c r="R110" i="215"/>
  <c r="Q110" i="215"/>
  <c r="R109" i="215"/>
  <c r="Q109" i="215"/>
  <c r="S109" i="215" s="1" a="1"/>
  <c r="S109" i="215" s="1"/>
  <c r="B113" i="216" s="1"/>
  <c r="R108" i="215"/>
  <c r="Q108" i="215"/>
  <c r="S108" i="215" s="1" a="1"/>
  <c r="S108" i="215" s="1"/>
  <c r="B112" i="216" s="1"/>
  <c r="R107" i="215"/>
  <c r="Q107" i="215"/>
  <c r="R106" i="215"/>
  <c r="Q106" i="215"/>
  <c r="R105" i="215"/>
  <c r="Q105" i="215"/>
  <c r="R104" i="215"/>
  <c r="Q104" i="215"/>
  <c r="R103" i="215"/>
  <c r="Q103" i="215"/>
  <c r="S103" i="215" s="1" a="1"/>
  <c r="S103" i="215" s="1"/>
  <c r="B107" i="216" s="1"/>
  <c r="R102" i="215"/>
  <c r="Q102" i="215"/>
  <c r="R101" i="215"/>
  <c r="Q101" i="215"/>
  <c r="R100" i="215"/>
  <c r="Q100" i="215"/>
  <c r="R99" i="215"/>
  <c r="Q99" i="215"/>
  <c r="R98" i="215"/>
  <c r="Q98" i="215"/>
  <c r="S97" i="215" a="1"/>
  <c r="S97" i="215" s="1"/>
  <c r="B101" i="216" s="1"/>
  <c r="R97" i="215"/>
  <c r="Q97" i="215"/>
  <c r="R96" i="215"/>
  <c r="Q96" i="215"/>
  <c r="R95" i="215"/>
  <c r="Q95" i="215"/>
  <c r="R94" i="215"/>
  <c r="Q94" i="215"/>
  <c r="R93" i="215"/>
  <c r="Q93" i="215"/>
  <c r="R92" i="215"/>
  <c r="Q92" i="215"/>
  <c r="R91" i="215"/>
  <c r="Q91" i="215"/>
  <c r="R90" i="215"/>
  <c r="Q90" i="215"/>
  <c r="R89" i="215"/>
  <c r="Q89" i="215"/>
  <c r="R88" i="215"/>
  <c r="Q88" i="215"/>
  <c r="R87" i="215"/>
  <c r="Q87" i="215"/>
  <c r="R86" i="215"/>
  <c r="Q86" i="215"/>
  <c r="R85" i="215"/>
  <c r="Q85" i="215"/>
  <c r="S85" i="215" s="1" a="1"/>
  <c r="S85" i="215" s="1"/>
  <c r="B89" i="216" s="1"/>
  <c r="R84" i="215"/>
  <c r="Q84" i="215"/>
  <c r="R83" i="215"/>
  <c r="Q83" i="215"/>
  <c r="S83" i="215" s="1" a="1"/>
  <c r="S83" i="215" s="1"/>
  <c r="B87" i="216" s="1"/>
  <c r="R82" i="215"/>
  <c r="Q82" i="215"/>
  <c r="R81" i="215"/>
  <c r="Q81" i="215"/>
  <c r="R80" i="215"/>
  <c r="Q80" i="215"/>
  <c r="R79" i="215"/>
  <c r="Q79" i="215"/>
  <c r="R78" i="215"/>
  <c r="Q78" i="215"/>
  <c r="R77" i="215"/>
  <c r="Q77" i="215"/>
  <c r="R76" i="215"/>
  <c r="Q76" i="215"/>
  <c r="R75" i="215"/>
  <c r="Q75" i="215"/>
  <c r="R74" i="215"/>
  <c r="Q74" i="215"/>
  <c r="R73" i="215"/>
  <c r="Q73" i="215"/>
  <c r="S73" i="215" s="1" a="1"/>
  <c r="S73" i="215" s="1"/>
  <c r="B77" i="216" s="1"/>
  <c r="R72" i="215"/>
  <c r="Q72" i="215"/>
  <c r="S72" i="215" s="1" a="1"/>
  <c r="S72" i="215" s="1"/>
  <c r="B76" i="216" s="1"/>
  <c r="R71" i="215"/>
  <c r="Q71" i="215"/>
  <c r="S71" i="215" s="1" a="1"/>
  <c r="S71" i="215" s="1"/>
  <c r="B75" i="216" s="1"/>
  <c r="R70" i="215"/>
  <c r="Q70" i="215"/>
  <c r="R69" i="215"/>
  <c r="Q69" i="215"/>
  <c r="R68" i="215"/>
  <c r="Q68" i="215"/>
  <c r="R67" i="215"/>
  <c r="Q67" i="215"/>
  <c r="S67" i="215" s="1" a="1"/>
  <c r="S67" i="215" s="1"/>
  <c r="B71" i="216" s="1"/>
  <c r="R66" i="215"/>
  <c r="Q66" i="215"/>
  <c r="R65" i="215"/>
  <c r="Q65" i="215"/>
  <c r="R64" i="215"/>
  <c r="Q64" i="215"/>
  <c r="R63" i="215"/>
  <c r="Q63" i="215"/>
  <c r="R62" i="215"/>
  <c r="Q62" i="215"/>
  <c r="R61" i="215"/>
  <c r="Q61" i="215"/>
  <c r="S61" i="215" s="1" a="1"/>
  <c r="S61" i="215" s="1"/>
  <c r="B65" i="216" s="1"/>
  <c r="R60" i="215"/>
  <c r="Q60" i="215"/>
  <c r="S60" i="215" s="1" a="1"/>
  <c r="S60" i="215" s="1"/>
  <c r="B64" i="216" s="1"/>
  <c r="R59" i="215"/>
  <c r="S59" i="215" s="1" a="1"/>
  <c r="S59" i="215" s="1"/>
  <c r="B63" i="216" s="1"/>
  <c r="Q59" i="215"/>
  <c r="R58" i="215"/>
  <c r="Q58" i="215"/>
  <c r="R57" i="215"/>
  <c r="Q57" i="215"/>
  <c r="R56" i="215"/>
  <c r="Q56" i="215"/>
  <c r="R55" i="215"/>
  <c r="Q55" i="215"/>
  <c r="S55" i="215" s="1" a="1"/>
  <c r="S55" i="215" s="1"/>
  <c r="B59" i="216" s="1"/>
  <c r="R54" i="215"/>
  <c r="Q54" i="215"/>
  <c r="R53" i="215"/>
  <c r="Q53" i="215"/>
  <c r="R52" i="215"/>
  <c r="Q52" i="215"/>
  <c r="R51" i="215"/>
  <c r="Q51" i="215"/>
  <c r="R50" i="215"/>
  <c r="Q50" i="215"/>
  <c r="S49" i="215" a="1"/>
  <c r="S49" i="215" s="1"/>
  <c r="B53" i="216" s="1"/>
  <c r="R49" i="215"/>
  <c r="Q49" i="215"/>
  <c r="R48" i="215"/>
  <c r="Q48" i="215"/>
  <c r="R47" i="215"/>
  <c r="Q47" i="215"/>
  <c r="R46" i="215"/>
  <c r="Q46" i="215"/>
  <c r="R45" i="215"/>
  <c r="Q45" i="215"/>
  <c r="R44" i="215"/>
  <c r="Q44" i="215"/>
  <c r="R43" i="215"/>
  <c r="S43" i="215" s="1" a="1"/>
  <c r="S43" i="215" s="1"/>
  <c r="B47" i="216" s="1"/>
  <c r="Q43" i="215"/>
  <c r="R42" i="215"/>
  <c r="Q42" i="215"/>
  <c r="R41" i="215"/>
  <c r="Q41" i="215"/>
  <c r="R40" i="215"/>
  <c r="Q40" i="215"/>
  <c r="R39" i="215"/>
  <c r="Q39" i="215"/>
  <c r="N39" i="215"/>
  <c r="R38" i="215"/>
  <c r="Q38" i="215"/>
  <c r="N38" i="215"/>
  <c r="M38" i="215"/>
  <c r="L38" i="215"/>
  <c r="K38" i="215"/>
  <c r="J38" i="215"/>
  <c r="R37" i="215"/>
  <c r="Q37" i="215"/>
  <c r="N37" i="215"/>
  <c r="M37" i="215"/>
  <c r="L37" i="215"/>
  <c r="K37" i="215"/>
  <c r="J37" i="215"/>
  <c r="I37" i="215"/>
  <c r="R36" i="215"/>
  <c r="Q36" i="215"/>
  <c r="N36" i="215"/>
  <c r="M36" i="215"/>
  <c r="L36" i="215"/>
  <c r="K36" i="215"/>
  <c r="S143" i="215" s="1" a="1"/>
  <c r="S143" i="215" s="1"/>
  <c r="B147" i="216" s="1"/>
  <c r="J36" i="215"/>
  <c r="R35" i="215"/>
  <c r="Q35" i="215"/>
  <c r="N35" i="215"/>
  <c r="M35" i="215"/>
  <c r="S139" i="215" s="1" a="1"/>
  <c r="S139" i="215" s="1"/>
  <c r="B143" i="216" s="1"/>
  <c r="L35" i="215"/>
  <c r="K35" i="215"/>
  <c r="I35" i="215"/>
  <c r="R34" i="215"/>
  <c r="Q34" i="215"/>
  <c r="N34" i="215"/>
  <c r="M34" i="215"/>
  <c r="L34" i="215"/>
  <c r="K34" i="215"/>
  <c r="J34" i="215"/>
  <c r="R33" i="215"/>
  <c r="Q33" i="215"/>
  <c r="N33" i="215"/>
  <c r="M33" i="215"/>
  <c r="S127" i="215" s="1" a="1"/>
  <c r="S127" i="215" s="1"/>
  <c r="B131" i="216" s="1"/>
  <c r="L33" i="215"/>
  <c r="K33" i="215"/>
  <c r="I33" i="215"/>
  <c r="S123" i="215" s="1" a="1"/>
  <c r="S123" i="215" s="1"/>
  <c r="B127" i="216" s="1"/>
  <c r="R32" i="215"/>
  <c r="Q32" i="215"/>
  <c r="N32" i="215"/>
  <c r="M32" i="215"/>
  <c r="L32" i="215"/>
  <c r="K32" i="215"/>
  <c r="J32" i="215"/>
  <c r="R31" i="215"/>
  <c r="Q31" i="215"/>
  <c r="N31" i="215"/>
  <c r="M31" i="215"/>
  <c r="L31" i="215"/>
  <c r="K31" i="215"/>
  <c r="R30" i="215"/>
  <c r="Q30" i="215"/>
  <c r="N30" i="215"/>
  <c r="M30" i="215"/>
  <c r="L30" i="215"/>
  <c r="K30" i="215"/>
  <c r="S107" i="215" s="1" a="1"/>
  <c r="S107" i="215" s="1"/>
  <c r="B111" i="216" s="1"/>
  <c r="J30" i="215"/>
  <c r="R29" i="215"/>
  <c r="Q29" i="215"/>
  <c r="N29" i="215"/>
  <c r="M29" i="215"/>
  <c r="L29" i="215"/>
  <c r="K29" i="215"/>
  <c r="I29" i="215"/>
  <c r="R28" i="215"/>
  <c r="Q28" i="215"/>
  <c r="N28" i="215"/>
  <c r="M28" i="215"/>
  <c r="L28" i="215"/>
  <c r="K28" i="215"/>
  <c r="S95" i="215" s="1" a="1"/>
  <c r="S95" i="215" s="1"/>
  <c r="B99" i="216" s="1"/>
  <c r="J28" i="215"/>
  <c r="R27" i="215"/>
  <c r="Q27" i="215"/>
  <c r="N27" i="215"/>
  <c r="M27" i="215"/>
  <c r="S91" i="215" s="1" a="1"/>
  <c r="S91" i="215" s="1"/>
  <c r="B95" i="216" s="1"/>
  <c r="L27" i="215"/>
  <c r="K27" i="215"/>
  <c r="R26" i="215"/>
  <c r="Q26" i="215"/>
  <c r="N26" i="215"/>
  <c r="M26" i="215"/>
  <c r="L26" i="215"/>
  <c r="K26" i="215"/>
  <c r="J26" i="215"/>
  <c r="R25" i="215"/>
  <c r="Q25" i="215"/>
  <c r="S25" i="215" s="1" a="1"/>
  <c r="S25" i="215" s="1"/>
  <c r="B29" i="216" s="1"/>
  <c r="N25" i="215"/>
  <c r="M25" i="215"/>
  <c r="S79" i="215" s="1" a="1"/>
  <c r="S79" i="215" s="1"/>
  <c r="B83" i="216" s="1"/>
  <c r="L25" i="215"/>
  <c r="K25" i="215"/>
  <c r="J25" i="215"/>
  <c r="I25" i="215"/>
  <c r="S75" i="215" s="1" a="1"/>
  <c r="S75" i="215" s="1"/>
  <c r="B79" i="216" s="1"/>
  <c r="R24" i="215"/>
  <c r="Q24" i="215"/>
  <c r="N24" i="215"/>
  <c r="M24" i="215"/>
  <c r="L24" i="215"/>
  <c r="K24" i="215"/>
  <c r="J24" i="215"/>
  <c r="R23" i="215"/>
  <c r="Q23" i="215"/>
  <c r="N23" i="215"/>
  <c r="M23" i="215"/>
  <c r="L23" i="215"/>
  <c r="K23" i="215"/>
  <c r="S65" i="215" s="1" a="1"/>
  <c r="S65" i="215" s="1"/>
  <c r="B69" i="216" s="1"/>
  <c r="I23" i="215"/>
  <c r="R22" i="215"/>
  <c r="Q22" i="215"/>
  <c r="N22" i="215"/>
  <c r="M22" i="215"/>
  <c r="L22" i="215"/>
  <c r="K22" i="215"/>
  <c r="J22" i="215"/>
  <c r="R21" i="215"/>
  <c r="Q21" i="215"/>
  <c r="N21" i="215"/>
  <c r="M21" i="215"/>
  <c r="L21" i="215"/>
  <c r="K21" i="215"/>
  <c r="I21" i="215"/>
  <c r="R20" i="215"/>
  <c r="Q20" i="215"/>
  <c r="S20" i="215" s="1" a="1"/>
  <c r="S20" i="215" s="1"/>
  <c r="B24" i="216" s="1"/>
  <c r="N20" i="215"/>
  <c r="M20" i="215"/>
  <c r="L20" i="215"/>
  <c r="K20" i="215"/>
  <c r="J20" i="215"/>
  <c r="R19" i="215"/>
  <c r="Q19" i="215"/>
  <c r="S19" i="215" s="1" a="1"/>
  <c r="S19" i="215" s="1"/>
  <c r="B23" i="216" s="1"/>
  <c r="N19" i="215"/>
  <c r="M19" i="215"/>
  <c r="L19" i="215"/>
  <c r="K19" i="215"/>
  <c r="R18" i="215"/>
  <c r="Q18" i="215"/>
  <c r="S18" i="215" s="1" a="1"/>
  <c r="S18" i="215" s="1"/>
  <c r="B22" i="216" s="1"/>
  <c r="N18" i="215"/>
  <c r="M18" i="215"/>
  <c r="S37" i="215" s="1" a="1"/>
  <c r="S37" i="215" s="1"/>
  <c r="B41" i="216" s="1"/>
  <c r="L18" i="215"/>
  <c r="K18" i="215"/>
  <c r="S35" i="215" s="1" a="1"/>
  <c r="S35" i="215" s="1"/>
  <c r="B39" i="216" s="1"/>
  <c r="J18" i="215"/>
  <c r="R17" i="215"/>
  <c r="Q17" i="215"/>
  <c r="N17" i="215"/>
  <c r="M17" i="215"/>
  <c r="S31" i="215" s="1" a="1"/>
  <c r="S31" i="215" s="1"/>
  <c r="B35" i="216" s="1"/>
  <c r="L17" i="215"/>
  <c r="K17" i="215"/>
  <c r="S29" i="215" s="1" a="1"/>
  <c r="S29" i="215" s="1"/>
  <c r="B33" i="216" s="1"/>
  <c r="J17" i="215"/>
  <c r="I17" i="215"/>
  <c r="S27" i="215" s="1" a="1"/>
  <c r="S27" i="215" s="1"/>
  <c r="B31" i="216" s="1"/>
  <c r="R16" i="215"/>
  <c r="Q16" i="215"/>
  <c r="S16" i="215" s="1" a="1"/>
  <c r="S16" i="215" s="1"/>
  <c r="B20" i="216" s="1"/>
  <c r="N16" i="215"/>
  <c r="M16" i="215"/>
  <c r="L16" i="215"/>
  <c r="K16" i="215"/>
  <c r="J16" i="215"/>
  <c r="R15" i="215"/>
  <c r="Q15" i="215"/>
  <c r="N15" i="215"/>
  <c r="M15" i="215"/>
  <c r="L15" i="215"/>
  <c r="K15" i="215"/>
  <c r="J15" i="215"/>
  <c r="I15" i="215"/>
  <c r="I36" i="215"/>
  <c r="B17" i="216"/>
  <c r="E3" i="215"/>
  <c r="B14" i="216" s="1"/>
  <c r="B165" i="214"/>
  <c r="B147" i="214"/>
  <c r="B148" i="214"/>
  <c r="B149" i="214"/>
  <c r="B154" i="214"/>
  <c r="B145" i="214"/>
  <c r="B146" i="214"/>
  <c r="B35" i="214"/>
  <c r="B59" i="214"/>
  <c r="B82" i="214"/>
  <c r="B83" i="214"/>
  <c r="B100" i="214"/>
  <c r="B132" i="214"/>
  <c r="B138" i="214"/>
  <c r="I16" i="213"/>
  <c r="I17" i="213"/>
  <c r="I18" i="213"/>
  <c r="I19" i="213"/>
  <c r="I20" i="213"/>
  <c r="I21" i="213"/>
  <c r="I22" i="213"/>
  <c r="S57" i="213" s="1" a="1"/>
  <c r="S57" i="213" s="1"/>
  <c r="B61" i="214" s="1"/>
  <c r="I23" i="213"/>
  <c r="I24" i="213"/>
  <c r="I25" i="213"/>
  <c r="I26" i="213"/>
  <c r="I27" i="213"/>
  <c r="I28" i="213"/>
  <c r="I29" i="213"/>
  <c r="I30" i="213"/>
  <c r="I31" i="213"/>
  <c r="I32" i="213"/>
  <c r="I33" i="213"/>
  <c r="I34" i="213"/>
  <c r="I35" i="213"/>
  <c r="I36" i="213"/>
  <c r="I37" i="213"/>
  <c r="I38" i="213"/>
  <c r="I15" i="213"/>
  <c r="J34" i="213"/>
  <c r="K34" i="213"/>
  <c r="L34" i="213"/>
  <c r="M34" i="213"/>
  <c r="N34" i="213"/>
  <c r="J35" i="213"/>
  <c r="K35" i="213"/>
  <c r="L35" i="213"/>
  <c r="M35" i="213"/>
  <c r="N35" i="213"/>
  <c r="J36" i="213"/>
  <c r="K36" i="213"/>
  <c r="L36" i="213"/>
  <c r="S144" i="213" s="1" a="1"/>
  <c r="S144" i="213"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R149" i="213"/>
  <c r="Q149" i="213"/>
  <c r="S149" i="213" s="1" a="1"/>
  <c r="S149" i="213" s="1"/>
  <c r="B153" i="214" s="1"/>
  <c r="R148" i="213"/>
  <c r="Q148" i="213"/>
  <c r="S148" i="213" s="1" a="1"/>
  <c r="S148" i="213" s="1"/>
  <c r="B152" i="214" s="1"/>
  <c r="S147" i="213" a="1"/>
  <c r="S147" i="213" s="1"/>
  <c r="B151" i="214" s="1"/>
  <c r="R147" i="213"/>
  <c r="Q147" i="213"/>
  <c r="R146" i="213"/>
  <c r="Q146" i="213"/>
  <c r="S146" i="213" s="1" a="1"/>
  <c r="S146" i="213" s="1"/>
  <c r="B150" i="214" s="1"/>
  <c r="R145" i="213"/>
  <c r="Q145" i="213"/>
  <c r="S145" i="213" s="1" a="1"/>
  <c r="S145" i="213" s="1"/>
  <c r="R144" i="213"/>
  <c r="Q144" i="213"/>
  <c r="R143" i="213"/>
  <c r="Q143" i="213"/>
  <c r="S143" i="213" s="1" a="1"/>
  <c r="S143" i="213" s="1"/>
  <c r="R142" i="213"/>
  <c r="Q142" i="213"/>
  <c r="S142" i="213" s="1" a="1"/>
  <c r="S142" i="213" s="1"/>
  <c r="R141" i="213"/>
  <c r="S141" i="213" s="1" a="1"/>
  <c r="S141" i="213" s="1"/>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S129" i="213" s="1" a="1"/>
  <c r="S129" i="213" s="1"/>
  <c r="B133" i="214" s="1"/>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R78" i="213"/>
  <c r="S78" i="213" s="1" a="1"/>
  <c r="S78" i="213"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R32" i="213"/>
  <c r="Q32" i="213"/>
  <c r="S122" i="213" a="1"/>
  <c r="S122" i="213" s="1"/>
  <c r="B126" i="214" s="1"/>
  <c r="S121" i="213" a="1"/>
  <c r="S121" i="213" s="1"/>
  <c r="B125" i="214" s="1"/>
  <c r="R31" i="213"/>
  <c r="Q31" i="213"/>
  <c r="S31" i="213" s="1" a="1"/>
  <c r="S31" i="213" s="1"/>
  <c r="S115" i="213" a="1"/>
  <c r="S115" i="213" s="1"/>
  <c r="B119" i="214" s="1"/>
  <c r="R30" i="213"/>
  <c r="Q30" i="213"/>
  <c r="S106" i="213" a="1"/>
  <c r="S106" i="213" s="1"/>
  <c r="B110" i="214" s="1"/>
  <c r="S105" i="213" a="1"/>
  <c r="S105" i="213" s="1"/>
  <c r="B109" i="214" s="1"/>
  <c r="R29" i="213"/>
  <c r="Q29" i="213"/>
  <c r="S28" i="213" a="1"/>
  <c r="S28" i="213" s="1"/>
  <c r="B32" i="214" s="1"/>
  <c r="R28" i="213"/>
  <c r="Q28" i="213"/>
  <c r="S96" i="213" a="1"/>
  <c r="S96" i="213"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2" i="210"/>
  <c r="C43" i="210"/>
  <c r="C44" i="210"/>
  <c r="C45" i="210"/>
  <c r="C46"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5" i="210"/>
  <c r="C16" i="210"/>
  <c r="C17" i="210"/>
  <c r="C18" i="210"/>
  <c r="C19" i="210"/>
  <c r="C20" i="210"/>
  <c r="C21" i="210"/>
  <c r="C23" i="210"/>
  <c r="C24" i="210"/>
  <c r="C25" i="210"/>
  <c r="C26" i="210"/>
  <c r="C27" i="210"/>
  <c r="C28" i="210"/>
  <c r="C29" i="210"/>
  <c r="C30" i="210"/>
  <c r="C31" i="210"/>
  <c r="C32" i="210"/>
  <c r="C33" i="210"/>
  <c r="C34" i="210"/>
  <c r="L9" i="209"/>
  <c r="L10" i="209"/>
  <c r="L11" i="209"/>
  <c r="L12" i="209"/>
  <c r="L13"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C14" i="210" s="1"/>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6" i="205"/>
  <c r="B149" i="208" s="1"/>
  <c r="E3" i="205"/>
  <c r="R15" i="204"/>
  <c r="Q15" i="204"/>
  <c r="N15" i="204"/>
  <c r="M15" i="204"/>
  <c r="L15" i="204"/>
  <c r="K15" i="204"/>
  <c r="J15" i="204"/>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B187" i="208" l="1"/>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S36" i="215" a="1"/>
  <c r="S36" i="215" s="1"/>
  <c r="B40" i="216" s="1"/>
  <c r="S30" i="215" a="1"/>
  <c r="S30" i="215" s="1"/>
  <c r="B34" i="216" s="1"/>
  <c r="S24" i="215" a="1"/>
  <c r="S24" i="215" s="1"/>
  <c r="B28" i="216" s="1"/>
  <c r="S38" i="215" a="1"/>
  <c r="S38" i="215" s="1"/>
  <c r="B42" i="216" s="1"/>
  <c r="S26" i="215" a="1"/>
  <c r="S26" i="215" s="1"/>
  <c r="B30" i="216" s="1"/>
  <c r="S32" i="215" a="1"/>
  <c r="S32" i="215" s="1"/>
  <c r="B36" i="216" s="1"/>
  <c r="S44" i="215" a="1"/>
  <c r="S44" i="215" s="1"/>
  <c r="B48" i="216" s="1"/>
  <c r="S56" i="215" a="1"/>
  <c r="S56" i="215" s="1"/>
  <c r="B60" i="216" s="1"/>
  <c r="S92" i="215" a="1"/>
  <c r="S92" i="215" s="1"/>
  <c r="B96" i="216" s="1"/>
  <c r="S104" i="215" a="1"/>
  <c r="S104" i="215" s="1"/>
  <c r="B108" i="216" s="1"/>
  <c r="S137" i="215" a="1"/>
  <c r="S137" i="215" s="1"/>
  <c r="B141" i="216" s="1"/>
  <c r="S41" i="215" a="1"/>
  <c r="S41" i="215" s="1"/>
  <c r="B45" i="216" s="1"/>
  <c r="S149" i="215" a="1"/>
  <c r="S149" i="215" s="1"/>
  <c r="B153" i="216" s="1"/>
  <c r="S53" i="215" a="1"/>
  <c r="S53" i="215" s="1"/>
  <c r="B57" i="216" s="1"/>
  <c r="S77" i="215" a="1"/>
  <c r="S77" i="215" s="1"/>
  <c r="B81" i="216" s="1"/>
  <c r="S89" i="215" a="1"/>
  <c r="S89" i="215" s="1"/>
  <c r="B93" i="216" s="1"/>
  <c r="S119" i="215" a="1"/>
  <c r="S119" i="215" s="1"/>
  <c r="B123" i="216" s="1"/>
  <c r="S131" i="215" a="1"/>
  <c r="S131" i="215" s="1"/>
  <c r="B135" i="216" s="1"/>
  <c r="S17" i="215" a="1"/>
  <c r="S17" i="215" s="1"/>
  <c r="B21" i="216" s="1"/>
  <c r="S101" i="215" a="1"/>
  <c r="S101" i="215" s="1"/>
  <c r="B105" i="216" s="1"/>
  <c r="S23" i="215" a="1"/>
  <c r="S23" i="215" s="1"/>
  <c r="B27" i="216" s="1"/>
  <c r="S47" i="215" a="1"/>
  <c r="S47" i="215" s="1"/>
  <c r="B51" i="216" s="1"/>
  <c r="S40" i="215" a="1"/>
  <c r="S40" i="215" s="1"/>
  <c r="B44" i="216" s="1"/>
  <c r="S76" i="215" a="1"/>
  <c r="S76" i="215" s="1"/>
  <c r="B80" i="216" s="1"/>
  <c r="S88" i="215" a="1"/>
  <c r="S88" i="215" s="1"/>
  <c r="B92" i="216" s="1"/>
  <c r="S28" i="215" a="1"/>
  <c r="S28" i="215" s="1"/>
  <c r="B32" i="216" s="1"/>
  <c r="S124" i="215" a="1"/>
  <c r="S124" i="215" s="1"/>
  <c r="B128" i="216" s="1"/>
  <c r="S136" i="215" a="1"/>
  <c r="S136" i="215" s="1"/>
  <c r="B140" i="216" s="1"/>
  <c r="S99" i="215" a="1"/>
  <c r="S99" i="215" s="1"/>
  <c r="B103" i="216" s="1"/>
  <c r="S135" i="215" a="1"/>
  <c r="S135" i="215" s="1"/>
  <c r="B139" i="216" s="1"/>
  <c r="E6" i="215"/>
  <c r="B16" i="216" s="1"/>
  <c r="S147" i="215" a="1"/>
  <c r="S147" i="215" s="1"/>
  <c r="B151" i="216" s="1"/>
  <c r="S87" i="215" a="1"/>
  <c r="S87" i="215" s="1"/>
  <c r="B91" i="216" s="1"/>
  <c r="S22" i="215" a="1"/>
  <c r="S22" i="215" s="1"/>
  <c r="B26" i="216" s="1"/>
  <c r="S39" i="215" a="1"/>
  <c r="S39" i="215" s="1"/>
  <c r="B43" i="216" s="1"/>
  <c r="S15" i="215" a="1"/>
  <c r="S15" i="215" s="1"/>
  <c r="B19" i="216" s="1"/>
  <c r="S34" i="215" a="1"/>
  <c r="S34" i="215" s="1"/>
  <c r="B38" i="216" s="1"/>
  <c r="S51" i="215" a="1"/>
  <c r="S51" i="215" s="1"/>
  <c r="B55" i="216" s="1"/>
  <c r="S63" i="215" a="1"/>
  <c r="S63" i="215" s="1"/>
  <c r="B67" i="216" s="1"/>
  <c r="S141" i="215" a="1"/>
  <c r="S141" i="215" s="1"/>
  <c r="B145" i="216" s="1"/>
  <c r="S50" i="215" a="1"/>
  <c r="S50" i="215" s="1"/>
  <c r="B54" i="216" s="1"/>
  <c r="S66" i="215" a="1"/>
  <c r="S66" i="215" s="1"/>
  <c r="B70" i="216" s="1"/>
  <c r="S82" i="215" a="1"/>
  <c r="S82" i="215" s="1"/>
  <c r="B86" i="216" s="1"/>
  <c r="S98" i="215" a="1"/>
  <c r="S98" i="215" s="1"/>
  <c r="B102" i="216" s="1"/>
  <c r="S114" i="215" a="1"/>
  <c r="S114" i="215" s="1"/>
  <c r="B118" i="216" s="1"/>
  <c r="S130" i="215" a="1"/>
  <c r="S130" i="215" s="1"/>
  <c r="B134" i="216" s="1"/>
  <c r="S146" i="215" a="1"/>
  <c r="S146" i="215" s="1"/>
  <c r="B150" i="216" s="1"/>
  <c r="S54" i="215" a="1"/>
  <c r="S54" i="215" s="1"/>
  <c r="B58" i="216" s="1"/>
  <c r="S70" i="215" a="1"/>
  <c r="S70" i="215" s="1"/>
  <c r="B74" i="216" s="1"/>
  <c r="S86" i="215" a="1"/>
  <c r="S86" i="215" s="1"/>
  <c r="B90" i="216" s="1"/>
  <c r="S102" i="215" a="1"/>
  <c r="S102" i="215" s="1"/>
  <c r="B106" i="216" s="1"/>
  <c r="S118" i="215" a="1"/>
  <c r="S118" i="215" s="1"/>
  <c r="B122" i="216" s="1"/>
  <c r="S134" i="215" a="1"/>
  <c r="S134" i="215" s="1"/>
  <c r="B138" i="216" s="1"/>
  <c r="S150" i="215" a="1"/>
  <c r="S150" i="215" s="1"/>
  <c r="B154" i="216" s="1"/>
  <c r="I38" i="215"/>
  <c r="S153" i="215" s="1" a="1"/>
  <c r="S153" i="215" s="1"/>
  <c r="B157" i="216" s="1"/>
  <c r="S48" i="215" a="1"/>
  <c r="S48" i="215" s="1"/>
  <c r="B52" i="216" s="1"/>
  <c r="S64" i="215" a="1"/>
  <c r="S64" i="215" s="1"/>
  <c r="B68" i="216" s="1"/>
  <c r="S80" i="215" a="1"/>
  <c r="S80" i="215" s="1"/>
  <c r="B84" i="216" s="1"/>
  <c r="S96" i="215" a="1"/>
  <c r="S96" i="215" s="1"/>
  <c r="B100" i="216" s="1"/>
  <c r="S112" i="215" a="1"/>
  <c r="S112" i="215" s="1"/>
  <c r="B116" i="216" s="1"/>
  <c r="S128" i="215" a="1"/>
  <c r="S128" i="215" s="1"/>
  <c r="B132" i="216" s="1"/>
  <c r="S144" i="215" a="1"/>
  <c r="S144" i="215" s="1"/>
  <c r="B148" i="216" s="1"/>
  <c r="S42" i="215" a="1"/>
  <c r="S42" i="215" s="1"/>
  <c r="B46" i="216" s="1"/>
  <c r="S58" i="215" a="1"/>
  <c r="S58" i="215" s="1"/>
  <c r="B62" i="216" s="1"/>
  <c r="S74" i="215" a="1"/>
  <c r="S74" i="215" s="1"/>
  <c r="B78" i="216" s="1"/>
  <c r="S90" i="215" a="1"/>
  <c r="S90" i="215" s="1"/>
  <c r="B94" i="216" s="1"/>
  <c r="S106" i="215" a="1"/>
  <c r="S106" i="215" s="1"/>
  <c r="B110" i="216" s="1"/>
  <c r="S122" i="215" a="1"/>
  <c r="S122" i="215" s="1"/>
  <c r="B126" i="216" s="1"/>
  <c r="S138" i="215" a="1"/>
  <c r="S138" i="215" s="1"/>
  <c r="B142" i="216" s="1"/>
  <c r="S154" i="215" a="1"/>
  <c r="S154" i="215" s="1"/>
  <c r="B158" i="216" s="1"/>
  <c r="I16" i="215"/>
  <c r="S21" i="215" s="1" a="1"/>
  <c r="S21" i="215" s="1"/>
  <c r="B25" i="216" s="1"/>
  <c r="I18" i="215"/>
  <c r="S33" i="215" s="1" a="1"/>
  <c r="S33" i="215" s="1"/>
  <c r="B37" i="216" s="1"/>
  <c r="I20" i="215"/>
  <c r="S45" i="215" s="1" a="1"/>
  <c r="S45" i="215" s="1"/>
  <c r="B49" i="216" s="1"/>
  <c r="I22" i="215"/>
  <c r="S57" i="215" s="1" a="1"/>
  <c r="S57" i="215" s="1"/>
  <c r="B61" i="216" s="1"/>
  <c r="I24" i="215"/>
  <c r="S69" i="215" s="1" a="1"/>
  <c r="S69" i="215" s="1"/>
  <c r="B73" i="216" s="1"/>
  <c r="I26" i="215"/>
  <c r="S81" i="215" s="1" a="1"/>
  <c r="S81" i="215" s="1"/>
  <c r="B85" i="216" s="1"/>
  <c r="I28" i="215"/>
  <c r="S93" i="215" s="1" a="1"/>
  <c r="S93" i="215" s="1"/>
  <c r="B97" i="216" s="1"/>
  <c r="I30" i="215"/>
  <c r="S105" i="215" s="1" a="1"/>
  <c r="S105" i="215" s="1"/>
  <c r="B109" i="216" s="1"/>
  <c r="I32" i="215"/>
  <c r="S117" i="215" s="1" a="1"/>
  <c r="S117" i="215" s="1"/>
  <c r="B121" i="216" s="1"/>
  <c r="I34" i="215"/>
  <c r="S129" i="215" s="1" a="1"/>
  <c r="S129" i="215" s="1"/>
  <c r="B133" i="216" s="1"/>
  <c r="S52" i="215" a="1"/>
  <c r="S52" i="215" s="1"/>
  <c r="B56" i="216" s="1"/>
  <c r="S68" i="215" a="1"/>
  <c r="S68" i="215" s="1"/>
  <c r="B72" i="216" s="1"/>
  <c r="S84" i="215" a="1"/>
  <c r="S84" i="215" s="1"/>
  <c r="B88" i="216" s="1"/>
  <c r="S100" i="215" a="1"/>
  <c r="S100" i="215" s="1"/>
  <c r="B104" i="216" s="1"/>
  <c r="S116" i="215" a="1"/>
  <c r="S116" i="215" s="1"/>
  <c r="B120" i="216" s="1"/>
  <c r="S132" i="215" a="1"/>
  <c r="S132" i="215" s="1"/>
  <c r="B136" i="216" s="1"/>
  <c r="S148" i="215" a="1"/>
  <c r="S148" i="215" s="1"/>
  <c r="B152" i="216" s="1"/>
  <c r="S46" i="215" a="1"/>
  <c r="S46" i="215" s="1"/>
  <c r="B50" i="216" s="1"/>
  <c r="S62" i="215" a="1"/>
  <c r="S62" i="215" s="1"/>
  <c r="B66" i="216" s="1"/>
  <c r="S78" i="215" a="1"/>
  <c r="S78" i="215" s="1"/>
  <c r="B82" i="216" s="1"/>
  <c r="S94" i="215" a="1"/>
  <c r="S94" i="215" s="1"/>
  <c r="B98" i="216" s="1"/>
  <c r="S110" i="215" a="1"/>
  <c r="S110" i="215" s="1"/>
  <c r="B114" i="216" s="1"/>
  <c r="S126" i="215" a="1"/>
  <c r="S126" i="215" s="1"/>
  <c r="B130" i="216" s="1"/>
  <c r="S142" i="215" a="1"/>
  <c r="S142" i="215" s="1"/>
  <c r="B146" i="216" s="1"/>
  <c r="S158" i="215" a="1"/>
  <c r="S158" i="215" s="1"/>
  <c r="B162"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tc={18806AE1-5A21-44E9-9F06-22C8E2954874}</author>
    <author>tc={C4499273-60D5-479F-9FDB-FC0A49B44300}</author>
  </authors>
  <commentList>
    <comment ref="A10" authorId="0"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1"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tc={554B81CC-74C7-43E5-83FA-81470E9DE750}</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23" authorId="2"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<sst xmlns="http://schemas.openxmlformats.org/spreadsheetml/2006/main" count="6991" uniqueCount="2335">
  <si>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</si>
  <si>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</si>
  <si>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</si>
  <si>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</si>
  <si>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</si>
  <si>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</si>
  <si>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</si>
  <si>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</si>
  <si>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</si>
  <si>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</si>
  <si>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</si>
  <si>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</si>
  <si>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</si>
  <si>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</si>
  <si>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</si>
  <si>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</si>
  <si>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</si>
  <si>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</si>
  <si>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</si>
  <si>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</si>
  <si>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</si>
  <si>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</si>
  <si>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</si>
  <si>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</si>
  <si>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</si>
  <si>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</si>
  <si>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</si>
  <si>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</si>
  <si>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</si>
  <si>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</si>
  <si>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</si>
  <si>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</si>
  <si>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</si>
  <si>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</si>
  <si>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</si>
  <si>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</si>
  <si>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</si>
  <si>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</si>
  <si>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</si>
  <si>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</si>
  <si>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</si>
  <si>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</si>
  <si>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</si>
  <si>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</si>
  <si>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</si>
  <si>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</si>
  <si>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</si>
  <si>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</si>
  <si>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</si>
  <si>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</si>
  <si>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</si>
  <si>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</si>
  <si>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</si>
  <si>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</si>
  <si>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</si>
  <si>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</si>
  <si>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</si>
  <si>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</si>
  <si>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</si>
  <si>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</si>
  <si>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</si>
  <si>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</si>
  <si>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</si>
  <si>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</si>
  <si>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</si>
  <si>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</si>
  <si>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</si>
  <si>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</si>
  <si>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</si>
  <si>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</si>
  <si>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</si>
  <si>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</si>
  <si>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</si>
  <si>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</si>
  <si>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</si>
  <si>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</si>
  <si>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</si>
  <si>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</si>
  <si>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</si>
  <si>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</si>
  <si>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</si>
  <si>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</si>
  <si>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</si>
  <si>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</si>
  <si>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</si>
  <si>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</si>
  <si>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</si>
  <si>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</si>
  <si>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</si>
  <si>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</si>
  <si>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</si>
  <si>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</si>
  <si>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</si>
  <si>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</si>
  <si>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</si>
  <si>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</si>
  <si>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</si>
  <si>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</si>
  <si>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</si>
  <si>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</si>
  <si>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</si>
  <si>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</si>
  <si>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</si>
  <si>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</si>
  <si>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</si>
  <si>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</si>
  <si>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</si>
  <si>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</si>
  <si>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</si>
  <si>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</si>
  <si>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</si>
  <si>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</si>
  <si>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</si>
  <si>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</si>
  <si>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</si>
  <si>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</si>
  <si>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</si>
  <si>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</si>
  <si>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</si>
  <si>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</si>
  <si>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</si>
  <si>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</si>
  <si>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</si>
  <si>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</si>
  <si>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</si>
  <si>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</si>
  <si>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</si>
  <si>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</si>
  <si>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</si>
  <si>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</si>
  <si>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</si>
  <si>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</si>
  <si>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</si>
  <si>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</si>
  <si>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</si>
  <si>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</si>
  <si>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</si>
  <si>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</si>
  <si>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</si>
  <si>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</si>
  <si>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</si>
  <si>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</si>
  <si>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</si>
  <si>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</si>
  <si>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</si>
  <si>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</si>
  <si>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</si>
  <si>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</si>
  <si>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</si>
  <si>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</si>
  <si>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</si>
  <si>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</si>
  <si>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</si>
  <si>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</si>
  <si>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</si>
  <si>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</si>
  <si>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</si>
  <si>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</si>
  <si>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</si>
  <si>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</si>
  <si>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</si>
  <si>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</si>
  <si>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</si>
  <si>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</si>
  <si>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</si>
  <si>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</si>
  <si>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</si>
  <si>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</si>
  <si>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</si>
  <si>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</si>
  <si>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</si>
  <si>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</si>
  <si>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</si>
  <si>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</si>
  <si>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</si>
  <si>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</si>
  <si>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</si>
  <si>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</si>
  <si>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</si>
  <si>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</si>
  <si>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</si>
  <si>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</si>
  <si>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</si>
  <si>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</si>
  <si>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</si>
  <si>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</si>
  <si>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</si>
  <si>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</si>
  <si>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</si>
  <si>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</si>
  <si>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</si>
  <si>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</si>
  <si>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</si>
  <si>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</si>
  <si>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</si>
  <si>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</si>
  <si>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</si>
  <si>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</si>
  <si>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</si>
  <si>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</si>
  <si>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</si>
  <si>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</si>
  <si>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</si>
  <si>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</si>
  <si>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</si>
  <si>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</si>
  <si>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</si>
  <si>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</si>
  <si>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</si>
  <si>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</si>
  <si>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</si>
  <si>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</si>
  <si>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</si>
  <si>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</si>
  <si>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</si>
  <si>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</si>
  <si>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</si>
  <si>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</si>
  <si>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</si>
  <si>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</si>
  <si>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</si>
  <si>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</si>
  <si>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</si>
  <si>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</si>
  <si>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</si>
  <si>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</si>
  <si>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</si>
  <si>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</si>
  <si>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</si>
  <si>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</si>
  <si>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</si>
  <si>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</si>
  <si>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</si>
  <si>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</si>
  <si>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</si>
  <si>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</si>
  <si>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</si>
  <si>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</si>
  <si>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</si>
  <si>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</si>
  <si>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</si>
  <si>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</si>
  <si>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</si>
  <si>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</si>
  <si>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</si>
  <si>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</si>
  <si>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</si>
  <si>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</si>
  <si>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</si>
  <si>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</si>
  <si>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</si>
  <si>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</si>
  <si>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</si>
  <si>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</si>
  <si>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</si>
  <si>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</si>
  <si>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</si>
  <si>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</si>
  <si>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</si>
  <si>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</si>
  <si>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</si>
  <si>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</si>
  <si>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</si>
  <si>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</si>
  <si>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</si>
  <si>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</si>
  <si>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</si>
  <si>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</si>
  <si>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</si>
  <si>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</si>
  <si>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</si>
  <si>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</si>
  <si>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</si>
  <si>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</si>
  <si>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</si>
  <si>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</si>
  <si>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</si>
  <si>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</si>
  <si>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</si>
  <si>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</si>
  <si>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</si>
  <si>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</si>
  <si>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</si>
  <si>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</si>
  <si>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</si>
  <si>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</si>
  <si>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</si>
  <si>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</si>
  <si>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</si>
  <si>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</si>
  <si>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</si>
  <si>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</si>
  <si>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</si>
  <si>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</si>
  <si>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</si>
  <si>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</si>
  <si>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</si>
  <si>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</si>
  <si>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</si>
  <si>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</si>
  <si>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</si>
  <si>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</si>
  <si>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</si>
  <si>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</si>
  <si>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</si>
  <si>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</si>
  <si>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</si>
  <si>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</si>
  <si>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</si>
  <si>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</si>
  <si>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</si>
  <si>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</si>
  <si>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</si>
  <si>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</si>
  <si>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</si>
  <si>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</si>
  <si>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</si>
  <si>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</si>
  <si>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</si>
  <si>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</si>
  <si>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</si>
  <si>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</si>
  <si>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</si>
  <si>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</si>
  <si>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</si>
  <si>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</si>
  <si>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</si>
  <si>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</si>
  <si>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</si>
  <si>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</si>
  <si>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</si>
  <si>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</si>
  <si>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</si>
  <si>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</si>
  <si>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</si>
  <si>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</si>
  <si>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</si>
  <si>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</si>
  <si>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</si>
  <si>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</si>
  <si>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</si>
  <si>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</si>
  <si>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</si>
  <si>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</si>
  <si>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</si>
  <si>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</si>
  <si>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</si>
  <si>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</si>
  <si>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</si>
  <si>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</si>
  <si>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</si>
  <si>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</si>
  <si>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</si>
  <si>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</si>
  <si>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</si>
  <si>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</si>
  <si>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</si>
  <si>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</si>
  <si>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</si>
  <si>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</si>
  <si>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</si>
  <si>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</si>
  <si>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</si>
  <si>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</si>
  <si>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</si>
  <si>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</si>
  <si>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</si>
  <si>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</si>
  <si>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</si>
  <si>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</si>
  <si>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</si>
  <si>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</si>
  <si>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</si>
  <si>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</si>
  <si>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</si>
  <si>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</si>
  <si>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</si>
  <si>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</si>
  <si>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</si>
  <si>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</si>
  <si>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</si>
  <si>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</si>
  <si>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</si>
  <si>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</si>
  <si>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</si>
  <si>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</si>
  <si>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</si>
  <si>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</si>
  <si>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</si>
  <si>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</si>
  <si>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</si>
  <si>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</si>
  <si>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</si>
  <si>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</si>
  <si>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</si>
  <si>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</si>
  <si>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</si>
  <si>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</si>
  <si>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</si>
  <si>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</si>
  <si>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</si>
  <si>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</si>
  <si>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</si>
  <si>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</si>
  <si>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</si>
  <si>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</si>
  <si>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</si>
  <si>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</si>
  <si>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</si>
  <si>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</si>
  <si>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</si>
  <si>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</si>
  <si>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</si>
  <si>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</si>
  <si>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</si>
  <si>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</si>
  <si>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</si>
  <si>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</si>
  <si>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</si>
  <si>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</si>
  <si>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</si>
  <si>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</si>
  <si>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</si>
  <si>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</si>
  <si>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</si>
  <si>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</si>
  <si>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</si>
  <si>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</si>
  <si>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</si>
  <si>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</si>
  <si>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</si>
  <si>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</si>
  <si>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</si>
  <si>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</si>
  <si>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</si>
  <si>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</si>
  <si>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</si>
  <si>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</si>
  <si>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</si>
  <si>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</si>
  <si>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</si>
  <si>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</si>
  <si>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</si>
  <si>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</si>
  <si>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</si>
  <si>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</si>
  <si>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</si>
  <si>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</si>
  <si>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</si>
  <si>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</si>
  <si>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</si>
  <si>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</si>
  <si>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</si>
  <si>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</si>
  <si>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</si>
  <si>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</si>
  <si>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</si>
  <si>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</si>
  <si>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</si>
  <si>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</si>
  <si>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</si>
  <si>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</si>
  <si>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</si>
  <si>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</si>
  <si>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</si>
  <si>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</si>
  <si>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</si>
  <si>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</si>
  <si>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</si>
  <si>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</si>
  <si>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</si>
  <si>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</si>
  <si>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</si>
  <si>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</si>
  <si>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</si>
  <si>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</si>
  <si>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</si>
  <si>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</si>
  <si>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</si>
  <si>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</si>
  <si>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</si>
  <si>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</si>
  <si>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</si>
  <si>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</si>
  <si>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</si>
  <si>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</si>
  <si>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</si>
  <si>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</si>
  <si>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</si>
  <si>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</si>
  <si>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</si>
  <si>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</si>
  <si>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</si>
  <si>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</si>
  <si>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</si>
  <si>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</si>
  <si>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</si>
  <si>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</si>
  <si>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</si>
  <si>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</si>
  <si>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</si>
  <si>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</si>
  <si>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</si>
  <si>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</si>
  <si>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</si>
  <si>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</si>
  <si>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</si>
  <si>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</si>
  <si>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</si>
  <si>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</si>
  <si>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</si>
  <si>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</si>
  <si>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</si>
  <si>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</si>
  <si>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</si>
  <si>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</si>
  <si>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</si>
  <si>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</si>
  <si>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</si>
  <si>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</si>
  <si>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</si>
  <si>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</si>
  <si>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</si>
  <si>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</si>
  <si>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</si>
  <si>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</si>
  <si>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</si>
  <si>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</si>
  <si>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</si>
  <si>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</si>
  <si>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</si>
  <si>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</si>
  <si>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</si>
  <si>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</si>
  <si>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</si>
  <si>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</si>
  <si>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</si>
  <si>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</si>
  <si>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</si>
  <si>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</si>
  <si>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</si>
  <si>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</si>
  <si>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</si>
  <si>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</si>
  <si>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</si>
  <si>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</si>
  <si>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</si>
  <si>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</si>
  <si>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</si>
  <si>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</si>
  <si>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</si>
  <si>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</si>
  <si>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</si>
  <si>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</si>
  <si>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</si>
  <si>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</si>
  <si>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</si>
  <si>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</si>
  <si>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</si>
  <si>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</si>
  <si>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</si>
  <si>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</si>
  <si>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</si>
  <si>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</si>
  <si>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</si>
  <si>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</si>
  <si>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</si>
  <si>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</si>
  <si>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</si>
  <si>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</si>
  <si>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</si>
  <si>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</si>
  <si>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</si>
  <si>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</si>
  <si>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</si>
  <si>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</si>
  <si>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</si>
  <si>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</si>
  <si>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</si>
  <si>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</si>
  <si>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</si>
  <si>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</si>
  <si>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</si>
  <si>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</si>
  <si>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</si>
  <si>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</si>
  <si>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</si>
  <si>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</si>
  <si>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</si>
  <si>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</si>
  <si>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</si>
  <si>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</si>
  <si>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</si>
  <si>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</si>
  <si>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</si>
  <si>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</si>
  <si>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</si>
  <si>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</si>
  <si>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</si>
  <si>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</si>
  <si>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</si>
  <si>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</si>
  <si>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</si>
  <si>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</si>
  <si>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</si>
  <si>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</si>
  <si>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</si>
  <si>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</si>
  <si>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</si>
  <si>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</si>
  <si>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</si>
  <si>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</si>
  <si>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</si>
  <si>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</si>
  <si>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</si>
  <si>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</si>
  <si>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</si>
  <si>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</si>
  <si>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</si>
  <si>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</si>
  <si>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</si>
  <si>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</si>
  <si>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</si>
  <si>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</si>
  <si>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</si>
  <si>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</si>
  <si>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</si>
  <si>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</si>
  <si>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</si>
  <si>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</si>
  <si>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</si>
  <si>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</si>
  <si>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</si>
  <si>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</si>
  <si>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</si>
  <si>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</si>
  <si>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</si>
  <si>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</si>
  <si>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</si>
  <si>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</si>
  <si>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</si>
  <si>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</si>
  <si>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</si>
  <si>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</si>
  <si>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</si>
  <si>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</si>
  <si>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</si>
  <si>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</si>
  <si>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</si>
  <si>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</si>
  <si>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</si>
  <si>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</si>
  <si>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</si>
  <si>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</si>
  <si>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</si>
  <si>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</si>
  <si>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</si>
  <si>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</si>
  <si>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</si>
  <si>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</si>
  <si>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</si>
  <si>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</si>
  <si>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</si>
  <si>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</si>
  <si>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</si>
  <si>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</si>
  <si>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</si>
  <si>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</si>
  <si>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</si>
  <si>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</si>
  <si>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</si>
  <si>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</si>
  <si>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</si>
  <si>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</si>
  <si>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</si>
  <si>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</si>
  <si>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</si>
  <si>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</si>
  <si>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</si>
  <si>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</si>
  <si>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</si>
  <si>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</si>
  <si>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</si>
  <si>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</si>
  <si>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</si>
  <si>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</si>
  <si>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</si>
  <si>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</si>
  <si>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</si>
  <si>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</si>
  <si>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</si>
  <si>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</si>
  <si>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</si>
  <si>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</si>
  <si>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</si>
  <si>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</si>
  <si>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</si>
  <si>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</si>
  <si>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</si>
  <si>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</si>
  <si>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</si>
  <si>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</si>
  <si>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</si>
  <si>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</si>
  <si>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</si>
  <si>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</si>
  <si>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</si>
  <si>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</si>
  <si>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</si>
  <si>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</si>
  <si>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</si>
  <si>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</si>
  <si>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</si>
  <si>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</si>
  <si>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</si>
  <si>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</si>
  <si>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</si>
  <si>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</si>
  <si>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</si>
  <si>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</si>
  <si>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</si>
  <si>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</si>
  <si>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</si>
  <si>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</si>
  <si>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</si>
  <si>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</si>
  <si>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</si>
  <si>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</si>
  <si>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</si>
  <si>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</si>
  <si>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</si>
  <si>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</si>
  <si>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</si>
  <si>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</si>
  <si>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</si>
  <si>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</si>
  <si>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</si>
  <si>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</si>
  <si>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</si>
  <si>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</si>
  <si>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</si>
  <si>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</si>
  <si>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</si>
  <si>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</si>
  <si>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</si>
  <si>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</si>
  <si>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</si>
  <si>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</si>
  <si>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</si>
  <si>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</si>
  <si>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</si>
  <si>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</si>
  <si>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</si>
  <si>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</si>
  <si>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</si>
  <si>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</si>
  <si>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</si>
  <si>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</si>
  <si>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</si>
  <si>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</si>
  <si>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</si>
  <si>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</si>
  <si>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</si>
  <si>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</si>
  <si>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</si>
  <si>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</si>
  <si>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</si>
  <si>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</si>
  <si>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</si>
  <si>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</si>
  <si>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</si>
  <si>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</si>
  <si>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</si>
  <si>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</si>
  <si>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</si>
  <si>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</si>
  <si>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</si>
  <si>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</si>
  <si>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</si>
  <si>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</si>
  <si>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</si>
  <si>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</si>
  <si>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</si>
  <si>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</si>
  <si>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</si>
  <si>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</si>
  <si>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</si>
  <si>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</si>
  <si>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</si>
  <si>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</si>
  <si>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</si>
  <si>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</si>
  <si>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</si>
  <si>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</si>
  <si>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</si>
  <si>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</si>
  <si>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</si>
  <si>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</si>
  <si>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</si>
  <si>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</si>
  <si>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</si>
  <si>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</si>
  <si>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</si>
  <si>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</si>
  <si>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</si>
  <si>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</si>
  <si>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</si>
  <si>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</si>
  <si>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</si>
  <si>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</si>
  <si>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</si>
  <si>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</si>
  <si>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</si>
  <si>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</si>
  <si>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</si>
  <si>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</si>
  <si>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</si>
  <si>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</si>
  <si>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</si>
  <si>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</si>
  <si>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</si>
  <si>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</si>
  <si>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</si>
  <si>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</si>
  <si>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</si>
  <si>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</si>
  <si>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</si>
  <si>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</si>
  <si>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</si>
  <si>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</si>
  <si>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</si>
  <si>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</si>
  <si>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</si>
  <si>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</si>
  <si>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</si>
  <si>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</si>
  <si>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</si>
  <si>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</si>
  <si>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</si>
  <si>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</si>
  <si>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</si>
  <si>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</si>
  <si>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</si>
  <si>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</si>
  <si>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</si>
  <si>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</si>
  <si>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</si>
  <si>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</si>
  <si>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</si>
  <si>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</si>
  <si>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</si>
  <si>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</si>
  <si>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</si>
  <si>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</si>
  <si>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</si>
  <si>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</si>
  <si>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</si>
  <si>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</si>
  <si>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</si>
  <si>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</si>
  <si>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</si>
  <si>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</si>
  <si>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</si>
  <si>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</si>
  <si>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</si>
  <si>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</si>
  <si>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</si>
  <si>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</si>
  <si>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</si>
  <si>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</si>
  <si>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</si>
  <si>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</si>
  <si>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</si>
  <si>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</si>
  <si>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</si>
  <si>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</si>
  <si>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</si>
  <si>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</si>
  <si>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</si>
  <si>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</si>
  <si>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</si>
  <si>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</si>
  <si>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</si>
  <si>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</si>
  <si>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</si>
  <si>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</si>
  <si>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</si>
  <si>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</si>
  <si>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</si>
  <si>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</si>
  <si>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</si>
  <si>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</si>
  <si>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</si>
  <si>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</si>
  <si>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</si>
  <si>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</si>
  <si>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</si>
  <si>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</si>
  <si>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</si>
  <si>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</si>
  <si>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</si>
  <si>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</si>
  <si>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</si>
  <si>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</si>
  <si>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</si>
  <si>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</si>
  <si>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</si>
  <si>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</si>
  <si>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</si>
  <si>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</si>
  <si>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</si>
  <si>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</si>
  <si>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</si>
  <si>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</si>
  <si>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</si>
  <si>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</si>
  <si>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</si>
  <si>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</si>
  <si>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</si>
  <si>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</si>
  <si>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</si>
  <si>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</si>
  <si>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</si>
  <si>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</si>
  <si>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</si>
  <si>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</si>
  <si>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</si>
  <si>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</si>
  <si>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</si>
  <si>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</si>
  <si>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</si>
  <si>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</si>
  <si>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</si>
  <si>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</si>
  <si>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</si>
  <si>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</si>
  <si>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</si>
  <si>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</si>
  <si>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</si>
  <si>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</si>
  <si>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</si>
  <si>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</si>
  <si>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</si>
  <si>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</si>
  <si>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</si>
  <si>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</si>
  <si>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</si>
  <si>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</si>
  <si>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</si>
  <si>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</si>
  <si>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</si>
  <si>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</si>
  <si>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</si>
  <si>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</si>
  <si>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</si>
  <si>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</si>
  <si>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</si>
  <si>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</si>
  <si>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</si>
  <si>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</si>
  <si>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</si>
  <si>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</si>
  <si>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</si>
  <si>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</si>
  <si>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</si>
  <si>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</si>
  <si>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</si>
  <si>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</si>
  <si>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</si>
  <si>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</si>
  <si>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</si>
  <si>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</si>
  <si>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</si>
  <si>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</si>
  <si>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</si>
  <si>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</si>
  <si>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</si>
  <si>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</si>
  <si>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</si>
  <si>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</si>
  <si>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</si>
  <si>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</si>
  <si>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</si>
  <si>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</si>
  <si>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</si>
  <si>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</si>
  <si>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</si>
  <si>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</si>
  <si>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</si>
  <si>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</si>
  <si>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</si>
  <si>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</si>
  <si>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</si>
  <si>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</si>
  <si>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</si>
  <si>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</si>
  <si>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</si>
  <si>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</si>
  <si>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</si>
  <si>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</si>
  <si>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</si>
  <si>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</si>
  <si>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</si>
  <si>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</si>
  <si>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</si>
  <si>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</si>
  <si>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</si>
  <si>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</si>
  <si>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</si>
  <si>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</si>
  <si>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</si>
  <si>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</si>
  <si>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</si>
  <si>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</si>
  <si>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</si>
  <si>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</si>
  <si>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</si>
  <si>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</si>
  <si>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</si>
  <si>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</si>
  <si>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</si>
  <si>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</si>
  <si>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</si>
  <si>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</si>
  <si>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</si>
  <si>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</si>
  <si>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</si>
  <si>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</si>
  <si>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</si>
  <si>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</si>
  <si>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</si>
  <si>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</si>
  <si>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</si>
  <si>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</si>
  <si>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</si>
  <si>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</si>
  <si>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</si>
  <si>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</si>
  <si>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</si>
  <si>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</si>
  <si>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</si>
  <si>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</si>
  <si>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</si>
  <si>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</si>
  <si>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</si>
  <si>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</si>
  <si>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</si>
  <si>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</si>
  <si>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</si>
  <si>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</si>
  <si>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</si>
  <si>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</si>
  <si>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</si>
  <si>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</si>
  <si>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</si>
  <si>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</si>
  <si>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</si>
  <si>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</si>
  <si>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</si>
  <si>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</si>
  <si>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</si>
  <si>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</si>
  <si>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</si>
  <si>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</si>
  <si>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</si>
  <si>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</si>
  <si>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</si>
  <si>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</si>
  <si>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</si>
  <si>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</si>
  <si>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</si>
  <si>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</si>
  <si>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</si>
  <si>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</si>
  <si>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</si>
  <si>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</si>
  <si>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</si>
  <si>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</si>
  <si>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</si>
  <si>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</si>
  <si>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</si>
  <si>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</si>
  <si>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</si>
  <si>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</si>
  <si>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</si>
  <si>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</si>
  <si>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</si>
  <si>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</si>
  <si>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</si>
  <si>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</si>
  <si>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</si>
  <si>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</si>
  <si>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</si>
  <si>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</si>
  <si>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</si>
  <si>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</si>
  <si>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</si>
  <si>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</si>
  <si>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</si>
  <si>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</si>
  <si>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</si>
  <si>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</si>
  <si>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</si>
  <si>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</si>
  <si>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</si>
  <si>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</si>
  <si>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</si>
  <si>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</si>
  <si>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</si>
  <si>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</si>
  <si>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</si>
  <si>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</si>
  <si>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</si>
  <si>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</si>
  <si>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</si>
  <si>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</si>
  <si>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</si>
  <si>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</si>
  <si>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</si>
  <si>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</si>
  <si>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</si>
  <si>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</si>
  <si>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</si>
  <si>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</si>
  <si>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</si>
  <si>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</si>
  <si>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</si>
  <si>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</si>
  <si>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</si>
  <si>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</si>
  <si>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</si>
  <si>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</si>
  <si>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</si>
  <si>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</si>
  <si>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</si>
  <si>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</si>
  <si>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</si>
  <si>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</si>
  <si>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</si>
  <si>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</si>
  <si>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</si>
  <si>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</si>
  <si>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</si>
  <si>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</si>
  <si>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</si>
  <si>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</si>
  <si>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</si>
  <si>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</si>
  <si>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</si>
  <si>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</si>
  <si>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</si>
  <si>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</si>
  <si>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</si>
  <si>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</si>
  <si>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</si>
  <si>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</si>
  <si>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</si>
  <si>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</si>
  <si>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</si>
  <si>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</si>
  <si>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</si>
  <si>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</si>
  <si>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</si>
  <si>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</si>
  <si>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</si>
  <si>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</si>
  <si>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</si>
  <si>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</si>
  <si>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</si>
  <si>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</si>
  <si>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</si>
  <si>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</si>
  <si>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</si>
  <si>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</si>
  <si>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</si>
  <si>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</si>
  <si>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</si>
  <si>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</si>
  <si>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</si>
  <si>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</si>
  <si>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</si>
  <si>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</si>
  <si>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</si>
  <si>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</si>
  <si>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</si>
  <si>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</si>
  <si>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</si>
  <si>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</si>
  <si>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</si>
  <si>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</si>
  <si>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</si>
  <si>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</si>
  <si>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</si>
  <si>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</si>
  <si>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</si>
  <si>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</si>
  <si>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</si>
  <si>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</si>
  <si>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</si>
  <si>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</si>
  <si>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</si>
  <si>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</si>
  <si>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</si>
  <si>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</si>
  <si>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</si>
  <si>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</si>
  <si>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</si>
  <si>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</si>
  <si>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</si>
  <si>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</si>
  <si>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</si>
  <si>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</si>
  <si>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</si>
  <si>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</si>
  <si>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</si>
  <si>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</si>
  <si>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</si>
  <si>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</si>
  <si>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</si>
  <si>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</si>
  <si>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</si>
  <si>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</si>
  <si>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</si>
  <si>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</si>
  <si>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</si>
  <si>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</si>
  <si>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</si>
  <si>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</si>
  <si>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</si>
  <si>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</si>
  <si>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</si>
  <si>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</si>
  <si>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</si>
  <si>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</si>
  <si>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</si>
  <si>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</si>
  <si>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</si>
  <si>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</si>
  <si>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</si>
  <si>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</si>
  <si>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</si>
  <si>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</si>
  <si>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</si>
  <si>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</si>
  <si>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</si>
  <si>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</si>
  <si>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</si>
  <si>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</si>
  <si>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</si>
  <si>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</si>
  <si>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</si>
  <si>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</si>
  <si>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</si>
  <si>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</si>
  <si>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</si>
  <si>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</si>
  <si>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</si>
  <si>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</si>
  <si>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</si>
  <si>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</si>
  <si>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</si>
  <si>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</si>
  <si>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</si>
  <si>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</si>
  <si>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</si>
  <si>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</si>
  <si>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</si>
  <si>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</si>
  <si>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</si>
  <si>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</si>
  <si>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</si>
  <si>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</si>
  <si>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</si>
  <si>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</si>
  <si>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</si>
  <si>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</si>
  <si>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</si>
  <si>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</si>
  <si>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</si>
  <si>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</si>
  <si>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</si>
  <si>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</si>
  <si>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</si>
  <si>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</si>
  <si>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</si>
  <si>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</si>
  <si>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</si>
  <si>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</si>
  <si>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</si>
  <si>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</si>
  <si>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</si>
  <si>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</si>
  <si>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</si>
  <si>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</si>
  <si>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</si>
  <si>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</si>
  <si>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</si>
  <si>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</si>
  <si>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</si>
  <si>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</si>
  <si>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</si>
  <si>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</si>
  <si>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</si>
  <si>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</si>
  <si>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</si>
  <si>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</si>
  <si>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</si>
  <si>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</si>
  <si>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</si>
  <si>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</si>
  <si>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</si>
  <si>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</si>
  <si>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</si>
  <si>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</si>
  <si>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</si>
  <si>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</si>
  <si>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</si>
  <si>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</si>
  <si>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</si>
  <si>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</si>
  <si>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</si>
  <si>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</si>
  <si>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</si>
  <si>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</si>
  <si>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</si>
  <si>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</si>
  <si>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</si>
  <si>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</si>
  <si>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</si>
  <si>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</si>
  <si>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</si>
  <si>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</si>
  <si>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</si>
  <si>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</si>
  <si>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</si>
  <si>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</si>
  <si>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</si>
  <si>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</si>
  <si>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</si>
  <si>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</si>
  <si>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</si>
  <si>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</si>
  <si>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</si>
  <si>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</si>
  <si>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</si>
  <si>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</si>
  <si>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</si>
  <si>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</si>
  <si>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</si>
  <si>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</si>
  <si>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</si>
  <si>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</si>
  <si>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</si>
  <si>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</si>
  <si>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</si>
  <si>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</si>
  <si>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</si>
  <si>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</si>
  <si>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</si>
  <si>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</si>
  <si>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</si>
  <si>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</si>
  <si>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</si>
  <si>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</si>
  <si>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</si>
  <si>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</si>
  <si>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</si>
  <si>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</si>
  <si>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</si>
  <si>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</si>
  <si>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</si>
  <si>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</si>
  <si>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</si>
  <si>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</si>
  <si>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</si>
  <si>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</si>
  <si>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</si>
  <si>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</si>
  <si>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</si>
  <si>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</si>
  <si>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</si>
  <si>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</si>
  <si>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</si>
  <si>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</si>
  <si>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</si>
  <si>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</si>
  <si>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</si>
  <si>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</si>
  <si>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</si>
  <si>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</si>
  <si>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</si>
  <si>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</si>
  <si>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</si>
  <si>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</si>
  <si>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</si>
  <si>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</si>
  <si>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</si>
  <si>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</si>
  <si>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</si>
  <si>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</si>
  <si>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</si>
  <si>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</si>
  <si>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</si>
  <si>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</si>
  <si>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</si>
  <si>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</si>
  <si>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</si>
  <si>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</si>
  <si>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</si>
  <si>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</si>
  <si>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</si>
  <si>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</si>
  <si>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</si>
  <si>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</si>
  <si>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</si>
  <si>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</si>
  <si>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</si>
  <si>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</si>
  <si>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</si>
  <si>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</si>
  <si>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</si>
  <si>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</si>
  <si>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</si>
  <si>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</si>
  <si>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</si>
  <si>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</si>
  <si>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</si>
  <si>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</si>
  <si>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</si>
  <si>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</si>
  <si>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</si>
  <si>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</si>
  <si>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</si>
  <si>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</si>
  <si>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</si>
  <si>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</si>
  <si>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</si>
  <si>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</si>
  <si>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</si>
  <si>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</si>
  <si>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</si>
  <si>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</si>
  <si>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</si>
  <si>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</si>
  <si>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</si>
  <si>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</si>
  <si>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</si>
  <si>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</si>
  <si>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</si>
  <si>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</si>
  <si>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</si>
  <si>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</si>
  <si>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</si>
  <si>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</si>
  <si>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</si>
  <si>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</si>
  <si>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</si>
  <si>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</si>
  <si>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</si>
  <si>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</si>
  <si>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</si>
  <si>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</si>
  <si>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</si>
  <si>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</si>
  <si>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</si>
  <si>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</si>
  <si>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</si>
  <si>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</si>
  <si>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</si>
  <si>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</si>
  <si>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</si>
  <si>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</si>
  <si>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</si>
  <si>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</si>
  <si>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</si>
  <si>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</si>
  <si>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</si>
  <si>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</si>
  <si>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</si>
  <si>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</si>
  <si>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</si>
  <si>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</si>
  <si>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</si>
  <si>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</si>
  <si>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</si>
  <si>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</si>
  <si>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</si>
  <si>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</si>
  <si>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</si>
  <si>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</si>
  <si>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</si>
  <si>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</si>
  <si>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</si>
  <si>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</si>
  <si>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</si>
  <si>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</si>
  <si>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</si>
  <si>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</si>
  <si>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</si>
  <si>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</si>
  <si>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</si>
  <si>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</si>
  <si>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</si>
  <si>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</si>
  <si>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</si>
  <si>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</si>
  <si>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</si>
  <si>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</si>
  <si>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</si>
  <si>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</si>
  <si>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</si>
  <si>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</si>
  <si>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</si>
  <si>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</si>
  <si>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</si>
  <si>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</si>
  <si>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</si>
  <si>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</si>
  <si>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</si>
  <si>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</si>
  <si>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</si>
  <si>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</si>
  <si>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</si>
  <si>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</si>
  <si>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</si>
  <si>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</si>
  <si>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</si>
  <si>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</si>
  <si>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</si>
  <si>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</si>
  <si>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</si>
  <si>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</si>
  <si>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</si>
  <si>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</si>
  <si>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</si>
  <si>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</si>
  <si>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</si>
  <si>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</si>
  <si>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</si>
  <si>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</si>
  <si>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</si>
  <si>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</si>
  <si>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</si>
  <si>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</si>
  <si>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</si>
  <si>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</si>
  <si>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</si>
  <si>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</si>
  <si>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</si>
  <si>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</si>
  <si>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</si>
  <si>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</si>
  <si>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</si>
  <si>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</si>
  <si>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</si>
  <si>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</si>
  <si>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</si>
  <si>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</si>
  <si>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</si>
  <si>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</si>
  <si>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</si>
  <si>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</si>
  <si>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</si>
  <si>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</si>
  <si>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</si>
  <si>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</si>
  <si>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</si>
  <si>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</si>
  <si>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</si>
  <si>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</si>
  <si>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</si>
  <si>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</si>
  <si>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</si>
  <si>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</si>
  <si>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</si>
  <si>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</si>
  <si>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</si>
  <si>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</si>
  <si>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</si>
  <si>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</si>
  <si>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</si>
  <si>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</si>
  <si>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</si>
  <si>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</si>
  <si>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</si>
  <si>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</si>
  <si>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</si>
  <si>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</si>
  <si>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</si>
  <si>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</si>
  <si>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</si>
  <si>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</si>
  <si>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</si>
  <si>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</si>
  <si>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</si>
  <si>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</si>
  <si>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</si>
  <si>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</si>
  <si>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</si>
  <si>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</si>
  <si>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</si>
  <si>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</si>
  <si>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</si>
  <si>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</si>
  <si>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</si>
  <si>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</si>
  <si>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</si>
  <si>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</si>
  <si>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</si>
  <si>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</si>
  <si>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</si>
  <si>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</si>
  <si>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</si>
  <si>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</si>
  <si>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</si>
  <si>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</si>
  <si>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</si>
  <si>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</si>
  <si>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</si>
  <si>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</si>
  <si>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</si>
  <si>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</si>
  <si>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</si>
  <si>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</si>
  <si>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</si>
  <si>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</si>
  <si>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</si>
  <si>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</si>
  <si>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</si>
  <si>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</si>
  <si>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</si>
  <si>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</si>
  <si>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</si>
  <si>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</si>
  <si>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</si>
  <si>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</si>
  <si>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</si>
  <si>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</si>
  <si>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</si>
  <si>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</si>
  <si>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</si>
  <si>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</si>
  <si>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</si>
  <si>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</si>
  <si>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</si>
  <si>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</si>
  <si>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</si>
  <si>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</si>
  <si>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</si>
  <si>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</si>
  <si>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</si>
  <si>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</si>
  <si>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</si>
  <si>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</si>
  <si>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</si>
  <si>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</si>
  <si>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</si>
  <si>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</si>
  <si>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</si>
  <si>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</si>
  <si>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</si>
  <si>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</si>
  <si>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</si>
  <si>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</si>
  <si>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</si>
  <si>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</si>
  <si>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</si>
  <si>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</si>
  <si>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</si>
  <si>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</si>
  <si>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</si>
  <si>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</si>
  <si>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</si>
  <si>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</si>
  <si>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</si>
  <si>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</si>
  <si>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</si>
  <si>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</si>
  <si>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</si>
  <si>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</si>
  <si>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</si>
  <si>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</si>
  <si>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</si>
  <si>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</si>
  <si>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</si>
  <si>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</si>
  <si>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</si>
  <si>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</si>
  <si>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</si>
  <si>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</si>
  <si>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</si>
  <si>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</si>
  <si>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</si>
  <si>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</si>
  <si>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</si>
  <si>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</si>
  <si>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</si>
  <si>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</si>
  <si>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</si>
  <si>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</si>
  <si>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</si>
  <si>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</si>
  <si>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</si>
  <si>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</si>
  <si>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</si>
  <si>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</si>
  <si>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</si>
  <si>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</si>
  <si>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</si>
  <si>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</si>
  <si>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</si>
  <si>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</si>
  <si>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</si>
  <si>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</si>
  <si>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</si>
  <si>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</si>
  <si>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</si>
  <si>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</si>
  <si>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</si>
  <si>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</si>
  <si>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</si>
  <si>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</si>
  <si>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</si>
  <si>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</si>
  <si>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</si>
  <si>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</si>
  <si>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</si>
  <si>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</si>
  <si>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</si>
  <si>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</si>
  <si>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</si>
  <si>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</si>
  <si>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</si>
  <si>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</si>
  <si>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</si>
  <si>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</si>
  <si>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</si>
  <si>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</si>
  <si>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</si>
  <si>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</si>
  <si>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</si>
  <si>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</si>
  <si>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</si>
  <si>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</si>
  <si>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</si>
  <si>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</si>
  <si>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</si>
  <si>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</si>
  <si>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</si>
  <si>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</si>
  <si>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</si>
  <si>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</si>
  <si>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</si>
  <si>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</si>
  <si>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</si>
  <si>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</si>
  <si>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</si>
  <si>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</si>
  <si>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</si>
  <si>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</si>
  <si>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</si>
  <si>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</si>
  <si>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</si>
  <si>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</si>
  <si>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</si>
  <si>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</si>
  <si>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</si>
  <si>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</si>
  <si>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</si>
  <si>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</si>
  <si>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</si>
  <si>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</si>
  <si>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</si>
  <si>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</si>
  <si>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</si>
  <si>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</si>
  <si>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</si>
  <si>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</si>
  <si>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</si>
  <si>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</si>
  <si>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</si>
  <si>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</si>
  <si>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</si>
  <si>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</si>
  <si>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</si>
  <si>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</si>
  <si>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</si>
  <si>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</si>
  <si>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</si>
  <si>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</si>
  <si>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</si>
  <si>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</si>
  <si>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</si>
  <si>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</si>
  <si>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</si>
  <si>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</si>
  <si>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</si>
  <si>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</si>
  <si>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</si>
  <si>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</si>
  <si>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</si>
  <si>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</si>
  <si>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</si>
  <si>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</si>
  <si>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</si>
  <si>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</si>
  <si>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</si>
  <si>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</si>
  <si>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</si>
  <si>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</si>
  <si>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</si>
  <si>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</si>
  <si>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</si>
  <si>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</si>
  <si>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</si>
  <si>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</si>
  <si>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</si>
  <si>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</si>
  <si>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</si>
  <si>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</si>
  <si>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</si>
  <si>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</si>
  <si>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</si>
  <si>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</si>
  <si>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</si>
  <si>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</si>
  <si>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</si>
  <si>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</si>
  <si>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</si>
  <si>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</si>
  <si>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</si>
  <si>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</si>
  <si>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</si>
  <si>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</si>
  <si>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</si>
  <si>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</si>
  <si>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</si>
  <si>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</si>
  <si>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</si>
  <si>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</si>
  <si>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</si>
  <si>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</si>
  <si>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</si>
  <si>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</si>
  <si>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</si>
  <si>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</si>
  <si>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</si>
  <si>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</si>
  <si>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</si>
  <si>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</si>
  <si>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</si>
  <si>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</si>
  <si>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</si>
  <si>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</si>
  <si>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</si>
  <si>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</si>
  <si>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</si>
  <si>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</si>
  <si>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</si>
  <si>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</si>
  <si>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</si>
  <si>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</si>
  <si>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</si>
  <si>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</si>
  <si>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</si>
  <si>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</si>
  <si>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</si>
  <si>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</si>
  <si>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</si>
  <si>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</si>
  <si>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</si>
  <si>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</si>
  <si>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</si>
  <si>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</si>
  <si>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</si>
  <si>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</si>
  <si>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</si>
  <si>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</si>
  <si>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</si>
  <si>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</si>
  <si>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</si>
  <si>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</si>
  <si>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</si>
  <si>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</si>
  <si>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</si>
  <si>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</si>
  <si>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</si>
  <si>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</si>
  <si>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</si>
  <si>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</si>
  <si>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</si>
  <si>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</si>
  <si>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</si>
  <si>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</si>
  <si>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</si>
  <si>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</si>
  <si>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</si>
  <si>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</si>
  <si>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</si>
  <si>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</si>
  <si>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</si>
  <si>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</si>
  <si>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</si>
  <si>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</si>
  <si>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</si>
  <si>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</si>
  <si>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</si>
  <si>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</si>
  <si>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</si>
  <si>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</si>
  <si>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</si>
  <si>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</si>
  <si>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</si>
  <si>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</si>
  <si>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</si>
  <si>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</si>
  <si>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</si>
  <si>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</si>
  <si>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</si>
  <si>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</si>
  <si>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</si>
  <si>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</si>
  <si>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</si>
  <si>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</si>
  <si>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</si>
  <si>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</si>
  <si>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</si>
  <si>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</si>
  <si>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</si>
  <si>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</si>
  <si>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</si>
  <si>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</si>
  <si>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</si>
  <si>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</si>
  <si>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</si>
  <si>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</si>
  <si>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</si>
  <si>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</si>
  <si>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</si>
  <si>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</si>
  <si>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</si>
  <si>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</si>
  <si>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</si>
  <si>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</si>
  <si>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</si>
  <si>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</si>
  <si>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</si>
  <si>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</si>
  <si>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</si>
  <si>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</si>
  <si>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</si>
  <si>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</si>
  <si>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</si>
  <si>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</si>
  <si>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</si>
  <si>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</si>
  <si>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</si>
  <si>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</si>
  <si>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</si>
  <si>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</si>
  <si>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</si>
  <si>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</si>
  <si>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</si>
  <si>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</si>
  <si>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</si>
  <si>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</si>
  <si>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</si>
  <si>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</si>
  <si>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</si>
  <si>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</si>
  <si>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</si>
  <si>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</si>
  <si>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</si>
  <si>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</si>
  <si>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</si>
  <si>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</si>
  <si>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</si>
  <si>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</si>
  <si>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</si>
  <si>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</si>
  <si>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</si>
  <si>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</si>
  <si>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</si>
  <si>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</si>
  <si>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</si>
  <si>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</si>
  <si>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</si>
  <si>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</si>
  <si>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</si>
  <si>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</si>
  <si>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</si>
  <si>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</si>
  <si>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</si>
  <si>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</si>
  <si>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</si>
  <si>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</si>
  <si>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</si>
  <si>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</si>
  <si>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</si>
  <si>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</si>
  <si>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</si>
  <si>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</si>
  <si>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</si>
  <si>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</si>
  <si>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</si>
  <si>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</si>
  <si>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</si>
  <si>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</si>
  <si>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</si>
  <si>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</si>
  <si>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</si>
  <si>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</si>
  <si>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</si>
  <si>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</si>
  <si>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</si>
  <si>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</si>
  <si>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</si>
  <si>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</si>
  <si>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</si>
  <si>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</si>
  <si>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</si>
  <si>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</si>
  <si>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</si>
  <si>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</si>
  <si>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</si>
  <si>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</si>
  <si>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</si>
  <si>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</si>
  <si>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</si>
  <si>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</si>
  <si>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</si>
  <si>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</si>
  <si>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</si>
  <si>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</si>
  <si>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</si>
  <si>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</si>
  <si>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</si>
  <si>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</si>
  <si>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</si>
  <si>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</si>
  <si>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</si>
  <si>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</si>
  <si>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</si>
  <si>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</si>
  <si>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</si>
  <si>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</si>
  <si>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</si>
  <si>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</si>
  <si>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</si>
  <si>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</si>
  <si>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</si>
  <si>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</si>
  <si>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</si>
  <si>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</si>
  <si>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</si>
  <si>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</si>
  <si>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</si>
  <si>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</si>
  <si>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</si>
  <si>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</si>
  <si>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</si>
  <si>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</si>
  <si>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</si>
  <si>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</si>
  <si>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</si>
  <si>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</si>
  <si>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</si>
  <si>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</si>
  <si>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</si>
  <si>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</si>
  <si>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</si>
  <si>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</si>
  <si>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</si>
  <si>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</si>
  <si>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</si>
  <si>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</si>
  <si>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</si>
  <si>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</si>
  <si>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</si>
  <si>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</si>
  <si>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</si>
  <si>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</si>
  <si>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</si>
  <si>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</si>
  <si>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</si>
  <si>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</si>
  <si>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</si>
  <si>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</si>
  <si>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</si>
  <si>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</si>
  <si>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</si>
  <si>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</si>
  <si>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</si>
  <si>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</si>
  <si>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</si>
  <si>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</si>
  <si>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</si>
  <si>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</si>
  <si>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</si>
  <si>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</si>
  <si>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</si>
  <si>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</si>
  <si>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</si>
  <si>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</si>
  <si>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</si>
  <si>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</si>
  <si>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</si>
  <si>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</si>
  <si>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</si>
  <si>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</si>
  <si>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</si>
  <si>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</si>
  <si>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</si>
  <si>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</si>
  <si>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</si>
  <si>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</si>
  <si>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</si>
  <si>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</si>
  <si>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</si>
  <si>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</si>
  <si>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</si>
  <si>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</si>
  <si>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</si>
  <si>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</si>
  <si>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</si>
  <si>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</si>
  <si>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</si>
  <si>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</si>
  <si>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</si>
  <si>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</si>
  <si>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</si>
  <si>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</si>
  <si>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</si>
  <si>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</si>
  <si>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</si>
  <si>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</si>
  <si>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</si>
  <si>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</si>
  <si>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</si>
  <si>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</si>
  <si>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</si>
  <si>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</si>
  <si>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</si>
  <si>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</si>
  <si>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</si>
  <si>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</si>
  <si>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</si>
  <si>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</si>
  <si>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</si>
  <si>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</si>
  <si>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</si>
  <si>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</si>
  <si>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</si>
  <si>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</si>
  <si>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</si>
  <si>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</si>
  <si>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</si>
  <si>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</si>
  <si>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</si>
  <si>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</si>
  <si>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</si>
  <si>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</si>
  <si>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</si>
  <si>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</si>
  <si>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</si>
  <si>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</si>
  <si>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</si>
  <si>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</si>
  <si>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</si>
  <si>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</si>
  <si>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</si>
  <si>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</si>
  <si>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</si>
  <si>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</si>
  <si>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</si>
  <si>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</si>
  <si>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</si>
  <si>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</si>
  <si>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</si>
  <si>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</si>
  <si>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</si>
  <si>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</si>
  <si>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</si>
  <si>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</si>
  <si>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</si>
  <si>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</si>
  <si>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</si>
  <si>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</si>
  <si>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</si>
  <si>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</si>
  <si>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</si>
  <si>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</si>
  <si>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</si>
  <si>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</si>
  <si>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</si>
  <si>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</si>
  <si>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</si>
  <si>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</si>
  <si>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</si>
  <si>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</si>
  <si>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</si>
  <si>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</si>
  <si>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</si>
  <si>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</si>
  <si>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</si>
  <si>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</si>
  <si>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</si>
  <si>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</si>
  <si>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</si>
  <si>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</si>
  <si>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</si>
  <si>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</si>
  <si>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</si>
  <si>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</si>
  <si>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</si>
  <si>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</si>
  <si>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</si>
  <si>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</si>
  <si>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</si>
  <si>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</si>
  <si>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</si>
  <si>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</si>
  <si>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</si>
  <si>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</si>
  <si>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</si>
  <si>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</si>
  <si>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</si>
  <si>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</si>
  <si>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</si>
  <si>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</si>
  <si>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</si>
  <si>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</si>
  <si>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</si>
  <si>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</si>
  <si>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</si>
  <si>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</si>
  <si>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</si>
  <si>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</si>
  <si>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</si>
  <si>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</si>
  <si>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</si>
  <si>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</si>
  <si>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</si>
  <si>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</si>
  <si>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</si>
  <si>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</si>
  <si>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</si>
  <si>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</si>
  <si>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</si>
  <si>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</si>
  <si>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</si>
  <si>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</si>
  <si>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</si>
  <si>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</si>
  <si>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</si>
  <si>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</si>
  <si>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</si>
  <si>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</si>
  <si>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</si>
  <si>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</si>
  <si>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</si>
  <si>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</si>
  <si>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</si>
  <si>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</si>
  <si>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</si>
  <si>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</si>
  <si>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</si>
  <si>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</si>
  <si>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</si>
  <si>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</si>
  <si>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</si>
  <si>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</si>
  <si>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</si>
  <si>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</si>
  <si>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</si>
  <si>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</si>
  <si>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</si>
  <si>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</si>
  <si>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</si>
  <si>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</si>
  <si>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</si>
  <si>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</si>
  <si>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</si>
  <si>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</si>
  <si>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</si>
  <si>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</si>
  <si>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</si>
  <si>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</si>
  <si>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</si>
  <si>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</si>
  <si>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</si>
  <si>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</si>
  <si>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</si>
  <si>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</si>
  <si>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</si>
  <si>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</si>
  <si>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</si>
  <si>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</si>
  <si>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</si>
  <si>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</si>
  <si>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</si>
  <si>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</si>
  <si>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</si>
  <si>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</si>
  <si>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</si>
  <si>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</si>
  <si>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</si>
  <si>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</si>
  <si>
    <t>Surgery2FHIR</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</si>
  <si>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</si>
  <si>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</si>
  <si>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</si>
  <si>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</si>
  <si>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</si>
  <si>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</si>
  <si>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</si>
  <si>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</si>
  <si>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</si>
  <si>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</si>
  <si>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</si>
  <si>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</si>
  <si>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</si>
  <si>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</si>
  <si>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</si>
  <si>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</si>
  <si>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</si>
  <si>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</si>
  <si>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</si>
  <si>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</si>
  <si>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</si>
  <si>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</si>
  <si>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</si>
  <si>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http://hl7.eu/fhir/ig/idea4rc/StructureDefinition/Procedure-radiotheraphy-eu-pcsp</t>
  </si>
  <si>
    <t>to be analyzed: derive this from a combination of elements or use other cathegories (R5 extension)</t>
  </si>
  <si>
    <t>CLARIFY MAPPING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</si>
</sst>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connections" Target="connections.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6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9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C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6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6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8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C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C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1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4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4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9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B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B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1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1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3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7.vml"/><Relationship Id="rId1" Type="http://schemas.openxmlformats.org/officeDocument/2006/relationships/printerSettings" Target="../printerSettings/printerSettings22.bin"/><Relationship Id="rId4" Type="http://schemas.microsoft.com/office/2017/10/relationships/threadedComment" Target="../threadedComments/threadedComment3.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3.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pcsp"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2.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8" t="s">
        <v>1462</v>
      </c>
      <c r="B1" s="159"/>
      <c r="C1" s="159"/>
      <c r="D1" s="159"/>
      <c r="E1" s="159"/>
      <c r="F1" s="159"/>
      <c r="G1" s="159"/>
      <c r="H1" s="159"/>
      <c r="I1" s="159"/>
      <c r="J1" s="159"/>
      <c r="K1" s="159"/>
      <c r="L1" s="159"/>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0" t="s">
        <v>1496</v>
      </c>
      <c r="B10" s="161"/>
      <c r="C10" s="161"/>
      <c r="D10" s="161"/>
      <c r="E10" s="161"/>
      <c r="F10" s="161"/>
      <c r="G10" s="161"/>
      <c r="H10" s="161"/>
      <c r="I10" s="161"/>
      <c r="J10" s="161"/>
      <c r="K10" s="161"/>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2" t="s">
        <v>1538</v>
      </c>
      <c r="B18" s="161"/>
      <c r="C18" s="161"/>
      <c r="D18" s="161"/>
      <c r="E18" s="161"/>
      <c r="F18" s="161"/>
      <c r="G18" s="161"/>
      <c r="H18" s="161"/>
      <c r="I18" s="161"/>
      <c r="J18" s="161"/>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3" t="s">
        <v>23</v>
      </c>
      <c r="B1" s="163"/>
      <c r="C1" s="163"/>
      <c r="D1" s="163"/>
      <c r="E1" s="163"/>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4" t="s">
        <v>120</v>
      </c>
      <c r="E24" s="30" t="s">
        <v>41</v>
      </c>
      <c r="F24" s="30" t="s">
        <v>118</v>
      </c>
      <c r="G24" s="30" t="s">
        <v>48</v>
      </c>
      <c r="H24" s="31" t="s">
        <v>37</v>
      </c>
    </row>
    <row r="25" spans="1:9" ht="42">
      <c r="A25" s="33" t="s">
        <v>121</v>
      </c>
      <c r="B25" s="30" t="s">
        <v>39</v>
      </c>
      <c r="C25" s="164"/>
      <c r="E25" s="30" t="s">
        <v>41</v>
      </c>
      <c r="F25" s="30" t="s">
        <v>118</v>
      </c>
      <c r="G25" s="30" t="s">
        <v>48</v>
      </c>
      <c r="H25" s="31" t="s">
        <v>37</v>
      </c>
      <c r="I25" s="42"/>
    </row>
    <row r="26" spans="1:9" ht="42">
      <c r="A26" s="33" t="s">
        <v>122</v>
      </c>
      <c r="B26" s="30" t="s">
        <v>39</v>
      </c>
      <c r="C26" s="164"/>
      <c r="E26" s="30" t="s">
        <v>41</v>
      </c>
      <c r="F26" s="30" t="s">
        <v>118</v>
      </c>
      <c r="G26" s="30" t="s">
        <v>48</v>
      </c>
      <c r="H26" s="31" t="s">
        <v>37</v>
      </c>
    </row>
    <row r="27" spans="1:9" ht="42">
      <c r="A27" s="33" t="s">
        <v>123</v>
      </c>
      <c r="B27" s="30" t="s">
        <v>39</v>
      </c>
      <c r="C27" s="164"/>
      <c r="E27" s="30" t="s">
        <v>41</v>
      </c>
      <c r="F27" s="30" t="s">
        <v>118</v>
      </c>
      <c r="G27" s="30" t="s">
        <v>48</v>
      </c>
      <c r="H27" s="31" t="s">
        <v>37</v>
      </c>
    </row>
    <row r="28" spans="1:9" ht="42">
      <c r="A28" s="33" t="s">
        <v>124</v>
      </c>
      <c r="B28" s="30" t="s">
        <v>39</v>
      </c>
      <c r="C28" s="164"/>
      <c r="E28" s="30" t="s">
        <v>41</v>
      </c>
      <c r="F28" s="30" t="s">
        <v>118</v>
      </c>
      <c r="G28" s="30" t="s">
        <v>48</v>
      </c>
      <c r="H28" s="31" t="s">
        <v>37</v>
      </c>
    </row>
    <row r="29" spans="1:9" ht="42">
      <c r="A29" s="33" t="s">
        <v>125</v>
      </c>
      <c r="B29" s="30" t="s">
        <v>39</v>
      </c>
      <c r="C29" s="164"/>
      <c r="E29" s="30" t="s">
        <v>41</v>
      </c>
      <c r="F29" s="30" t="s">
        <v>118</v>
      </c>
      <c r="G29" s="30" t="s">
        <v>48</v>
      </c>
      <c r="H29" s="31" t="s">
        <v>37</v>
      </c>
    </row>
    <row r="30" spans="1:9" ht="42">
      <c r="A30" s="33" t="s">
        <v>126</v>
      </c>
      <c r="B30" s="30" t="s">
        <v>39</v>
      </c>
      <c r="C30" s="164"/>
      <c r="E30" s="30" t="s">
        <v>41</v>
      </c>
      <c r="F30" s="30" t="s">
        <v>118</v>
      </c>
      <c r="G30" s="30" t="s">
        <v>48</v>
      </c>
      <c r="H30" s="31" t="s">
        <v>37</v>
      </c>
    </row>
    <row r="31" spans="1:9" ht="42">
      <c r="A31" s="33" t="s">
        <v>127</v>
      </c>
      <c r="B31" s="30" t="s">
        <v>39</v>
      </c>
      <c r="C31" s="164"/>
      <c r="E31" s="30" t="s">
        <v>41</v>
      </c>
      <c r="F31" s="30" t="s">
        <v>118</v>
      </c>
      <c r="G31" s="30" t="s">
        <v>48</v>
      </c>
      <c r="H31" s="31" t="s">
        <v>37</v>
      </c>
    </row>
    <row r="32" spans="1:9" ht="42">
      <c r="A32" s="33" t="s">
        <v>128</v>
      </c>
      <c r="B32" s="30" t="s">
        <v>39</v>
      </c>
      <c r="C32" s="164"/>
      <c r="E32" s="30" t="s">
        <v>41</v>
      </c>
      <c r="F32" s="30" t="s">
        <v>118</v>
      </c>
      <c r="G32" s="30" t="s">
        <v>48</v>
      </c>
      <c r="H32" s="31" t="s">
        <v>37</v>
      </c>
    </row>
    <row r="33" spans="1:9" ht="42">
      <c r="A33" s="33" t="s">
        <v>129</v>
      </c>
      <c r="B33" s="30" t="s">
        <v>39</v>
      </c>
      <c r="C33" s="164"/>
      <c r="E33" s="30" t="s">
        <v>41</v>
      </c>
      <c r="F33" s="30" t="s">
        <v>118</v>
      </c>
      <c r="G33" s="30" t="s">
        <v>48</v>
      </c>
      <c r="H33" s="31" t="s">
        <v>37</v>
      </c>
    </row>
    <row r="34" spans="1:9" ht="42">
      <c r="A34" s="33" t="s">
        <v>130</v>
      </c>
      <c r="B34" s="30" t="s">
        <v>39</v>
      </c>
      <c r="C34" s="164"/>
      <c r="E34" s="30" t="s">
        <v>41</v>
      </c>
      <c r="F34" s="30" t="s">
        <v>118</v>
      </c>
      <c r="G34" s="30" t="s">
        <v>48</v>
      </c>
      <c r="H34" s="31" t="s">
        <v>37</v>
      </c>
    </row>
    <row r="35" spans="1:9" ht="42">
      <c r="A35" s="33" t="s">
        <v>131</v>
      </c>
      <c r="B35" s="30" t="s">
        <v>39</v>
      </c>
      <c r="C35" s="164"/>
      <c r="E35" s="30" t="s">
        <v>41</v>
      </c>
      <c r="F35" s="30" t="s">
        <v>118</v>
      </c>
      <c r="G35" s="30" t="s">
        <v>48</v>
      </c>
      <c r="H35" s="31" t="s">
        <v>37</v>
      </c>
    </row>
    <row r="36" spans="1:9" ht="42">
      <c r="A36" s="33" t="s">
        <v>132</v>
      </c>
      <c r="B36" s="30" t="s">
        <v>39</v>
      </c>
      <c r="C36" s="164"/>
      <c r="E36" s="30" t="s">
        <v>41</v>
      </c>
      <c r="F36" s="30" t="s">
        <v>118</v>
      </c>
      <c r="G36" s="30" t="s">
        <v>48</v>
      </c>
      <c r="H36" s="31" t="s">
        <v>37</v>
      </c>
    </row>
    <row r="37" spans="1:9" ht="42">
      <c r="A37" s="33" t="s">
        <v>133</v>
      </c>
      <c r="B37" s="30" t="s">
        <v>39</v>
      </c>
      <c r="C37" s="164"/>
      <c r="E37" s="30" t="s">
        <v>41</v>
      </c>
      <c r="F37" s="30" t="s">
        <v>118</v>
      </c>
      <c r="G37" s="30" t="s">
        <v>48</v>
      </c>
      <c r="H37" s="31" t="s">
        <v>37</v>
      </c>
    </row>
    <row r="38" spans="1:9" ht="42">
      <c r="A38" s="33" t="s">
        <v>134</v>
      </c>
      <c r="B38" s="30" t="s">
        <v>39</v>
      </c>
      <c r="C38" s="164"/>
      <c r="E38" s="30" t="s">
        <v>41</v>
      </c>
      <c r="F38" s="30" t="s">
        <v>118</v>
      </c>
      <c r="G38" s="30" t="s">
        <v>48</v>
      </c>
      <c r="H38" s="31" t="s">
        <v>37</v>
      </c>
    </row>
    <row r="39" spans="1:9" ht="42">
      <c r="A39" s="33" t="s">
        <v>135</v>
      </c>
      <c r="B39" s="30" t="s">
        <v>39</v>
      </c>
      <c r="C39" s="164"/>
      <c r="E39" s="30" t="s">
        <v>41</v>
      </c>
      <c r="F39" s="30" t="s">
        <v>118</v>
      </c>
      <c r="G39" s="30" t="s">
        <v>48</v>
      </c>
      <c r="H39" s="31" t="s">
        <v>37</v>
      </c>
    </row>
    <row r="40" spans="1:9" ht="42">
      <c r="A40" s="33" t="s">
        <v>136</v>
      </c>
      <c r="B40" s="30" t="s">
        <v>39</v>
      </c>
      <c r="C40" s="164"/>
      <c r="E40" s="30" t="s">
        <v>41</v>
      </c>
      <c r="F40" s="30" t="s">
        <v>118</v>
      </c>
      <c r="G40" s="30" t="s">
        <v>48</v>
      </c>
      <c r="H40" s="31" t="s">
        <v>37</v>
      </c>
    </row>
    <row r="41" spans="1:9" ht="42">
      <c r="A41" s="33" t="s">
        <v>137</v>
      </c>
      <c r="B41" s="30" t="s">
        <v>39</v>
      </c>
      <c r="C41" s="164"/>
      <c r="E41" s="30" t="s">
        <v>41</v>
      </c>
      <c r="F41" s="30" t="s">
        <v>118</v>
      </c>
      <c r="G41" s="30" t="s">
        <v>48</v>
      </c>
      <c r="H41" s="31" t="s">
        <v>37</v>
      </c>
    </row>
    <row r="42" spans="1:9" ht="42">
      <c r="A42" s="33" t="s">
        <v>138</v>
      </c>
      <c r="B42" s="30" t="s">
        <v>39</v>
      </c>
      <c r="C42" s="164"/>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6" zoomScale="115" zoomScaleNormal="115" workbookViewId="0">
      <selection activeCell="A12" sqref="A12"/>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1600</v>
      </c>
      <c r="D29" s="12" t="s">
        <v>1601</v>
      </c>
      <c r="E29" s="11">
        <v>0</v>
      </c>
      <c r="F29" s="11">
        <v>1</v>
      </c>
      <c r="G29" s="114" t="s">
        <v>1786</v>
      </c>
      <c r="H29" s="12" t="s">
        <v>1782</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1609</v>
      </c>
      <c r="E9" s="27" t="str">
        <f>CONCATENATE("* -&gt; ##34#",C9,"##34#")</f>
        <v>* -&gt; ##34#TBD##34#</v>
      </c>
      <c r="H9" s="7"/>
      <c r="I9" s="7"/>
      <c r="J9" s="7"/>
      <c r="K9" s="7"/>
      <c r="L9" s="7"/>
      <c r="M9" s="7"/>
      <c r="N9" s="7"/>
      <c r="O9" s="7"/>
    </row>
    <row r="10" spans="1:15">
      <c r="A10" s="11"/>
      <c r="B10" s="11" t="str">
        <f>CancerEpisode!B8</f>
        <v>patient</v>
      </c>
      <c r="C10" s="11" t="s">
        <v>1609</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1609</v>
      </c>
      <c r="E11" s="12" t="str">
        <f t="shared" si="0"/>
        <v>* dateOfDiagnosis -&gt; ##34#TBD##34#</v>
      </c>
      <c r="H11" s="7"/>
      <c r="I11" s="7"/>
      <c r="J11" s="7"/>
      <c r="K11" s="7"/>
      <c r="L11" s="7"/>
      <c r="M11" s="7"/>
      <c r="N11" s="7"/>
      <c r="O11" s="7"/>
    </row>
    <row r="12" spans="1:15">
      <c r="A12" s="11"/>
      <c r="B12" s="11" t="str">
        <f>CancerEpisode!B10</f>
        <v>biopsyDoneBy</v>
      </c>
      <c r="C12" s="11" t="s">
        <v>1609</v>
      </c>
      <c r="E12" s="12" t="str">
        <f t="shared" si="0"/>
        <v>* biopsyDoneBy -&gt; ##34#TBD##34#</v>
      </c>
      <c r="H12" s="7"/>
      <c r="I12" s="7"/>
      <c r="J12" s="7"/>
      <c r="K12" s="7"/>
      <c r="L12" s="7"/>
      <c r="M12" s="7"/>
      <c r="N12" s="7"/>
      <c r="O12" s="7"/>
    </row>
    <row r="13" spans="1:15">
      <c r="A13" s="11"/>
      <c r="B13" s="11" t="str">
        <f>CancerEpisode!B11</f>
        <v>ageAtDiagnosis</v>
      </c>
      <c r="C13" s="11" t="s">
        <v>1609</v>
      </c>
      <c r="E13" s="12" t="str">
        <f t="shared" si="0"/>
        <v>* ageAtDiagnosis -&gt; ##34#TBD##34#</v>
      </c>
      <c r="H13" s="7"/>
      <c r="I13" s="7"/>
      <c r="J13" s="7"/>
      <c r="K13" s="7"/>
      <c r="L13" s="7"/>
      <c r="M13" s="7"/>
      <c r="N13" s="7"/>
      <c r="O13" s="7"/>
    </row>
    <row r="14" spans="1:15">
      <c r="A14" s="11"/>
      <c r="B14" s="11" t="str">
        <f>CancerEpisode!B12</f>
        <v>grading</v>
      </c>
      <c r="C14" s="11" t="s">
        <v>1609</v>
      </c>
      <c r="E14" s="12" t="str">
        <f t="shared" si="0"/>
        <v>* grading -&gt; ##34#TBD##34#</v>
      </c>
      <c r="H14" s="7"/>
      <c r="I14" s="7"/>
      <c r="J14" s="7"/>
      <c r="K14" s="7"/>
      <c r="L14" s="7"/>
      <c r="M14" s="7"/>
      <c r="N14" s="7"/>
      <c r="O14" s="7"/>
    </row>
    <row r="15" spans="1:15">
      <c r="A15" s="11"/>
      <c r="B15" s="11" t="str">
        <f>CancerEpisode!B13</f>
        <v>histologyGroup</v>
      </c>
      <c r="C15" s="11" t="s">
        <v>1609</v>
      </c>
      <c r="E15" s="12" t="str">
        <f t="shared" si="0"/>
        <v>* histologyGroup -&gt; ##34#TBD##34#</v>
      </c>
      <c r="H15" s="7"/>
      <c r="I15" s="7"/>
      <c r="J15" s="7"/>
      <c r="K15" s="7"/>
      <c r="L15" s="7"/>
      <c r="M15" s="7"/>
      <c r="N15" s="7"/>
      <c r="O15" s="7"/>
    </row>
    <row r="16" spans="1:15">
      <c r="A16" s="11"/>
      <c r="B16" s="11" t="str">
        <f>CancerEpisode!B15</f>
        <v>histologySubGroup.histologySquamous</v>
      </c>
      <c r="C16" s="11" t="s">
        <v>1609</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1609</v>
      </c>
      <c r="E17" s="12" t="str">
        <f t="shared" si="0"/>
        <v>* histologySubGroup.histologyAdenocarcinoma -&gt; ##34#TBD##34#</v>
      </c>
    </row>
    <row r="18" spans="1:5">
      <c r="A18" s="11"/>
      <c r="B18" s="11" t="str">
        <f>CancerEpisode!B17</f>
        <v>histologySubGroup.histologyNeuroendocrine</v>
      </c>
      <c r="C18" s="11" t="s">
        <v>1609</v>
      </c>
      <c r="E18" s="12" t="str">
        <f t="shared" si="0"/>
        <v>* histologySubGroup.histologyNeuroendocrine -&gt; ##34#TBD##34#</v>
      </c>
    </row>
    <row r="19" spans="1:5">
      <c r="A19" s="11"/>
      <c r="B19" s="11" t="str">
        <f>CancerEpisode!B18</f>
        <v>histologySubGroup.histologyOdontogenicCarcinoma</v>
      </c>
      <c r="C19" s="11" t="s">
        <v>1609</v>
      </c>
      <c r="E19" s="12" t="str">
        <f t="shared" si="0"/>
        <v>* histologySubGroup.histologyOdontogenicCarcinoma -&gt; ##34#TBD##34#</v>
      </c>
    </row>
    <row r="20" spans="1:5">
      <c r="A20" s="11"/>
      <c r="B20" s="11" t="str">
        <f>CancerEpisode!B19</f>
        <v>histologySubGroup.histologySNUC</v>
      </c>
      <c r="C20" s="11" t="s">
        <v>1609</v>
      </c>
      <c r="E20" s="12" t="str">
        <f t="shared" si="0"/>
        <v>* histologySubGroup.histologySNUC -&gt; ##34#TBD##34#</v>
      </c>
    </row>
    <row r="21" spans="1:5">
      <c r="B21" s="11" t="str">
        <f>CancerEpisode!B20</f>
        <v>histologySubGroup.nasalCavityAndParanasalSinusesSubsite</v>
      </c>
      <c r="C21" s="11" t="s">
        <v>1609</v>
      </c>
      <c r="E21" s="12" t="str">
        <f t="shared" si="0"/>
        <v>* histologySubGroup.nasalCavityAndParanasalSinusesSubsite -&gt; ##34#TBD##34#</v>
      </c>
    </row>
    <row r="22" spans="1:5">
      <c r="B22" s="11" t="str">
        <f>CancerEpisode!B21</f>
        <v>histologySubGroup.nasopharynxSubsite</v>
      </c>
      <c r="C22" s="11" t="s">
        <v>1609</v>
      </c>
      <c r="E22" s="12" t="str">
        <f t="shared" si="0"/>
        <v>* histologySubGroup.nasopharynxSubsite -&gt; ##34#TBD##34#</v>
      </c>
    </row>
    <row r="23" spans="1:5">
      <c r="B23" s="11" t="str">
        <f>CancerEpisode!B22</f>
        <v>histologySubGroup.hypopharynxSubsite</v>
      </c>
      <c r="C23" s="11" t="s">
        <v>1609</v>
      </c>
      <c r="E23" s="12" t="str">
        <f t="shared" si="0"/>
        <v>* histologySubGroup.hypopharynxSubsite -&gt; ##34#TBD##34#</v>
      </c>
    </row>
    <row r="24" spans="1:5">
      <c r="B24" s="11" t="str">
        <f>CancerEpisode!B23</f>
        <v>histologySubGroup.oropharynxSubsite</v>
      </c>
      <c r="C24" s="11" t="s">
        <v>1609</v>
      </c>
      <c r="E24" s="12" t="str">
        <f t="shared" si="0"/>
        <v>* histologySubGroup.oropharynxSubsite -&gt; ##34#TBD##34#</v>
      </c>
    </row>
    <row r="25" spans="1:5">
      <c r="B25" s="11" t="str">
        <f>CancerEpisode!B24</f>
        <v>histologySubGroup.larynxSubsite</v>
      </c>
      <c r="C25" s="11" t="s">
        <v>1609</v>
      </c>
      <c r="E25" s="12" t="str">
        <f t="shared" si="0"/>
        <v>* histologySubGroup.larynxSubsite -&gt; ##34#TBD##34#</v>
      </c>
    </row>
    <row r="26" spans="1:5">
      <c r="B26" s="11" t="str">
        <f>CancerEpisode!B25</f>
        <v>histologySubGroup.oralCavitySubsite</v>
      </c>
      <c r="C26" s="11" t="s">
        <v>1609</v>
      </c>
      <c r="E26" s="12" t="str">
        <f t="shared" si="0"/>
        <v>* histologySubGroup.oralCavitySubsite -&gt; ##34#TBD##34#</v>
      </c>
    </row>
    <row r="27" spans="1:5">
      <c r="B27" s="11" t="str">
        <f>CancerEpisode!B26</f>
        <v>histologySubGroup.lipSubsite</v>
      </c>
      <c r="C27" s="11" t="s">
        <v>1609</v>
      </c>
      <c r="E27" s="12" t="str">
        <f t="shared" si="0"/>
        <v>* histologySubGroup.lipSubsite -&gt; ##34#TBD##34#</v>
      </c>
    </row>
    <row r="28" spans="1:5">
      <c r="B28" s="11" t="str">
        <f>CancerEpisode!B27</f>
        <v>plasmaticEbvDnaAtBaseline</v>
      </c>
      <c r="C28" s="11" t="s">
        <v>1609</v>
      </c>
      <c r="E28" s="12" t="str">
        <f t="shared" si="0"/>
        <v>* plasmaticEbvDnaAtBaseline -&gt; ##34#TBD##34#</v>
      </c>
    </row>
    <row r="29" spans="1:5">
      <c r="B29" s="11" t="str">
        <f>CancerEpisode!B28</f>
        <v>hpvStatus</v>
      </c>
      <c r="C29" s="11" t="s">
        <v>1609</v>
      </c>
      <c r="E29" s="12" t="str">
        <f t="shared" si="0"/>
        <v>* hpvStatus -&gt; ##34#TBD##34#</v>
      </c>
    </row>
    <row r="30" spans="1:5">
      <c r="B30" s="11" t="str">
        <f>CancerEpisode!B29</f>
        <v>crpCReactiveProteinTested</v>
      </c>
      <c r="C30" s="11" t="s">
        <v>1609</v>
      </c>
      <c r="E30" s="12" t="str">
        <f t="shared" si="0"/>
        <v>* crpCReactiveProteinTested -&gt; ##34#TBD##34#</v>
      </c>
    </row>
    <row r="31" spans="1:5">
      <c r="B31" s="11">
        <f>CancerEpisode!B30</f>
        <v>0</v>
      </c>
      <c r="C31" s="11" t="s">
        <v>1609</v>
      </c>
      <c r="E31" s="12" t="str">
        <f t="shared" si="0"/>
        <v>*  -&gt; ##34###34#</v>
      </c>
    </row>
    <row r="32" spans="1:5">
      <c r="B32" s="11">
        <f>CancerEpisode!B31</f>
        <v>0</v>
      </c>
      <c r="C32" s="11" t="s">
        <v>1609</v>
      </c>
      <c r="E32" s="12" t="str">
        <f t="shared" si="0"/>
        <v>*  -&gt; ##34###34#</v>
      </c>
    </row>
    <row r="33" spans="2:5">
      <c r="B33" s="11">
        <f>CancerEpisode!B32</f>
        <v>0</v>
      </c>
      <c r="C33" s="11" t="s">
        <v>1609</v>
      </c>
      <c r="E33" s="12" t="str">
        <f t="shared" si="0"/>
        <v>*  -&gt; ##34###34#</v>
      </c>
    </row>
    <row r="34" spans="2:5">
      <c r="B34" s="11">
        <f>CancerEpisode!B33</f>
        <v>0</v>
      </c>
      <c r="C34" s="11" t="s">
        <v>1609</v>
      </c>
      <c r="E34" s="12" t="str">
        <f t="shared" si="0"/>
        <v>*  -&gt; ##34###34#</v>
      </c>
    </row>
    <row r="35" spans="2:5">
      <c r="B35" s="11">
        <f>CancerEpisode!B34</f>
        <v>0</v>
      </c>
      <c r="C35" s="11" t="s">
        <v>1609</v>
      </c>
      <c r="E35" s="12" t="str">
        <f t="shared" si="0"/>
        <v>*  -&gt; ##34###34#</v>
      </c>
    </row>
    <row r="36" spans="2:5">
      <c r="B36" s="11">
        <f>CancerEpisode!B35</f>
        <v>0</v>
      </c>
      <c r="C36" s="11" t="s">
        <v>1609</v>
      </c>
      <c r="E36" s="12" t="str">
        <f t="shared" si="0"/>
        <v>*  -&gt; ##34###34#</v>
      </c>
    </row>
    <row r="37" spans="2:5">
      <c r="B37" s="11">
        <f>CancerEpisode!B36</f>
        <v>0</v>
      </c>
      <c r="C37" s="11" t="s">
        <v>1609</v>
      </c>
      <c r="E37" s="12" t="str">
        <f t="shared" si="0"/>
        <v>*  -&gt; ##34###34#</v>
      </c>
    </row>
    <row r="38" spans="2:5">
      <c r="B38" s="11">
        <f>CancerEpisode!B37</f>
        <v>0</v>
      </c>
      <c r="C38" s="11" t="s">
        <v>1609</v>
      </c>
      <c r="E38" s="12" t="str">
        <f t="shared" si="0"/>
        <v>*  -&gt; ##34###34#</v>
      </c>
    </row>
    <row r="39" spans="2:5">
      <c r="B39" s="11">
        <f>CancerEpisode!B38</f>
        <v>0</v>
      </c>
      <c r="C39" s="11" t="s">
        <v>1609</v>
      </c>
      <c r="E39" s="12" t="str">
        <f t="shared" si="0"/>
        <v>*  -&gt; ##34###34#</v>
      </c>
    </row>
    <row r="40" spans="2:5">
      <c r="B40" s="11">
        <f>CancerEpisode!B39</f>
        <v>0</v>
      </c>
      <c r="C40" s="11" t="s">
        <v>1609</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5" t="str">
        <f>E3</f>
        <v>http://hl7.eu/fhir/ig/idea4rc/StructureDefinition/CancerEpisode</v>
      </c>
      <c r="F6" s="166"/>
      <c r="G6" s="166"/>
    </row>
    <row r="7" spans="1:19">
      <c r="B7" s="62" t="s">
        <v>15</v>
      </c>
      <c r="C7" s="119"/>
      <c r="D7" s="62" t="s">
        <v>1794</v>
      </c>
      <c r="E7" s="165" t="s">
        <v>1804</v>
      </c>
      <c r="F7" s="166"/>
      <c r="G7" s="166"/>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26" t="s">
        <v>1902</v>
      </c>
      <c r="E36" s="12"/>
      <c r="F36" s="64" t="s">
        <v>1407</v>
      </c>
      <c r="G36" s="141" t="s">
        <v>1905</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5" t="str">
        <f>E3</f>
        <v>http://hl7.eu/fhir/ig/idea4rc/StructureDefinition/CancerEpisode</v>
      </c>
      <c r="F6" s="166"/>
      <c r="G6" s="166"/>
    </row>
    <row r="7" spans="1:19">
      <c r="B7" s="62" t="s">
        <v>15</v>
      </c>
      <c r="C7" s="119"/>
      <c r="D7" s="62" t="s">
        <v>1794</v>
      </c>
      <c r="E7" s="165" t="s">
        <v>1894</v>
      </c>
      <c r="F7" s="166"/>
      <c r="G7" s="166"/>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1" zoomScale="145" zoomScaleNormal="145" workbookViewId="0">
      <selection activeCell="A21" sqref="A21"/>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5" t="s">
        <v>1897</v>
      </c>
      <c r="F4" s="166"/>
      <c r="G4" s="166"/>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1897</v>
      </c>
      <c r="F7" s="166"/>
      <c r="G7" s="166"/>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1878</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1884</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1886</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5" t="str">
        <f>E3</f>
        <v>http://hl7.eu/fhir/ig/idea4rc/StructureDefinition/Subject</v>
      </c>
      <c r="F6" s="166"/>
      <c r="G6" s="166"/>
    </row>
    <row r="7" spans="1:19">
      <c r="B7" s="62" t="s">
        <v>15</v>
      </c>
      <c r="C7" s="130"/>
      <c r="D7" s="62" t="s">
        <v>1794</v>
      </c>
      <c r="E7" s="165" t="s">
        <v>1890</v>
      </c>
      <c r="F7" s="166"/>
      <c r="G7" s="166"/>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abSelected="1"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2019</v>
      </c>
      <c r="C2" t="s">
        <v>2020</v>
      </c>
      <c r="D2" t="s">
        <v>2021</v>
      </c>
      <c r="E2" t="s">
        <v>1759</v>
      </c>
      <c r="F2" t="s">
        <v>1789</v>
      </c>
      <c r="H2">
        <v>1</v>
      </c>
      <c r="I2">
        <v>1</v>
      </c>
    </row>
    <row r="3" spans="1:9">
      <c r="A3">
        <v>1</v>
      </c>
      <c r="B3" t="s">
        <v>2022</v>
      </c>
      <c r="C3" t="s">
        <v>2023</v>
      </c>
      <c r="D3" t="s">
        <v>2024</v>
      </c>
      <c r="E3" t="s">
        <v>1754</v>
      </c>
      <c r="F3" t="s">
        <v>2025</v>
      </c>
      <c r="G3" t="s">
        <v>2026</v>
      </c>
      <c r="H3">
        <v>1</v>
      </c>
      <c r="I3">
        <v>1</v>
      </c>
    </row>
    <row r="4" spans="1:9">
      <c r="A4">
        <v>2</v>
      </c>
      <c r="B4" t="s">
        <v>2027</v>
      </c>
      <c r="C4" t="s">
        <v>2028</v>
      </c>
      <c r="D4" t="s">
        <v>2029</v>
      </c>
      <c r="E4" t="s">
        <v>1754</v>
      </c>
      <c r="F4" t="s">
        <v>2030</v>
      </c>
      <c r="G4" t="s">
        <v>1979</v>
      </c>
      <c r="H4">
        <v>0</v>
      </c>
      <c r="I4">
        <v>1</v>
      </c>
    </row>
    <row r="5" spans="1:9">
      <c r="A5">
        <v>3</v>
      </c>
      <c r="B5" t="s">
        <v>2031</v>
      </c>
      <c r="C5" t="s">
        <v>2032</v>
      </c>
      <c r="D5" t="s">
        <v>2033</v>
      </c>
      <c r="E5" t="s">
        <v>209</v>
      </c>
      <c r="F5" t="s">
        <v>213</v>
      </c>
      <c r="H5">
        <v>0</v>
      </c>
      <c r="I5">
        <v>1</v>
      </c>
    </row>
    <row r="6" spans="1:9">
      <c r="A6">
        <v>4</v>
      </c>
      <c r="B6" t="s">
        <v>2034</v>
      </c>
      <c r="C6" t="s">
        <v>2035</v>
      </c>
      <c r="D6" t="s">
        <v>2036</v>
      </c>
      <c r="E6" t="s">
        <v>275</v>
      </c>
      <c r="F6" t="s">
        <v>2037</v>
      </c>
      <c r="G6" t="s">
        <v>1983</v>
      </c>
      <c r="H6">
        <v>0</v>
      </c>
      <c r="I6">
        <v>1</v>
      </c>
    </row>
    <row r="7" spans="1:9">
      <c r="A7">
        <v>5</v>
      </c>
      <c r="B7" t="s">
        <v>2038</v>
      </c>
      <c r="C7" t="s">
        <v>2039</v>
      </c>
      <c r="D7" t="s">
        <v>2040</v>
      </c>
      <c r="E7" t="s">
        <v>275</v>
      </c>
      <c r="F7" t="s">
        <v>2037</v>
      </c>
      <c r="G7" t="s">
        <v>1983</v>
      </c>
      <c r="H7">
        <v>0</v>
      </c>
      <c r="I7">
        <v>1</v>
      </c>
    </row>
    <row r="8" spans="1:9">
      <c r="A8">
        <v>6</v>
      </c>
      <c r="B8" t="s">
        <v>2041</v>
      </c>
      <c r="C8" t="s">
        <v>2042</v>
      </c>
      <c r="D8" t="s">
        <v>2043</v>
      </c>
      <c r="E8" t="s">
        <v>275</v>
      </c>
      <c r="F8" t="s">
        <v>2037</v>
      </c>
      <c r="G8" t="s">
        <v>1983</v>
      </c>
      <c r="H8">
        <v>0</v>
      </c>
      <c r="I8">
        <v>1</v>
      </c>
    </row>
    <row r="9" spans="1:9">
      <c r="A9">
        <v>7</v>
      </c>
      <c r="B9" t="s">
        <v>2044</v>
      </c>
      <c r="C9" t="s">
        <v>2045</v>
      </c>
      <c r="D9" t="s">
        <v>1625</v>
      </c>
      <c r="E9" t="s">
        <v>1606</v>
      </c>
      <c r="F9" t="s">
        <v>1932</v>
      </c>
      <c r="H9">
        <v>0</v>
      </c>
      <c r="I9">
        <v>1</v>
      </c>
    </row>
    <row r="10" spans="1:9">
      <c r="A10">
        <v>8</v>
      </c>
      <c r="B10" t="s">
        <v>2046</v>
      </c>
      <c r="C10" t="s">
        <v>2047</v>
      </c>
      <c r="D10" t="s">
        <v>1627</v>
      </c>
      <c r="E10" t="s">
        <v>1606</v>
      </c>
      <c r="F10" t="s">
        <v>1932</v>
      </c>
      <c r="H10">
        <v>0</v>
      </c>
      <c r="I10">
        <v>1</v>
      </c>
    </row>
    <row r="11" spans="1:9">
      <c r="A11">
        <v>9</v>
      </c>
      <c r="B11" t="s">
        <v>2048</v>
      </c>
      <c r="C11" t="s">
        <v>2049</v>
      </c>
      <c r="D11" t="s">
        <v>1629</v>
      </c>
      <c r="E11" t="s">
        <v>1606</v>
      </c>
      <c r="F11" t="s">
        <v>1932</v>
      </c>
      <c r="H11">
        <v>0</v>
      </c>
      <c r="I11">
        <v>1</v>
      </c>
    </row>
    <row r="12" spans="1:9">
      <c r="A12">
        <v>10</v>
      </c>
      <c r="B12" t="s">
        <v>2050</v>
      </c>
      <c r="C12" t="s">
        <v>2051</v>
      </c>
      <c r="D12" t="s">
        <v>1631</v>
      </c>
      <c r="E12" t="s">
        <v>1606</v>
      </c>
      <c r="F12" t="s">
        <v>1932</v>
      </c>
      <c r="H12">
        <v>0</v>
      </c>
      <c r="I12">
        <v>1</v>
      </c>
    </row>
    <row r="13" spans="1:9">
      <c r="A13">
        <v>11</v>
      </c>
      <c r="B13" t="s">
        <v>2052</v>
      </c>
      <c r="C13" t="s">
        <v>2053</v>
      </c>
      <c r="D13" t="s">
        <v>1633</v>
      </c>
      <c r="E13" t="s">
        <v>1606</v>
      </c>
      <c r="F13" t="s">
        <v>1932</v>
      </c>
      <c r="H13">
        <v>0</v>
      </c>
      <c r="I13">
        <v>1</v>
      </c>
    </row>
    <row r="14" spans="1:9">
      <c r="A14">
        <v>12</v>
      </c>
      <c r="B14" t="s">
        <v>2054</v>
      </c>
      <c r="C14" t="s">
        <v>2055</v>
      </c>
      <c r="D14" t="s">
        <v>1635</v>
      </c>
      <c r="E14" t="s">
        <v>1606</v>
      </c>
      <c r="F14" t="s">
        <v>1932</v>
      </c>
      <c r="H14">
        <v>0</v>
      </c>
      <c r="I14">
        <v>1</v>
      </c>
    </row>
    <row r="15" spans="1:9">
      <c r="A15">
        <v>13</v>
      </c>
      <c r="B15" t="s">
        <v>2056</v>
      </c>
      <c r="C15" t="s">
        <v>2057</v>
      </c>
      <c r="D15" t="s">
        <v>1637</v>
      </c>
      <c r="E15" t="s">
        <v>1606</v>
      </c>
      <c r="F15" t="s">
        <v>1932</v>
      </c>
      <c r="H15">
        <v>0</v>
      </c>
      <c r="I15">
        <v>1</v>
      </c>
    </row>
    <row r="16" spans="1:9">
      <c r="A16">
        <v>14</v>
      </c>
      <c r="B16" t="s">
        <v>2058</v>
      </c>
      <c r="C16" t="s">
        <v>2059</v>
      </c>
      <c r="D16" t="s">
        <v>1639</v>
      </c>
      <c r="E16" t="s">
        <v>1606</v>
      </c>
      <c r="F16" t="s">
        <v>1932</v>
      </c>
      <c r="H16">
        <v>0</v>
      </c>
      <c r="I16">
        <v>1</v>
      </c>
    </row>
    <row r="17" spans="1:9">
      <c r="A17">
        <v>15</v>
      </c>
      <c r="B17" t="s">
        <v>2060</v>
      </c>
      <c r="C17" t="s">
        <v>2061</v>
      </c>
      <c r="D17" t="s">
        <v>1641</v>
      </c>
      <c r="E17" t="s">
        <v>1606</v>
      </c>
      <c r="F17" t="s">
        <v>1932</v>
      </c>
      <c r="H17">
        <v>0</v>
      </c>
      <c r="I17">
        <v>1</v>
      </c>
    </row>
    <row r="18" spans="1:9">
      <c r="A18">
        <v>16</v>
      </c>
      <c r="B18" t="s">
        <v>2062</v>
      </c>
      <c r="C18" t="s">
        <v>2063</v>
      </c>
      <c r="D18" t="s">
        <v>1643</v>
      </c>
      <c r="E18" t="s">
        <v>1606</v>
      </c>
      <c r="F18" t="s">
        <v>1932</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A6" zoomScale="115" zoomScaleNormal="115" workbookViewId="0">
      <selection activeCell="A16" sqref="A16:A2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2067</v>
      </c>
      <c r="J4" s="16" t="str">
        <f>CONCATENATE("Logical: ",B4)</f>
        <v>Logical: EpisodeEvent</v>
      </c>
    </row>
    <row r="5" spans="1:12" ht="19.899999999999999" customHeight="1">
      <c r="A5" s="14" t="s">
        <v>16</v>
      </c>
      <c r="B5" s="46" t="s">
        <v>2067</v>
      </c>
      <c r="J5" s="16" t="str">
        <f>CONCATENATE("Id: ",B5)</f>
        <v>Id: EpisodeEvent</v>
      </c>
    </row>
    <row r="6" spans="1:12" ht="19.899999999999999" customHeight="1">
      <c r="A6" s="14" t="s">
        <v>10</v>
      </c>
      <c r="B6" s="47" t="s">
        <v>1952</v>
      </c>
      <c r="J6" s="17" t="str">
        <f>CONCATENATE("Title: ##34#",B6,"##34#")</f>
        <v>Title: ##34#Episode Event##34#</v>
      </c>
    </row>
    <row r="7" spans="1:12" ht="19.899999999999999" customHeight="1">
      <c r="A7" s="26" t="s">
        <v>2</v>
      </c>
      <c r="B7" s="47" t="s">
        <v>1952</v>
      </c>
      <c r="C7" s="9" t="s">
        <v>3</v>
      </c>
      <c r="D7" s="1" t="s">
        <v>4</v>
      </c>
      <c r="E7" s="3" t="s">
        <v>5</v>
      </c>
      <c r="F7" s="3" t="s">
        <v>6</v>
      </c>
      <c r="G7" s="3" t="s">
        <v>7</v>
      </c>
      <c r="H7" s="105" t="s">
        <v>1610</v>
      </c>
      <c r="J7" s="17" t="str">
        <f>CONCATENATE("Description: "," ##334#",B7,"##334#",)</f>
        <v>Description:  ##334#Episode Event##334#</v>
      </c>
    </row>
    <row r="8" spans="1:12" ht="20.25" customHeight="1">
      <c r="A8" s="100">
        <v>0</v>
      </c>
      <c r="B8" s="57" t="s">
        <v>2068</v>
      </c>
      <c r="C8" s="11" t="s">
        <v>2020</v>
      </c>
      <c r="D8" s="11" t="s">
        <v>2021</v>
      </c>
      <c r="E8" s="11">
        <v>1</v>
      </c>
      <c r="F8" s="11">
        <v>1</v>
      </c>
      <c r="G8" t="s">
        <v>2085</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2082</v>
      </c>
      <c r="C9" s="11" t="s">
        <v>2023</v>
      </c>
      <c r="D9" s="11" t="s">
        <v>2024</v>
      </c>
      <c r="E9" s="11">
        <v>1</v>
      </c>
      <c r="F9" s="11">
        <v>1</v>
      </c>
      <c r="G9" s="57" t="s">
        <v>1786</v>
      </c>
      <c r="H9" s="12" t="s">
        <v>2064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1">
        <v>2</v>
      </c>
      <c r="B10" s="57" t="s">
        <v>2083</v>
      </c>
      <c r="C10" s="11" t="s">
        <v>2028</v>
      </c>
      <c r="D10" s="11" t="s">
        <v>2029</v>
      </c>
      <c r="E10" s="11">
        <v>0</v>
      </c>
      <c r="F10" s="11">
        <v>1</v>
      </c>
      <c r="G10" s="57" t="s">
        <v>1786</v>
      </c>
      <c r="H10" s="12" t="s">
        <v>2065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2084</v>
      </c>
      <c r="C11" s="11" t="s">
        <v>2032</v>
      </c>
      <c r="D11" s="11" t="s">
        <v>2033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2079</v>
      </c>
      <c r="C12" s="11" t="s">
        <v>2035</v>
      </c>
      <c r="D12" s="11" t="s">
        <v>2036</v>
      </c>
      <c r="E12" s="11">
        <v>0</v>
      </c>
      <c r="F12" s="11">
        <v>1</v>
      </c>
      <c r="G12" s="57" t="s">
        <v>1786</v>
      </c>
      <c r="H12" s="12" t="s">
        <v>2066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2080</v>
      </c>
      <c r="C13" s="11" t="s">
        <v>2039</v>
      </c>
      <c r="D13" s="12" t="s">
        <v>2040</v>
      </c>
      <c r="E13" s="11">
        <v>0</v>
      </c>
      <c r="F13" s="11">
        <v>1</v>
      </c>
      <c r="G13" s="57" t="s">
        <v>1786</v>
      </c>
      <c r="H13" s="12" t="s">
        <v>2066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2081</v>
      </c>
      <c r="C14" s="11" t="s">
        <v>2042</v>
      </c>
      <c r="D14" s="12" t="s">
        <v>2043</v>
      </c>
      <c r="E14" s="11">
        <v>0</v>
      </c>
      <c r="F14" s="11">
        <v>1</v>
      </c>
      <c r="G14" s="57" t="s">
        <v>1786</v>
      </c>
      <c r="H14" s="12" t="s">
        <v>2066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2087</v>
      </c>
      <c r="C15" s="6" t="s">
        <v>2088</v>
      </c>
      <c r="D15" s="6" t="s">
        <v>2088</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01">
        <v>7</v>
      </c>
      <c r="B16" s="57" t="s">
        <v>2069</v>
      </c>
      <c r="C16" s="11" t="s">
        <v>2045</v>
      </c>
      <c r="D16" s="12" t="s">
        <v>1625</v>
      </c>
      <c r="E16" s="11">
        <v>0</v>
      </c>
      <c r="F16" s="11">
        <v>1</v>
      </c>
      <c r="G16" s="57" t="s">
        <v>157</v>
      </c>
      <c r="H16" s="12" t="s">
        <v>1932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1">
        <v>8</v>
      </c>
      <c r="B17" s="57" t="s">
        <v>2076</v>
      </c>
      <c r="C17" s="11" t="s">
        <v>2047</v>
      </c>
      <c r="D17" s="12" t="s">
        <v>1627</v>
      </c>
      <c r="E17" s="11">
        <v>0</v>
      </c>
      <c r="F17" s="11">
        <v>1</v>
      </c>
      <c r="G17" s="57" t="s">
        <v>157</v>
      </c>
      <c r="H17" s="12" t="s">
        <v>1932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1">
        <v>9</v>
      </c>
      <c r="B18" s="57" t="s">
        <v>2072</v>
      </c>
      <c r="C18" s="11" t="s">
        <v>2049</v>
      </c>
      <c r="D18" s="12" t="s">
        <v>1629</v>
      </c>
      <c r="E18" s="11">
        <v>0</v>
      </c>
      <c r="F18" s="11">
        <v>1</v>
      </c>
      <c r="G18" s="57" t="s">
        <v>157</v>
      </c>
      <c r="H18" s="12" t="s">
        <v>1932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1">
        <v>10</v>
      </c>
      <c r="B19" s="57" t="s">
        <v>2070</v>
      </c>
      <c r="C19" s="11" t="s">
        <v>2051</v>
      </c>
      <c r="D19" s="11" t="s">
        <v>1631</v>
      </c>
      <c r="E19" s="11">
        <v>0</v>
      </c>
      <c r="F19" s="11">
        <v>1</v>
      </c>
      <c r="G19" s="57" t="s">
        <v>157</v>
      </c>
      <c r="H19" s="12" t="s">
        <v>1932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1">
        <v>11</v>
      </c>
      <c r="B20" s="57" t="s">
        <v>2073</v>
      </c>
      <c r="C20" s="11" t="s">
        <v>2053</v>
      </c>
      <c r="D20" s="11" t="s">
        <v>1633</v>
      </c>
      <c r="E20" s="11">
        <v>0</v>
      </c>
      <c r="F20" s="11">
        <v>1</v>
      </c>
      <c r="G20" s="57" t="s">
        <v>157</v>
      </c>
      <c r="H20" s="12" t="s">
        <v>1932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1">
        <v>12</v>
      </c>
      <c r="B21" s="57" t="s">
        <v>2074</v>
      </c>
      <c r="C21" s="11" t="s">
        <v>2055</v>
      </c>
      <c r="D21" s="11" t="s">
        <v>1635</v>
      </c>
      <c r="E21" s="11">
        <v>0</v>
      </c>
      <c r="F21" s="11">
        <v>1</v>
      </c>
      <c r="G21" s="57" t="s">
        <v>157</v>
      </c>
      <c r="H21" s="12" t="s">
        <v>1932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1">
        <v>13</v>
      </c>
      <c r="B22" s="57" t="s">
        <v>2075</v>
      </c>
      <c r="C22" s="11" t="s">
        <v>2057</v>
      </c>
      <c r="D22" s="11" t="s">
        <v>1637</v>
      </c>
      <c r="E22" s="11">
        <v>0</v>
      </c>
      <c r="F22" s="11">
        <v>1</v>
      </c>
      <c r="G22" s="57" t="s">
        <v>157</v>
      </c>
      <c r="H22" s="12" t="s">
        <v>1932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1">
        <v>14</v>
      </c>
      <c r="B23" s="57" t="s">
        <v>2071</v>
      </c>
      <c r="C23" s="11" t="s">
        <v>2059</v>
      </c>
      <c r="D23" s="11" t="s">
        <v>1639</v>
      </c>
      <c r="E23" s="11">
        <v>0</v>
      </c>
      <c r="F23" s="11">
        <v>1</v>
      </c>
      <c r="G23" s="57" t="s">
        <v>157</v>
      </c>
      <c r="H23" s="12" t="s">
        <v>1932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1">
        <v>15</v>
      </c>
      <c r="B24" s="57" t="s">
        <v>2077</v>
      </c>
      <c r="C24" s="11" t="s">
        <v>2061</v>
      </c>
      <c r="D24" s="12" t="s">
        <v>1641</v>
      </c>
      <c r="E24" s="11">
        <v>0</v>
      </c>
      <c r="F24" s="11">
        <v>1</v>
      </c>
      <c r="G24" s="57" t="s">
        <v>157</v>
      </c>
      <c r="H24" s="12" t="s">
        <v>1932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1">
        <v>16</v>
      </c>
      <c r="B25" s="57" t="s">
        <v>2078</v>
      </c>
      <c r="C25" s="11" t="s">
        <v>2063</v>
      </c>
      <c r="D25" s="12" t="s">
        <v>1643</v>
      </c>
      <c r="E25" s="11">
        <v>0</v>
      </c>
      <c r="F25" s="11">
        <v>1</v>
      </c>
      <c r="G25" s="57" t="s">
        <v>157</v>
      </c>
      <c r="H25" s="12" t="s">
        <v>1932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2086</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2099</v>
      </c>
      <c r="D3" s="62" t="s">
        <v>1791</v>
      </c>
      <c r="E3" s="118" t="str">
        <f>$C$1&amp;EpisodeEvent!B4</f>
        <v>http://hl7.eu/fhir/ig/idea4rc/StructureDefinition/EpisodeEvent</v>
      </c>
    </row>
    <row r="4" spans="1:19">
      <c r="B4" s="62" t="s">
        <v>16</v>
      </c>
      <c r="C4" s="28" t="s">
        <v>2104</v>
      </c>
      <c r="D4" s="62" t="s">
        <v>1792</v>
      </c>
      <c r="E4" s="165" t="s">
        <v>1804</v>
      </c>
      <c r="F4" s="166"/>
      <c r="G4" s="166"/>
    </row>
    <row r="5" spans="1:19">
      <c r="B5" s="62" t="s">
        <v>10</v>
      </c>
      <c r="C5" s="7" t="s">
        <v>2100</v>
      </c>
      <c r="D5" s="62"/>
      <c r="E5" s="7"/>
    </row>
    <row r="6" spans="1:19">
      <c r="B6" s="62" t="s">
        <v>18</v>
      </c>
      <c r="C6" s="56"/>
      <c r="D6" s="62" t="s">
        <v>1793</v>
      </c>
      <c r="E6" s="165" t="str">
        <f>E3</f>
        <v>http://hl7.eu/fhir/ig/idea4rc/StructureDefinition/EpisodeEvent</v>
      </c>
      <c r="F6" s="166"/>
      <c r="G6" s="166"/>
    </row>
    <row r="7" spans="1:19">
      <c r="B7" s="62" t="s">
        <v>15</v>
      </c>
      <c r="C7" s="119"/>
      <c r="D7" s="62" t="s">
        <v>1794</v>
      </c>
      <c r="E7" s="165" t="s">
        <v>1804</v>
      </c>
      <c r="F7" s="166"/>
      <c r="G7" s="166"/>
    </row>
    <row r="8" spans="1:19" ht="45" thickBot="1">
      <c r="B8" s="62" t="s">
        <v>1795</v>
      </c>
      <c r="C8" s="120" t="s">
        <v>2100</v>
      </c>
      <c r="D8" s="62"/>
      <c r="E8" s="7"/>
      <c r="I8" s="12" t="s">
        <v>1402</v>
      </c>
      <c r="J8" s="12" t="s">
        <v>1403</v>
      </c>
      <c r="K8" s="12" t="s">
        <v>1404</v>
      </c>
      <c r="L8" s="12" t="s">
        <v>1405</v>
      </c>
      <c r="M8" s="11" t="s">
        <v>1406</v>
      </c>
      <c r="P8" s="49" t="s">
        <v>1441</v>
      </c>
      <c r="Q8" s="49">
        <v>6</v>
      </c>
    </row>
    <row r="9" spans="1:19" ht="30.25" thickBot="1">
      <c r="B9" s="62" t="s">
        <v>1796</v>
      </c>
      <c r="C9" s="12" t="s">
        <v>2101</v>
      </c>
      <c r="D9" s="151"/>
      <c r="E9" s="167" t="s">
        <v>2110</v>
      </c>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2090</v>
      </c>
      <c r="E15" s="12"/>
      <c r="F15" s="64" t="s">
        <v>1429</v>
      </c>
      <c r="G15" s="124" t="s">
        <v>2108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2109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2091</v>
      </c>
      <c r="E17" s="12"/>
      <c r="F17" s="64" t="s">
        <v>1407</v>
      </c>
      <c r="G17" s="124" t="s">
        <v>2092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2095</v>
      </c>
      <c r="E20" s="12"/>
      <c r="F20" s="64" t="s">
        <v>1407</v>
      </c>
      <c r="G20" s="150" t="s">
        <v>2096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2095</v>
      </c>
      <c r="E21" s="12"/>
      <c r="F21" s="64" t="s">
        <v>1407</v>
      </c>
      <c r="G21" s="150" t="s">
        <v>2096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2095</v>
      </c>
      <c r="E22" s="12"/>
      <c r="F22" s="64" t="s">
        <v>1407</v>
      </c>
      <c r="G22" s="150" t="s">
        <v>2096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2097</v>
      </c>
      <c r="E23" s="11"/>
      <c r="F23" s="64" t="s">
        <v>1407</v>
      </c>
      <c r="G23" s="124" t="s">
        <v>2098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2097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2097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2097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2097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2097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2097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2097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2097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2097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2097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2102</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1908</v>
      </c>
      <c r="C2" t="s">
        <v>1909</v>
      </c>
      <c r="D2" t="s">
        <v>1910</v>
      </c>
      <c r="E2" t="s">
        <v>1759</v>
      </c>
      <c r="H2">
        <v>1</v>
      </c>
      <c r="I2">
        <v>1</v>
      </c>
    </row>
    <row r="3" spans="1:9">
      <c r="A3">
        <v>1</v>
      </c>
      <c r="B3" t="s">
        <v>1911</v>
      </c>
      <c r="C3" t="s">
        <v>1614</v>
      </c>
      <c r="D3" t="s">
        <v>1615</v>
      </c>
      <c r="E3" t="s">
        <v>275</v>
      </c>
      <c r="F3" t="s">
        <v>1912</v>
      </c>
      <c r="G3" t="s">
        <v>1913</v>
      </c>
      <c r="H3">
        <v>1</v>
      </c>
      <c r="I3">
        <v>1</v>
      </c>
    </row>
    <row r="4" spans="1:9">
      <c r="A4">
        <v>2</v>
      </c>
      <c r="B4" t="s">
        <v>1914</v>
      </c>
      <c r="C4" t="s">
        <v>1616</v>
      </c>
      <c r="D4" t="s">
        <v>1617</v>
      </c>
      <c r="E4" t="s">
        <v>275</v>
      </c>
      <c r="F4" t="s">
        <v>1915</v>
      </c>
      <c r="G4" t="s">
        <v>1916</v>
      </c>
      <c r="H4">
        <v>1</v>
      </c>
      <c r="I4">
        <v>1</v>
      </c>
    </row>
    <row r="5" spans="1:9">
      <c r="A5">
        <v>3</v>
      </c>
      <c r="B5" t="s">
        <v>1917</v>
      </c>
      <c r="C5" t="s">
        <v>1918</v>
      </c>
      <c r="D5" t="s">
        <v>1919</v>
      </c>
      <c r="E5" t="s">
        <v>1754</v>
      </c>
      <c r="F5" t="s">
        <v>1920</v>
      </c>
      <c r="G5" t="s">
        <v>1921</v>
      </c>
      <c r="H5">
        <v>1</v>
      </c>
      <c r="I5">
        <v>1</v>
      </c>
    </row>
    <row r="6" spans="1:9">
      <c r="A6">
        <v>4</v>
      </c>
      <c r="B6" t="s">
        <v>1922</v>
      </c>
      <c r="C6" t="s">
        <v>1618</v>
      </c>
      <c r="D6" t="s">
        <v>1619</v>
      </c>
      <c r="E6" t="s">
        <v>275</v>
      </c>
      <c r="F6" t="s">
        <v>1923</v>
      </c>
      <c r="G6" t="s">
        <v>1924</v>
      </c>
      <c r="H6">
        <v>1</v>
      </c>
      <c r="I6">
        <v>1</v>
      </c>
    </row>
    <row r="7" spans="1:9">
      <c r="A7">
        <v>5</v>
      </c>
      <c r="B7" t="s">
        <v>1925</v>
      </c>
      <c r="C7" t="s">
        <v>1620</v>
      </c>
      <c r="D7" t="s">
        <v>1621</v>
      </c>
      <c r="E7" t="s">
        <v>275</v>
      </c>
      <c r="F7" t="s">
        <v>1926</v>
      </c>
      <c r="G7" t="s">
        <v>1927</v>
      </c>
      <c r="H7">
        <v>1</v>
      </c>
      <c r="I7">
        <v>1</v>
      </c>
    </row>
    <row r="8" spans="1:9">
      <c r="A8">
        <v>6</v>
      </c>
      <c r="B8" t="s">
        <v>1928</v>
      </c>
      <c r="C8" t="s">
        <v>1622</v>
      </c>
      <c r="D8" t="s">
        <v>1623</v>
      </c>
      <c r="E8" t="s">
        <v>275</v>
      </c>
      <c r="F8" t="s">
        <v>1929</v>
      </c>
      <c r="G8" t="s">
        <v>1930</v>
      </c>
      <c r="H8">
        <v>1</v>
      </c>
      <c r="I8">
        <v>1</v>
      </c>
    </row>
    <row r="9" spans="1:9">
      <c r="A9">
        <v>7</v>
      </c>
      <c r="B9" t="s">
        <v>1931</v>
      </c>
      <c r="C9" t="s">
        <v>1624</v>
      </c>
      <c r="D9" t="s">
        <v>1625</v>
      </c>
      <c r="E9" t="s">
        <v>1606</v>
      </c>
      <c r="F9" t="s">
        <v>1932</v>
      </c>
      <c r="H9">
        <v>0</v>
      </c>
      <c r="I9">
        <v>1</v>
      </c>
    </row>
    <row r="10" spans="1:9">
      <c r="A10">
        <v>8</v>
      </c>
      <c r="B10" t="s">
        <v>1933</v>
      </c>
      <c r="C10" t="s">
        <v>1626</v>
      </c>
      <c r="D10" t="s">
        <v>1627</v>
      </c>
      <c r="E10" t="s">
        <v>1606</v>
      </c>
      <c r="F10" t="s">
        <v>1932</v>
      </c>
      <c r="H10">
        <v>0</v>
      </c>
      <c r="I10">
        <v>1</v>
      </c>
    </row>
    <row r="11" spans="1:9">
      <c r="A11">
        <v>9</v>
      </c>
      <c r="B11" t="s">
        <v>1934</v>
      </c>
      <c r="C11" t="s">
        <v>1628</v>
      </c>
      <c r="D11" t="s">
        <v>1629</v>
      </c>
      <c r="E11" t="s">
        <v>1606</v>
      </c>
      <c r="F11" t="s">
        <v>1932</v>
      </c>
      <c r="H11">
        <v>0</v>
      </c>
      <c r="I11">
        <v>1</v>
      </c>
    </row>
    <row r="12" spans="1:9">
      <c r="A12">
        <v>10</v>
      </c>
      <c r="B12" t="s">
        <v>1935</v>
      </c>
      <c r="C12" t="s">
        <v>1630</v>
      </c>
      <c r="D12" t="s">
        <v>1631</v>
      </c>
      <c r="E12" t="s">
        <v>1606</v>
      </c>
      <c r="F12" t="s">
        <v>1932</v>
      </c>
      <c r="H12">
        <v>0</v>
      </c>
      <c r="I12">
        <v>1</v>
      </c>
    </row>
    <row r="13" spans="1:9">
      <c r="A13">
        <v>11</v>
      </c>
      <c r="B13" t="s">
        <v>1936</v>
      </c>
      <c r="C13" t="s">
        <v>1632</v>
      </c>
      <c r="D13" t="s">
        <v>1633</v>
      </c>
      <c r="E13" t="s">
        <v>1606</v>
      </c>
      <c r="F13" t="s">
        <v>1932</v>
      </c>
      <c r="H13">
        <v>0</v>
      </c>
      <c r="I13">
        <v>1</v>
      </c>
    </row>
    <row r="14" spans="1:9">
      <c r="A14">
        <v>12</v>
      </c>
      <c r="B14" t="s">
        <v>1937</v>
      </c>
      <c r="C14" t="s">
        <v>1634</v>
      </c>
      <c r="D14" t="s">
        <v>1635</v>
      </c>
      <c r="E14" t="s">
        <v>1606</v>
      </c>
      <c r="F14" t="s">
        <v>1932</v>
      </c>
      <c r="H14">
        <v>0</v>
      </c>
      <c r="I14">
        <v>1</v>
      </c>
    </row>
    <row r="15" spans="1:9">
      <c r="A15">
        <v>13</v>
      </c>
      <c r="B15" t="s">
        <v>1938</v>
      </c>
      <c r="C15" t="s">
        <v>1636</v>
      </c>
      <c r="D15" t="s">
        <v>1637</v>
      </c>
      <c r="E15" t="s">
        <v>1606</v>
      </c>
      <c r="F15" t="s">
        <v>1932</v>
      </c>
      <c r="H15">
        <v>0</v>
      </c>
      <c r="I15">
        <v>1</v>
      </c>
    </row>
    <row r="16" spans="1:9">
      <c r="A16">
        <v>14</v>
      </c>
      <c r="B16" t="s">
        <v>1939</v>
      </c>
      <c r="C16" t="s">
        <v>1638</v>
      </c>
      <c r="D16" t="s">
        <v>1639</v>
      </c>
      <c r="E16" t="s">
        <v>1606</v>
      </c>
      <c r="F16" t="s">
        <v>1932</v>
      </c>
      <c r="H16">
        <v>0</v>
      </c>
      <c r="I16">
        <v>1</v>
      </c>
    </row>
    <row r="17" spans="1:9">
      <c r="A17">
        <v>15</v>
      </c>
      <c r="B17" t="s">
        <v>1940</v>
      </c>
      <c r="C17" t="s">
        <v>1640</v>
      </c>
      <c r="D17" t="s">
        <v>1641</v>
      </c>
      <c r="E17" t="s">
        <v>1606</v>
      </c>
      <c r="F17" t="s">
        <v>1932</v>
      </c>
      <c r="H17">
        <v>0</v>
      </c>
      <c r="I17">
        <v>1</v>
      </c>
    </row>
    <row r="18" spans="1:9">
      <c r="A18">
        <v>16</v>
      </c>
      <c r="B18" t="s">
        <v>1941</v>
      </c>
      <c r="C18" t="s">
        <v>1642</v>
      </c>
      <c r="D18" t="s">
        <v>1643</v>
      </c>
      <c r="E18" t="s">
        <v>1606</v>
      </c>
      <c r="F18" t="s">
        <v>1932</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9" zoomScaleNormal="100" workbookViewId="0">
      <selection activeCell="D11" sqref="D11"/>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1948</v>
      </c>
      <c r="J4" s="16" t="str">
        <f>CONCATENATE("Logical: ",B4)</f>
        <v>Logical: ClinicalStage</v>
      </c>
    </row>
    <row r="5" spans="1:12" ht="19.899999999999999" customHeight="1">
      <c r="A5" s="14" t="s">
        <v>16</v>
      </c>
      <c r="B5" s="46" t="s">
        <v>1948</v>
      </c>
      <c r="J5" s="16" t="str">
        <f>CONCATENATE("Id: ",B5)</f>
        <v>Id: ClinicalStage</v>
      </c>
    </row>
    <row r="6" spans="1:12" ht="19.899999999999999" customHeight="1">
      <c r="A6" s="14" t="s">
        <v>10</v>
      </c>
      <c r="B6" s="47" t="s">
        <v>1949</v>
      </c>
      <c r="J6" s="17" t="str">
        <f>CONCATENATE("Title: ##34#",B6,"##34#")</f>
        <v>Title: ##34#Clinical Stage##34#</v>
      </c>
    </row>
    <row r="7" spans="1:12" ht="19.899999999999999" customHeight="1">
      <c r="A7" s="26" t="s">
        <v>2</v>
      </c>
      <c r="B7" s="104" t="s">
        <v>1949</v>
      </c>
      <c r="C7" s="9" t="s">
        <v>3</v>
      </c>
      <c r="D7" s="1" t="s">
        <v>4</v>
      </c>
      <c r="E7" s="3" t="s">
        <v>5</v>
      </c>
      <c r="F7" s="3" t="s">
        <v>6</v>
      </c>
      <c r="G7" s="3" t="s">
        <v>7</v>
      </c>
      <c r="H7" s="105" t="s">
        <v>1610</v>
      </c>
      <c r="J7" s="17" t="str">
        <f>CONCATENATE("Description: "," ##334#",B7,"##334#",)</f>
        <v>Description:  ##334#Clinical Stage##334#</v>
      </c>
    </row>
    <row r="8" spans="1:12" ht="20.25" customHeight="1">
      <c r="A8" s="100">
        <v>0</v>
      </c>
      <c r="B8" s="57" t="s">
        <v>1951</v>
      </c>
      <c r="C8" s="11" t="s">
        <v>1952</v>
      </c>
      <c r="D8" s="11" t="s">
        <v>1910</v>
      </c>
      <c r="E8" s="11">
        <v>1</v>
      </c>
      <c r="F8" s="11">
        <v>1</v>
      </c>
      <c r="G8" t="s">
        <v>2089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1942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1943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5" t="s">
        <v>2017</v>
      </c>
      <c r="C11" s="11" t="s">
        <v>1918</v>
      </c>
      <c r="D11" s="11" t="s">
        <v>1919</v>
      </c>
      <c r="E11" s="11">
        <v>1</v>
      </c>
      <c r="F11" s="11">
        <v>1</v>
      </c>
      <c r="G11" s="57" t="s">
        <v>1786</v>
      </c>
      <c r="H11" s="12" t="s">
        <v>1944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1945</v>
      </c>
      <c r="I12" s="25"/>
      <c r="J12" s="12" t="str">
        <f t="shared" si="0"/>
        <v>* cM 1..1 CodeableConcept ##34#cM##34# ##334#Specifies the clinical M##334#</v>
      </c>
      <c r="L12" s="12" t="str">
        <f t="shared" si="1"/>
        <v>* cM ^comment = ##334#M0; M1;M0 -  4149726
M1 - 4205430##334#</v>
      </c>
    </row>
    <row r="13" spans="1:12" ht="45.25" customHeight="1">
      <c r="A13" s="100">
        <v>5</v>
      </c>
      <c r="B13" s="57" t="s">
        <v>1950</v>
      </c>
      <c r="C13" s="11" t="s">
        <v>1620</v>
      </c>
      <c r="D13" s="12" t="s">
        <v>1621</v>
      </c>
      <c r="E13" s="11">
        <v>1</v>
      </c>
      <c r="F13" s="11">
        <v>1</v>
      </c>
      <c r="G13" s="57" t="s">
        <v>1786</v>
      </c>
      <c r="H13" s="12" t="s">
        <v>1946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1947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1">
        <v>7</v>
      </c>
      <c r="B15" s="57" t="s">
        <v>1648</v>
      </c>
      <c r="C15" s="11" t="s">
        <v>1624</v>
      </c>
      <c r="D15" s="12" t="s">
        <v>1625</v>
      </c>
      <c r="E15" s="11">
        <v>0</v>
      </c>
      <c r="F15" s="11">
        <v>1</v>
      </c>
      <c r="G15" s="57" t="s">
        <v>157</v>
      </c>
      <c r="H15" s="12" t="s">
        <v>1932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1">
        <v>8</v>
      </c>
      <c r="B16" s="57" t="s">
        <v>1649</v>
      </c>
      <c r="C16" s="11" t="s">
        <v>1626</v>
      </c>
      <c r="D16" s="12" t="s">
        <v>1627</v>
      </c>
      <c r="E16" s="11">
        <v>0</v>
      </c>
      <c r="F16" s="11">
        <v>1</v>
      </c>
      <c r="G16" s="57" t="s">
        <v>157</v>
      </c>
      <c r="H16" s="12" t="s">
        <v>1932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1">
        <v>9</v>
      </c>
      <c r="B17" s="57" t="s">
        <v>1628</v>
      </c>
      <c r="C17" s="11" t="s">
        <v>1628</v>
      </c>
      <c r="D17" s="12" t="s">
        <v>1629</v>
      </c>
      <c r="E17" s="11">
        <v>0</v>
      </c>
      <c r="F17" s="11">
        <v>1</v>
      </c>
      <c r="G17" s="57" t="s">
        <v>157</v>
      </c>
      <c r="H17" s="12" t="s">
        <v>1932</v>
      </c>
      <c r="I17" s="25"/>
      <c r="J17" s="12" t="str">
        <f t="shared" si="0"/>
        <v>* lung 0..1 boolean ##34#lung##34# ##334#Describes if site of metastasic disease  is lung##334#</v>
      </c>
      <c r="L17" s="12" t="str">
        <f t="shared" si="1"/>
        <v>* lung ^comment = ##334#True; False##334#</v>
      </c>
    </row>
    <row r="18" spans="1:13" ht="19.899999999999999" customHeight="1">
      <c r="A18" s="101">
        <v>10</v>
      </c>
      <c r="B18" s="57" t="s">
        <v>1630</v>
      </c>
      <c r="C18" s="11" t="s">
        <v>1630</v>
      </c>
      <c r="D18" s="11" t="s">
        <v>1631</v>
      </c>
      <c r="E18" s="11">
        <v>0</v>
      </c>
      <c r="F18" s="11">
        <v>1</v>
      </c>
      <c r="G18" s="57" t="s">
        <v>157</v>
      </c>
      <c r="H18" s="12" t="s">
        <v>1932</v>
      </c>
      <c r="J18" s="12" t="str">
        <f t="shared" si="0"/>
        <v>* bone 0..1 boolean ##34#bone##34# ##334#Describes if site of metastasic disease  is bone##334#</v>
      </c>
      <c r="L18" s="12" t="str">
        <f t="shared" si="1"/>
        <v>* bone ^comment = ##334#True; False##334#</v>
      </c>
    </row>
    <row r="19" spans="1:13" ht="19.899999999999999" customHeight="1">
      <c r="A19" s="101">
        <v>11</v>
      </c>
      <c r="B19" s="57" t="s">
        <v>1632</v>
      </c>
      <c r="C19" s="11" t="s">
        <v>1632</v>
      </c>
      <c r="D19" s="11" t="s">
        <v>1633</v>
      </c>
      <c r="E19" s="11">
        <v>0</v>
      </c>
      <c r="F19" s="11">
        <v>1</v>
      </c>
      <c r="G19" s="57" t="s">
        <v>157</v>
      </c>
      <c r="H19" s="12" t="s">
        <v>1932</v>
      </c>
      <c r="J19" s="12" t="str">
        <f t="shared" si="0"/>
        <v>* liver 0..1 boolean ##34#liver##34# ##334#Describes if site of metastasic disease  is liver##334#</v>
      </c>
      <c r="L19" s="12" t="str">
        <f t="shared" si="1"/>
        <v>* liver ^comment = ##334#True; False##334#</v>
      </c>
    </row>
    <row r="20" spans="1:13" ht="19.899999999999999" customHeight="1">
      <c r="A20" s="101">
        <v>12</v>
      </c>
      <c r="B20" s="57" t="s">
        <v>1634</v>
      </c>
      <c r="C20" s="11" t="s">
        <v>1634</v>
      </c>
      <c r="D20" s="11" t="s">
        <v>1635</v>
      </c>
      <c r="E20" s="11">
        <v>0</v>
      </c>
      <c r="F20" s="11">
        <v>1</v>
      </c>
      <c r="G20" s="57" t="s">
        <v>157</v>
      </c>
      <c r="H20" s="12" t="s">
        <v>1932</v>
      </c>
      <c r="J20" s="12" t="str">
        <f t="shared" si="0"/>
        <v>* pleura 0..1 boolean ##34#pleura##34# ##334#Describes if site of metastasic disease  is pleura##334#</v>
      </c>
      <c r="L20" s="12" t="str">
        <f t="shared" si="1"/>
        <v>* pleura ^comment = ##334#True; False##334#</v>
      </c>
    </row>
    <row r="21" spans="1:13" ht="19.899999999999999" customHeight="1">
      <c r="A21" s="101">
        <v>13</v>
      </c>
      <c r="B21" s="57" t="s">
        <v>1636</v>
      </c>
      <c r="C21" s="11" t="s">
        <v>1636</v>
      </c>
      <c r="D21" s="11" t="s">
        <v>1637</v>
      </c>
      <c r="E21" s="11">
        <v>0</v>
      </c>
      <c r="F21" s="11">
        <v>1</v>
      </c>
      <c r="G21" s="57" t="s">
        <v>157</v>
      </c>
      <c r="H21" s="12" t="s">
        <v>1932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1">
        <v>14</v>
      </c>
      <c r="B22" s="57" t="s">
        <v>1638</v>
      </c>
      <c r="C22" s="11" t="s">
        <v>1638</v>
      </c>
      <c r="D22" s="11" t="s">
        <v>1639</v>
      </c>
      <c r="E22" s="11">
        <v>0</v>
      </c>
      <c r="F22" s="11">
        <v>1</v>
      </c>
      <c r="G22" s="57" t="s">
        <v>157</v>
      </c>
      <c r="H22" s="12" t="s">
        <v>1932</v>
      </c>
      <c r="J22" s="12" t="str">
        <f t="shared" si="0"/>
        <v>* brain 0..1 boolean ##34#brain##34# ##334#Describes if site of metastasic disease  is brain##334#</v>
      </c>
      <c r="L22" s="12" t="str">
        <f t="shared" si="1"/>
        <v>* brain ^comment = ##334#True; False##334#</v>
      </c>
      <c r="M22"/>
    </row>
    <row r="23" spans="1:13" ht="19.899999999999999" customHeight="1">
      <c r="A23" s="101">
        <v>15</v>
      </c>
      <c r="B23" s="57" t="s">
        <v>1650</v>
      </c>
      <c r="C23" s="11" t="s">
        <v>1640</v>
      </c>
      <c r="D23" s="12" t="s">
        <v>1641</v>
      </c>
      <c r="E23" s="11">
        <v>0</v>
      </c>
      <c r="F23" s="11">
        <v>1</v>
      </c>
      <c r="G23" s="57" t="s">
        <v>157</v>
      </c>
      <c r="H23" s="12" t="s">
        <v>1932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1">
        <v>16</v>
      </c>
      <c r="B24" s="57" t="s">
        <v>1642</v>
      </c>
      <c r="C24" s="11" t="s">
        <v>1642</v>
      </c>
      <c r="D24" s="12" t="s">
        <v>1643</v>
      </c>
      <c r="E24" s="11">
        <v>0</v>
      </c>
      <c r="F24" s="11">
        <v>1</v>
      </c>
      <c r="G24" s="57" t="s">
        <v>157</v>
      </c>
      <c r="H24" s="12" t="s">
        <v>1932</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2120</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1953</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2111</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2111</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2113</v>
      </c>
      <c r="E16" s="12"/>
      <c r="F16" s="64" t="s">
        <v>1407</v>
      </c>
      <c r="G16" s="124" t="s">
        <v>2127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2114</v>
      </c>
      <c r="E17" s="12"/>
      <c r="F17" s="153" t="s">
        <v>1407</v>
      </c>
      <c r="G17" s="124" t="s">
        <v>2127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2115</v>
      </c>
      <c r="E19" s="12"/>
      <c r="F19" s="64" t="s">
        <v>1430</v>
      </c>
      <c r="G19" s="124" t="s">
        <v>2127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2116</v>
      </c>
      <c r="E20" s="12"/>
      <c r="F20" s="64" t="s">
        <v>1429</v>
      </c>
      <c r="G20" s="124" t="s">
        <v>2127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2117</v>
      </c>
      <c r="E21" s="12"/>
      <c r="F21" s="64" t="s">
        <v>1407</v>
      </c>
      <c r="G21" s="124" t="s">
        <v>2128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2123</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2123</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2124</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2124</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2125</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2125</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2126</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7"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1765</v>
      </c>
      <c r="B1" s="100" t="s">
        <v>1764</v>
      </c>
      <c r="C1" s="100" t="s">
        <v>1763</v>
      </c>
      <c r="D1" s="144" t="s">
        <v>4</v>
      </c>
      <c r="E1" s="100" t="s">
        <v>7</v>
      </c>
      <c r="F1" s="100" t="s">
        <v>1469</v>
      </c>
      <c r="G1" s="100" t="s">
        <v>1762</v>
      </c>
      <c r="H1" s="100" t="s">
        <v>5</v>
      </c>
      <c r="I1" s="100" t="s">
        <v>6</v>
      </c>
    </row>
    <row r="2" spans="1:9">
      <c r="A2">
        <v>0</v>
      </c>
      <c r="B2" t="s">
        <v>1954</v>
      </c>
      <c r="C2" t="s">
        <v>1909</v>
      </c>
      <c r="D2" s="2" t="s">
        <v>1910</v>
      </c>
      <c r="E2" t="s">
        <v>1759</v>
      </c>
      <c r="H2">
        <v>1</v>
      </c>
      <c r="I2">
        <v>1</v>
      </c>
    </row>
    <row r="3" spans="1:9">
      <c r="A3">
        <v>1</v>
      </c>
      <c r="B3" t="s">
        <v>1955</v>
      </c>
      <c r="C3" t="s">
        <v>1956</v>
      </c>
      <c r="D3" s="2" t="s">
        <v>1957</v>
      </c>
      <c r="E3" t="s">
        <v>275</v>
      </c>
      <c r="F3" t="s">
        <v>1958</v>
      </c>
      <c r="G3" t="s">
        <v>1959</v>
      </c>
      <c r="H3">
        <v>0</v>
      </c>
      <c r="I3">
        <v>1</v>
      </c>
    </row>
    <row r="4" spans="1:9">
      <c r="A4">
        <v>2</v>
      </c>
      <c r="B4" t="s">
        <v>1960</v>
      </c>
      <c r="C4" t="s">
        <v>1961</v>
      </c>
      <c r="D4" s="2" t="s">
        <v>1962</v>
      </c>
      <c r="E4" t="s">
        <v>275</v>
      </c>
      <c r="F4" t="s">
        <v>1963</v>
      </c>
      <c r="G4" t="s">
        <v>1964</v>
      </c>
      <c r="H4">
        <v>0</v>
      </c>
      <c r="I4">
        <v>1</v>
      </c>
    </row>
    <row r="5" spans="1:9">
      <c r="A5">
        <v>3</v>
      </c>
      <c r="B5" t="s">
        <v>1965</v>
      </c>
      <c r="C5" t="s">
        <v>1966</v>
      </c>
      <c r="D5" s="2" t="s">
        <v>1967</v>
      </c>
      <c r="E5" t="s">
        <v>275</v>
      </c>
      <c r="F5" t="s">
        <v>1968</v>
      </c>
      <c r="G5" t="s">
        <v>1969</v>
      </c>
      <c r="H5">
        <v>0</v>
      </c>
      <c r="I5">
        <v>1</v>
      </c>
    </row>
    <row r="6" spans="1:9" ht="29.5">
      <c r="A6">
        <v>4</v>
      </c>
      <c r="B6" t="s">
        <v>1970</v>
      </c>
      <c r="C6" t="s">
        <v>1971</v>
      </c>
      <c r="D6" s="2" t="s">
        <v>1972</v>
      </c>
      <c r="E6" t="s">
        <v>1754</v>
      </c>
      <c r="F6" t="s">
        <v>1973</v>
      </c>
      <c r="G6" t="s">
        <v>1974</v>
      </c>
      <c r="H6">
        <v>0</v>
      </c>
      <c r="I6">
        <v>1</v>
      </c>
    </row>
    <row r="7" spans="1:9" ht="44.25">
      <c r="A7">
        <v>5</v>
      </c>
      <c r="B7" t="s">
        <v>1975</v>
      </c>
      <c r="C7" t="s">
        <v>1976</v>
      </c>
      <c r="D7" s="2" t="s">
        <v>1977</v>
      </c>
      <c r="E7" t="s">
        <v>1754</v>
      </c>
      <c r="F7" t="s">
        <v>1978</v>
      </c>
      <c r="G7" t="s">
        <v>1979</v>
      </c>
      <c r="H7">
        <v>0</v>
      </c>
      <c r="I7">
        <v>1</v>
      </c>
    </row>
    <row r="8" spans="1:9" ht="29.5">
      <c r="A8">
        <v>6</v>
      </c>
      <c r="B8" t="s">
        <v>1980</v>
      </c>
      <c r="C8" t="s">
        <v>1981</v>
      </c>
      <c r="D8" s="2" t="s">
        <v>1646</v>
      </c>
      <c r="E8" t="s">
        <v>1754</v>
      </c>
      <c r="F8" t="s">
        <v>1982</v>
      </c>
      <c r="G8" t="s">
        <v>1983</v>
      </c>
      <c r="H8">
        <v>1</v>
      </c>
      <c r="I8">
        <v>1</v>
      </c>
    </row>
    <row r="9" spans="1:9">
      <c r="A9">
        <v>7</v>
      </c>
      <c r="B9" t="s">
        <v>1984</v>
      </c>
      <c r="C9" t="s">
        <v>1645</v>
      </c>
      <c r="D9" s="2" t="s">
        <v>1985</v>
      </c>
      <c r="E9" t="s">
        <v>1754</v>
      </c>
      <c r="F9" t="s">
        <v>1982</v>
      </c>
      <c r="G9" t="s">
        <v>1983</v>
      </c>
      <c r="H9">
        <v>0</v>
      </c>
      <c r="I9">
        <v>1</v>
      </c>
    </row>
    <row r="10" spans="1:9">
      <c r="A10">
        <v>8</v>
      </c>
      <c r="B10" t="s">
        <v>1986</v>
      </c>
      <c r="C10" t="s">
        <v>1987</v>
      </c>
      <c r="D10" s="2" t="s">
        <v>1988</v>
      </c>
      <c r="E10" t="s">
        <v>275</v>
      </c>
      <c r="F10" t="s">
        <v>1989</v>
      </c>
      <c r="G10" t="s">
        <v>1990</v>
      </c>
      <c r="H10">
        <v>1</v>
      </c>
      <c r="I10">
        <v>1</v>
      </c>
    </row>
    <row r="11" spans="1:9">
      <c r="A11">
        <v>9</v>
      </c>
      <c r="B11" t="s">
        <v>1991</v>
      </c>
      <c r="C11" t="s">
        <v>1622</v>
      </c>
      <c r="D11" s="2" t="s">
        <v>1623</v>
      </c>
      <c r="E11" t="s">
        <v>275</v>
      </c>
      <c r="F11" t="s">
        <v>1929</v>
      </c>
      <c r="H11">
        <v>1</v>
      </c>
      <c r="I11">
        <v>1</v>
      </c>
    </row>
    <row r="12" spans="1:9">
      <c r="A12">
        <v>10</v>
      </c>
      <c r="B12" t="s">
        <v>1992</v>
      </c>
      <c r="C12" t="s">
        <v>1993</v>
      </c>
      <c r="D12" s="2" t="s">
        <v>1625</v>
      </c>
      <c r="E12" t="s">
        <v>1606</v>
      </c>
      <c r="F12" t="s">
        <v>1932</v>
      </c>
      <c r="H12">
        <v>0</v>
      </c>
      <c r="I12">
        <v>1</v>
      </c>
    </row>
    <row r="13" spans="1:9">
      <c r="A13">
        <v>11</v>
      </c>
      <c r="B13" t="s">
        <v>1994</v>
      </c>
      <c r="C13" t="s">
        <v>1626</v>
      </c>
      <c r="D13" s="2" t="s">
        <v>1627</v>
      </c>
      <c r="E13" t="s">
        <v>1606</v>
      </c>
      <c r="F13" t="s">
        <v>1932</v>
      </c>
      <c r="H13">
        <v>0</v>
      </c>
      <c r="I13">
        <v>1</v>
      </c>
    </row>
    <row r="14" spans="1:9">
      <c r="A14">
        <v>12</v>
      </c>
      <c r="B14" t="s">
        <v>1995</v>
      </c>
      <c r="C14" t="s">
        <v>1628</v>
      </c>
      <c r="D14" s="2" t="s">
        <v>1629</v>
      </c>
      <c r="E14" t="s">
        <v>1606</v>
      </c>
      <c r="F14" t="s">
        <v>1932</v>
      </c>
      <c r="H14">
        <v>0</v>
      </c>
      <c r="I14">
        <v>1</v>
      </c>
    </row>
    <row r="15" spans="1:9">
      <c r="A15">
        <v>13</v>
      </c>
      <c r="B15" t="s">
        <v>1996</v>
      </c>
      <c r="C15" t="s">
        <v>1630</v>
      </c>
      <c r="D15" s="2" t="s">
        <v>1631</v>
      </c>
      <c r="E15" t="s">
        <v>1606</v>
      </c>
      <c r="F15" t="s">
        <v>1932</v>
      </c>
      <c r="H15">
        <v>0</v>
      </c>
      <c r="I15">
        <v>1</v>
      </c>
    </row>
    <row r="16" spans="1:9">
      <c r="A16">
        <v>14</v>
      </c>
      <c r="B16" t="s">
        <v>1997</v>
      </c>
      <c r="C16" t="s">
        <v>1632</v>
      </c>
      <c r="D16" s="2" t="s">
        <v>1633</v>
      </c>
      <c r="E16" t="s">
        <v>1606</v>
      </c>
      <c r="F16" t="s">
        <v>1932</v>
      </c>
      <c r="H16">
        <v>0</v>
      </c>
      <c r="I16">
        <v>1</v>
      </c>
    </row>
    <row r="17" spans="1:9">
      <c r="A17">
        <v>15</v>
      </c>
      <c r="B17" t="s">
        <v>1998</v>
      </c>
      <c r="C17" t="s">
        <v>1634</v>
      </c>
      <c r="D17" s="2" t="s">
        <v>1635</v>
      </c>
      <c r="E17" t="s">
        <v>1606</v>
      </c>
      <c r="F17" t="s">
        <v>1932</v>
      </c>
      <c r="H17">
        <v>0</v>
      </c>
      <c r="I17">
        <v>1</v>
      </c>
    </row>
    <row r="18" spans="1:9">
      <c r="A18">
        <v>16</v>
      </c>
      <c r="B18" t="s">
        <v>1999</v>
      </c>
      <c r="C18" t="s">
        <v>1636</v>
      </c>
      <c r="D18" s="2" t="s">
        <v>1637</v>
      </c>
      <c r="E18" t="s">
        <v>1606</v>
      </c>
      <c r="F18" t="s">
        <v>1932</v>
      </c>
      <c r="H18">
        <v>0</v>
      </c>
      <c r="I18">
        <v>1</v>
      </c>
    </row>
    <row r="19" spans="1:9">
      <c r="A19">
        <v>17</v>
      </c>
      <c r="B19" t="s">
        <v>2000</v>
      </c>
      <c r="C19" t="s">
        <v>1638</v>
      </c>
      <c r="D19" s="2" t="s">
        <v>1639</v>
      </c>
      <c r="E19" t="s">
        <v>1606</v>
      </c>
      <c r="F19" t="s">
        <v>1932</v>
      </c>
      <c r="H19">
        <v>0</v>
      </c>
      <c r="I19">
        <v>1</v>
      </c>
    </row>
    <row r="20" spans="1:9">
      <c r="A20">
        <v>18</v>
      </c>
      <c r="B20" t="s">
        <v>2001</v>
      </c>
      <c r="C20" t="s">
        <v>1640</v>
      </c>
      <c r="D20" s="2" t="s">
        <v>1641</v>
      </c>
      <c r="E20" t="s">
        <v>1606</v>
      </c>
      <c r="F20" t="s">
        <v>1932</v>
      </c>
      <c r="H20">
        <v>0</v>
      </c>
      <c r="I20">
        <v>1</v>
      </c>
    </row>
    <row r="21" spans="1:9">
      <c r="A21">
        <v>19</v>
      </c>
      <c r="B21" t="s">
        <v>2002</v>
      </c>
      <c r="C21" t="s">
        <v>1642</v>
      </c>
      <c r="D21" s="2" t="s">
        <v>1643</v>
      </c>
      <c r="E21" t="s">
        <v>1606</v>
      </c>
      <c r="F21" t="s">
        <v>1932</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Normal="100" workbookViewId="0">
      <selection activeCell="B10" sqref="B10"/>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2010</v>
      </c>
      <c r="J4" s="16" t="str">
        <f>CONCATENATE("Logical: ",B4)</f>
        <v>Logical: PathologicalStage</v>
      </c>
    </row>
    <row r="5" spans="1:12" ht="19.899999999999999" customHeight="1">
      <c r="A5" s="14" t="s">
        <v>16</v>
      </c>
      <c r="B5" s="46" t="s">
        <v>2010</v>
      </c>
      <c r="J5" s="16" t="str">
        <f>CONCATENATE("Id: ",B5)</f>
        <v>Id: PathologicalStage</v>
      </c>
    </row>
    <row r="6" spans="1:12" ht="19.899999999999999" customHeight="1">
      <c r="A6" s="14" t="s">
        <v>10</v>
      </c>
      <c r="B6" s="47" t="s">
        <v>2011</v>
      </c>
      <c r="J6" s="17" t="str">
        <f>CONCATENATE("Title: ##34#",B6,"##34#")</f>
        <v>Title: ##34#Pathological Stage##34#</v>
      </c>
    </row>
    <row r="7" spans="1:12" ht="19.899999999999999" customHeight="1">
      <c r="A7" s="26" t="s">
        <v>2</v>
      </c>
      <c r="B7" s="104" t="s">
        <v>2010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2012</v>
      </c>
      <c r="C8" s="11" t="s">
        <v>1909</v>
      </c>
      <c r="D8" s="11" t="s">
        <v>1910</v>
      </c>
      <c r="E8" s="11">
        <v>1</v>
      </c>
      <c r="F8" s="11">
        <v>1</v>
      </c>
      <c r="G8" s="57" t="s">
        <v>2089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1956</v>
      </c>
      <c r="C9" s="11" t="s">
        <v>1956</v>
      </c>
      <c r="D9" s="11" t="s">
        <v>1957</v>
      </c>
      <c r="E9" s="11">
        <v>0</v>
      </c>
      <c r="F9" s="11">
        <v>1</v>
      </c>
      <c r="G9" s="57" t="s">
        <v>1786</v>
      </c>
      <c r="H9" s="12" t="s">
        <v>2003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1961</v>
      </c>
      <c r="C10" s="11" t="s">
        <v>1961</v>
      </c>
      <c r="D10" s="11" t="s">
        <v>1962</v>
      </c>
      <c r="E10" s="11">
        <v>0</v>
      </c>
      <c r="F10" s="11">
        <v>1</v>
      </c>
      <c r="G10" s="57" t="s">
        <v>1786</v>
      </c>
      <c r="H10" s="12" t="s">
        <v>2004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1966</v>
      </c>
      <c r="C11" s="11" t="s">
        <v>1966</v>
      </c>
      <c r="D11" s="11" t="s">
        <v>1967</v>
      </c>
      <c r="E11" s="11">
        <v>0</v>
      </c>
      <c r="F11" s="11">
        <v>1</v>
      </c>
      <c r="G11" s="57" t="s">
        <v>1786</v>
      </c>
      <c r="H11" s="12" t="s">
        <v>2005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2016</v>
      </c>
      <c r="C12" s="11" t="s">
        <v>1971</v>
      </c>
      <c r="D12" s="11" t="s">
        <v>1972</v>
      </c>
      <c r="E12" s="11">
        <v>0</v>
      </c>
      <c r="F12" s="11">
        <v>1</v>
      </c>
      <c r="G12" s="57" t="s">
        <v>1786</v>
      </c>
      <c r="H12" s="12" t="s">
        <v>2006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2013</v>
      </c>
      <c r="C13" s="11" t="s">
        <v>1976</v>
      </c>
      <c r="D13" s="12" t="s">
        <v>1977</v>
      </c>
      <c r="E13" s="11">
        <v>0</v>
      </c>
      <c r="F13" s="11">
        <v>1</v>
      </c>
      <c r="G13" s="57" t="s">
        <v>1786</v>
      </c>
      <c r="H13" s="12" t="s">
        <v>2007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2014</v>
      </c>
      <c r="C14" s="11" t="s">
        <v>1981</v>
      </c>
      <c r="D14" s="12" t="s">
        <v>1646</v>
      </c>
      <c r="E14" s="11">
        <v>1</v>
      </c>
      <c r="F14" s="11">
        <v>1</v>
      </c>
      <c r="G14" s="57" t="s">
        <v>1786</v>
      </c>
      <c r="H14" s="12" t="s">
        <v>2008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1985</v>
      </c>
      <c r="E15" s="11">
        <v>0</v>
      </c>
      <c r="F15" s="11">
        <v>1</v>
      </c>
      <c r="G15" s="57" t="s">
        <v>1786</v>
      </c>
      <c r="H15" s="12" t="s">
        <v>2008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2015</v>
      </c>
      <c r="C16" s="11" t="s">
        <v>1987</v>
      </c>
      <c r="D16" s="12" t="s">
        <v>1988</v>
      </c>
      <c r="E16" s="11">
        <v>1</v>
      </c>
      <c r="F16" s="11">
        <v>1</v>
      </c>
      <c r="G16" s="57" t="s">
        <v>1786</v>
      </c>
      <c r="H16" s="12" t="s">
        <v>2009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1929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1993</v>
      </c>
      <c r="D18" s="11" t="s">
        <v>1625</v>
      </c>
      <c r="E18" s="11">
        <v>0</v>
      </c>
      <c r="F18" s="11">
        <v>1</v>
      </c>
      <c r="G18" s="57" t="s">
        <v>157</v>
      </c>
      <c r="H18" s="12" t="s">
        <v>1932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1">
        <v>0</v>
      </c>
      <c r="F20" s="11">
        <v>1</v>
      </c>
      <c r="G20" s="57" t="s">
        <v>157</v>
      </c>
      <c r="H20" s="12" t="s">
        <v>1932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1">
        <v>0</v>
      </c>
      <c r="F21" s="11">
        <v>1</v>
      </c>
      <c r="G21" s="57" t="s">
        <v>157</v>
      </c>
      <c r="H21" s="12" t="s">
        <v>1932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1">
        <v>0</v>
      </c>
      <c r="F22" s="11">
        <v>1</v>
      </c>
      <c r="G22" s="57" t="s">
        <v>157</v>
      </c>
      <c r="H22" s="12" t="s">
        <v>1932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1">
        <v>0</v>
      </c>
      <c r="F23" s="11">
        <v>1</v>
      </c>
      <c r="G23" s="57" t="s">
        <v>157</v>
      </c>
      <c r="H23" s="12" t="s">
        <v>1932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1">
        <v>0</v>
      </c>
      <c r="F24" s="11">
        <v>1</v>
      </c>
      <c r="G24" s="57" t="s">
        <v>157</v>
      </c>
      <c r="H24" s="12" t="s">
        <v>1932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t="s">
        <v>1638</v>
      </c>
      <c r="C25" t="s">
        <v>1638</v>
      </c>
      <c r="D25" s="2" t="s">
        <v>1639</v>
      </c>
      <c r="E25">
        <v>0</v>
      </c>
      <c r="F25">
        <v>1</v>
      </c>
      <c r="G25" s="57" t="s">
        <v>157</v>
      </c>
      <c r="H25" s="2" t="s">
        <v>1932</v>
      </c>
      <c r="J25" s="12" t="str">
        <f t="shared" si="0"/>
        <v>* brain 0..1 boolean ##34#brain##34# ##334#Describes if site of metastasic disease  is brain##334#</v>
      </c>
      <c r="L25" s="12" t="str">
        <f t="shared" si="1"/>
        <v>* brain ^comment = ##334#True; False##334#</v>
      </c>
      <c r="M25"/>
    </row>
    <row r="26" spans="1:13" ht="19.899999999999999" customHeight="1">
      <c r="A26" s="101">
        <v>18</v>
      </c>
      <c r="B26" t="s">
        <v>1650</v>
      </c>
      <c r="C26" t="s">
        <v>1640</v>
      </c>
      <c r="D26" s="2" t="s">
        <v>1641</v>
      </c>
      <c r="E26">
        <v>0</v>
      </c>
      <c r="F26">
        <v>1</v>
      </c>
      <c r="G26" s="57" t="s">
        <v>157</v>
      </c>
      <c r="H26" s="2" t="s">
        <v>1932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2" t="s">
        <v>1642</v>
      </c>
      <c r="C27" s="2" t="s">
        <v>1642</v>
      </c>
      <c r="D27" t="s">
        <v>1643</v>
      </c>
      <c r="E27">
        <v>0</v>
      </c>
      <c r="F27">
        <v>1</v>
      </c>
      <c r="G27" s="57" t="s">
        <v>157</v>
      </c>
      <c r="H27" s="2" t="s">
        <v>1932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2120</v>
      </c>
    </row>
  </sheetData>
  <pageMargins left="0.7" right="0.7" top="0.75" bottom="0.75" header="0.3" footer="0.3"/>
  <pageSetup paperSize="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2018</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2132</v>
      </c>
      <c r="D4" s="62" t="s">
        <v>1792</v>
      </c>
      <c r="E4" s="165" t="s">
        <v>2111</v>
      </c>
      <c r="F4" s="166"/>
      <c r="G4" s="166"/>
    </row>
    <row r="5" spans="1:19">
      <c r="B5" s="62" t="s">
        <v>10</v>
      </c>
      <c r="C5" s="7" t="s">
        <v>2130</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2111</v>
      </c>
      <c r="F7" s="166"/>
      <c r="G7" s="166"/>
    </row>
    <row r="8" spans="1:19" ht="44.25">
      <c r="B8" s="62" t="s">
        <v>1795</v>
      </c>
      <c r="C8" s="120" t="s">
        <v>2130</v>
      </c>
      <c r="D8" s="62"/>
      <c r="E8" s="7"/>
      <c r="I8" s="12" t="s">
        <v>1402</v>
      </c>
      <c r="J8" s="12" t="s">
        <v>1403</v>
      </c>
      <c r="K8" s="12" t="s">
        <v>1404</v>
      </c>
      <c r="L8" s="12" t="s">
        <v>1405</v>
      </c>
      <c r="M8" s="11" t="s">
        <v>1406</v>
      </c>
      <c r="P8" s="49" t="s">
        <v>1441</v>
      </c>
      <c r="Q8" s="49">
        <v>6</v>
      </c>
    </row>
    <row r="9" spans="1:19" ht="29.5">
      <c r="B9" s="62" t="s">
        <v>1796</v>
      </c>
      <c r="C9" s="12" t="s">
        <v>2131</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2112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2113</v>
      </c>
      <c r="E16" s="12"/>
      <c r="F16" s="64" t="s">
        <v>1407</v>
      </c>
      <c r="G16" s="124" t="s">
        <v>2118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2114</v>
      </c>
      <c r="E17" s="12"/>
      <c r="F17" s="153" t="s">
        <v>1407</v>
      </c>
      <c r="G17" s="124" t="s">
        <v>2118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2115</v>
      </c>
      <c r="E18" s="12"/>
      <c r="F18" s="64" t="s">
        <v>1430</v>
      </c>
      <c r="G18" s="124" t="s">
        <v>2118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2334</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2334</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2334</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2334</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2116</v>
      </c>
      <c r="E23" s="12"/>
      <c r="F23" s="64" t="s">
        <v>1407</v>
      </c>
      <c r="G23" s="124" t="s">
        <v>2118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2117</v>
      </c>
      <c r="E24" s="12"/>
      <c r="F24" s="64" t="s">
        <v>1407</v>
      </c>
      <c r="G24" s="124" t="s">
        <v>2119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2121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2121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2121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2121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2121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2121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2121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2121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2121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2121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2129</v>
      </c>
      <c r="D4" s="62" t="s">
        <v>1792</v>
      </c>
      <c r="E4" s="165" t="s">
        <v>2123</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2123</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t="s">
        <v>2118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2124</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2124</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2116</v>
      </c>
      <c r="E15" s="12"/>
      <c r="F15" s="64" t="s">
        <v>1407</v>
      </c>
      <c r="G15" s="124" t="s">
        <v>2118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53"/>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53"/>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5" t="s">
        <v>2125</v>
      </c>
      <c r="F4" s="166"/>
      <c r="G4" s="166"/>
    </row>
    <row r="5" spans="1:19">
      <c r="B5" s="62" t="s">
        <v>10</v>
      </c>
      <c r="C5" s="7" t="s">
        <v>2106</v>
      </c>
      <c r="D5" s="62"/>
      <c r="E5" s="7"/>
    </row>
    <row r="6" spans="1:19">
      <c r="B6" s="62" t="s">
        <v>18</v>
      </c>
      <c r="C6" s="56"/>
      <c r="D6" s="62" t="s">
        <v>1793</v>
      </c>
      <c r="E6" s="165" t="str">
        <f>E3</f>
        <v>http://hl7.eu/fhir/ig/idea4rc/StructureDefinition/ClinicalStage</v>
      </c>
      <c r="F6" s="166"/>
      <c r="G6" s="166"/>
    </row>
    <row r="7" spans="1:19">
      <c r="B7" s="62" t="s">
        <v>15</v>
      </c>
      <c r="C7" s="119"/>
      <c r="D7" s="62" t="s">
        <v>1794</v>
      </c>
      <c r="E7" s="165" t="s">
        <v>2125</v>
      </c>
      <c r="F7" s="166"/>
      <c r="G7" s="166"/>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2116</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2133</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4" zoomScaleNormal="100" workbookViewId="0">
      <selection activeCell="D32" sqref="D3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2134</v>
      </c>
      <c r="J4" s="16" t="str">
        <f>CONCATENATE("Logical: ",B4)</f>
        <v>Logical: SystemicTreatment</v>
      </c>
    </row>
    <row r="5" spans="1:12" ht="15.5" thickBot="1">
      <c r="A5" s="14" t="s">
        <v>16</v>
      </c>
      <c r="B5" s="45" t="s">
        <v>2134</v>
      </c>
      <c r="J5" s="16" t="str">
        <f>CONCATENATE("Id: ",B5)</f>
        <v>Id: SystemicTreatment</v>
      </c>
    </row>
    <row r="6" spans="1:12" ht="15.5" thickBot="1">
      <c r="A6" s="14" t="s">
        <v>10</v>
      </c>
      <c r="B6" s="45" t="s">
        <v>2135</v>
      </c>
      <c r="J6" s="17" t="str">
        <f>CONCATENATE("Title: ##34#",B6,"##34#")</f>
        <v>Title: ##34#Systemic Treatment##34#</v>
      </c>
    </row>
    <row r="7" spans="1:12">
      <c r="A7" s="26" t="s">
        <v>2</v>
      </c>
      <c r="B7" s="45" t="s">
        <v>2135</v>
      </c>
      <c r="C7" s="9" t="s">
        <v>3</v>
      </c>
      <c r="D7" s="1" t="s">
        <v>4</v>
      </c>
      <c r="E7" s="3" t="s">
        <v>5</v>
      </c>
      <c r="F7" s="3" t="s">
        <v>6</v>
      </c>
      <c r="G7" s="3" t="s">
        <v>7</v>
      </c>
      <c r="H7" s="105" t="s">
        <v>1610</v>
      </c>
      <c r="J7" s="17" t="str">
        <f>CONCATENATE("Description: "," ##334#",B7,"##334#",)</f>
        <v>Description:  ##334#Systemic Treatment##334#</v>
      </c>
    </row>
    <row r="8" spans="1:12" ht="59">
      <c r="A8" s="100">
        <v>0</v>
      </c>
      <c r="B8" s="12" t="s">
        <v>2012</v>
      </c>
      <c r="C8" s="12" t="s">
        <v>2136</v>
      </c>
      <c r="D8" s="12" t="s">
        <v>1910</v>
      </c>
      <c r="E8" s="11">
        <v>1</v>
      </c>
      <c r="F8" s="11">
        <v>1</v>
      </c>
      <c r="G8" s="57" t="s">
        <v>2089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2137</v>
      </c>
      <c r="C9" s="12" t="s">
        <v>2138</v>
      </c>
      <c r="D9" s="12" t="s">
        <v>2139</v>
      </c>
      <c r="E9" s="11">
        <v>1</v>
      </c>
      <c r="F9" s="11">
        <v>1</v>
      </c>
      <c r="G9" s="11" t="s">
        <v>1786</v>
      </c>
      <c r="H9" s="12" t="s">
        <v>2140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2141</v>
      </c>
      <c r="E10" s="11">
        <v>1</v>
      </c>
      <c r="F10" s="11">
        <v>1</v>
      </c>
      <c r="G10" s="12" t="s">
        <v>1786</v>
      </c>
      <c r="H10" s="12" t="s">
        <v>2142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2143</v>
      </c>
      <c r="D11" s="12" t="s">
        <v>2144</v>
      </c>
      <c r="E11" s="11">
        <v>1</v>
      </c>
      <c r="F11" s="11">
        <v>1</v>
      </c>
      <c r="G11" s="12" t="s">
        <v>1786</v>
      </c>
      <c r="H11" s="12" t="s">
        <v>2145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2146</v>
      </c>
      <c r="D14" s="12" t="s">
        <v>2147</v>
      </c>
      <c r="E14" s="11">
        <v>0</v>
      </c>
      <c r="F14" s="12">
        <v>1</v>
      </c>
      <c r="G14" s="156" t="s">
        <v>2306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2288</v>
      </c>
      <c r="C16" s="12" t="s">
        <v>1660</v>
      </c>
      <c r="D16" s="13" t="s">
        <v>1660</v>
      </c>
      <c r="E16" s="11">
        <v>1</v>
      </c>
      <c r="F16" s="11">
        <v>1</v>
      </c>
      <c r="G16" s="11" t="s">
        <v>1786</v>
      </c>
      <c r="H16" s="12" t="s">
        <v>2148</v>
      </c>
      <c r="I16" s="25"/>
      <c r="J16" s="12" t="str">
        <f t="shared" si="0"/>
        <v>* regimen.drugs1 1..1 CodeableConcept ##34#Drugs 1##34# ##334#Drugs 1##334#</v>
      </c>
      <c r="L16" s="12" t="str">
        <f t="shared" si="1"/>
        <v>* regimen.drugs1 ^comment = ##334#ATC list
Athena vocabulary 
ATC##334#</v>
      </c>
    </row>
    <row r="17" spans="1:13" ht="44.25">
      <c r="A17" s="101">
        <v>9</v>
      </c>
      <c r="B17" s="13" t="s">
        <v>2289</v>
      </c>
      <c r="C17" s="12" t="s">
        <v>1661</v>
      </c>
      <c r="D17" s="13" t="s">
        <v>1661</v>
      </c>
      <c r="E17" s="11">
        <v>1</v>
      </c>
      <c r="F17" s="11">
        <v>1</v>
      </c>
      <c r="G17" s="11" t="s">
        <v>1786</v>
      </c>
      <c r="H17" s="12" t="s">
        <v>2148</v>
      </c>
      <c r="I17" s="25"/>
      <c r="J17" s="12" t="str">
        <f t="shared" si="0"/>
        <v>* regimen.drugs2 1..1 CodeableConcept ##34#Drugs 2##34# ##334#Drugs 2##334#</v>
      </c>
      <c r="L17" s="12" t="str">
        <f t="shared" si="1"/>
        <v>* regimen.drugs2 ^comment = ##334#ATC list
Athena vocabulary 
ATC##334#</v>
      </c>
    </row>
    <row r="18" spans="1:13" ht="44.25">
      <c r="A18" s="101">
        <v>10</v>
      </c>
      <c r="B18" s="13" t="s">
        <v>2290</v>
      </c>
      <c r="C18" s="12" t="s">
        <v>1662</v>
      </c>
      <c r="D18" s="13" t="s">
        <v>1662</v>
      </c>
      <c r="E18" s="11">
        <v>1</v>
      </c>
      <c r="F18" s="11">
        <v>1</v>
      </c>
      <c r="G18" s="11" t="s">
        <v>1786</v>
      </c>
      <c r="H18" s="12" t="s">
        <v>2148</v>
      </c>
      <c r="J18" s="12" t="str">
        <f t="shared" si="0"/>
        <v>* regimen.drugs3 1..1 CodeableConcept ##34#Drugs 3##34# ##334#Drugs 3##334#</v>
      </c>
      <c r="L18" s="12" t="str">
        <f t="shared" si="1"/>
        <v>* regimen.drugs3 ^comment = ##334#ATC list
Athena vocabulary 
ATC##334#</v>
      </c>
    </row>
    <row r="19" spans="1:13" ht="44.25">
      <c r="A19" s="100">
        <v>11</v>
      </c>
      <c r="B19" s="13" t="s">
        <v>2291</v>
      </c>
      <c r="C19" s="12" t="s">
        <v>1665</v>
      </c>
      <c r="D19" s="12" t="s">
        <v>2149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2292</v>
      </c>
      <c r="C20" s="12" t="s">
        <v>1666</v>
      </c>
      <c r="D20" s="12" t="s">
        <v>2150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2151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2152</v>
      </c>
      <c r="D22" s="12" t="s">
        <v>2153</v>
      </c>
      <c r="E22" s="11">
        <v>1</v>
      </c>
      <c r="F22" s="11">
        <v>1</v>
      </c>
      <c r="G22" s="11" t="s">
        <v>1786</v>
      </c>
      <c r="H22" s="12" t="s">
        <v>2154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2155</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topLeftCell="A14" zoomScaleNormal="100" workbookViewId="0">
      <selection activeCell="A14" sqref="A1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2157</v>
      </c>
      <c r="J4" s="16" t="str">
        <f>CONCATENATE("Logical: ",B4)</f>
        <v>Logical: Surgery</v>
      </c>
    </row>
    <row r="5" spans="1:12" ht="15.5" thickBot="1">
      <c r="A5" s="14" t="s">
        <v>16</v>
      </c>
      <c r="B5" s="45" t="s">
        <v>2157</v>
      </c>
      <c r="J5" s="16" t="str">
        <f>CONCATENATE("Id: ",B5)</f>
        <v>Id: Surgery</v>
      </c>
    </row>
    <row r="6" spans="1:12" ht="15.5" thickBot="1">
      <c r="A6" s="14" t="s">
        <v>10</v>
      </c>
      <c r="B6" s="45" t="s">
        <v>2157</v>
      </c>
      <c r="J6" s="17" t="str">
        <f>CONCATENATE("Title: ##34#",B6,"##34#")</f>
        <v>Title: ##34#Surgery##34#</v>
      </c>
    </row>
    <row r="7" spans="1:12">
      <c r="A7" s="26" t="s">
        <v>2</v>
      </c>
      <c r="B7" s="157" t="s">
        <v>2157</v>
      </c>
      <c r="C7" s="9" t="s">
        <v>3</v>
      </c>
      <c r="D7" s="1" t="s">
        <v>4</v>
      </c>
      <c r="E7" s="3" t="s">
        <v>5</v>
      </c>
      <c r="F7" s="3" t="s">
        <v>6</v>
      </c>
      <c r="G7" s="3" t="s">
        <v>7</v>
      </c>
      <c r="H7" s="105" t="s">
        <v>1610</v>
      </c>
      <c r="J7" s="17" t="str">
        <f>CONCATENATE("Description: "," ##334#",B7,"##334#",)</f>
        <v>Description:  ##334#Surgery##334#</v>
      </c>
    </row>
    <row r="8" spans="1:12" ht="59">
      <c r="A8" s="100">
        <v>0</v>
      </c>
      <c r="B8" s="11" t="s">
        <v>2012</v>
      </c>
      <c r="C8" s="11" t="s">
        <v>2136</v>
      </c>
      <c r="D8" s="11" t="s">
        <v>1910</v>
      </c>
      <c r="E8" s="11">
        <v>1</v>
      </c>
      <c r="F8" s="11">
        <v>1</v>
      </c>
      <c r="G8" s="57" t="s">
        <v>2089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2158</v>
      </c>
      <c r="C9" s="11" t="s">
        <v>2157</v>
      </c>
      <c r="D9" s="11" t="s">
        <v>2159</v>
      </c>
      <c r="E9" s="11">
        <v>1</v>
      </c>
      <c r="F9" s="11">
        <v>1</v>
      </c>
      <c r="G9" s="11" t="s">
        <v>1786</v>
      </c>
      <c r="H9" s="12" t="s">
        <v>2160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2161</v>
      </c>
      <c r="C10" s="11" t="s">
        <v>2162</v>
      </c>
      <c r="D10" s="11" t="s">
        <v>2163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2164</v>
      </c>
      <c r="C11" s="11" t="s">
        <v>2165</v>
      </c>
      <c r="D11" s="11" t="s">
        <v>2166</v>
      </c>
      <c r="E11" s="11">
        <v>1</v>
      </c>
      <c r="F11" s="11">
        <v>1</v>
      </c>
      <c r="G11" s="11" t="s">
        <v>1786</v>
      </c>
      <c r="H11" s="12" t="s">
        <v>2167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2168</v>
      </c>
      <c r="C12" s="11" t="s">
        <v>2169</v>
      </c>
      <c r="D12" s="11" t="s">
        <v>2170</v>
      </c>
      <c r="E12" s="11">
        <v>1</v>
      </c>
      <c r="F12" s="11">
        <v>1</v>
      </c>
      <c r="G12" s="11" t="s">
        <v>1786</v>
      </c>
      <c r="H12" s="12" t="s">
        <v>2171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2172</v>
      </c>
      <c r="C13" s="11" t="s">
        <v>2173</v>
      </c>
      <c r="D13" s="11" t="s">
        <v>2174</v>
      </c>
      <c r="E13" s="11">
        <v>1</v>
      </c>
      <c r="F13" s="11">
        <v>1</v>
      </c>
      <c r="G13" s="11" t="s">
        <v>1786</v>
      </c>
      <c r="H13" s="12" t="s">
        <v>2175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2176</v>
      </c>
      <c r="C14" s="11" t="s">
        <v>2177</v>
      </c>
      <c r="D14" s="11" t="s">
        <v>2178</v>
      </c>
      <c r="E14" s="11">
        <v>0</v>
      </c>
      <c r="F14" s="11">
        <v>1</v>
      </c>
      <c r="G14" s="11" t="s">
        <v>1786</v>
      </c>
      <c r="H14" s="12" t="s">
        <v>2179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2180</v>
      </c>
      <c r="C15" s="11" t="s">
        <v>2181</v>
      </c>
      <c r="D15" s="11" t="s">
        <v>2182</v>
      </c>
      <c r="E15" s="11">
        <v>1</v>
      </c>
      <c r="F15" s="11">
        <v>1</v>
      </c>
      <c r="G15" s="11" t="s">
        <v>1786</v>
      </c>
      <c r="H15" s="12" t="s">
        <v>2183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2184</v>
      </c>
      <c r="C16" s="11" t="s">
        <v>2185</v>
      </c>
      <c r="D16" s="11" t="s">
        <v>2186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2187</v>
      </c>
      <c r="C17" s="11" t="s">
        <v>2188</v>
      </c>
      <c r="D17" s="11" t="s">
        <v>2189</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2190</v>
      </c>
      <c r="C18" s="11" t="s">
        <v>2191</v>
      </c>
      <c r="D18" s="11" t="s">
        <v>2192</v>
      </c>
      <c r="E18" s="11">
        <v>1</v>
      </c>
      <c r="F18" s="11">
        <v>1</v>
      </c>
      <c r="G18" s="11" t="s">
        <v>1786</v>
      </c>
      <c r="H18" s="12" t="s">
        <v>2183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2193</v>
      </c>
      <c r="C19" s="11" t="s">
        <v>2194</v>
      </c>
      <c r="D19" s="11" t="s">
        <v>2195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c r="B20" s="6" t="s">
        <v>2295</v>
      </c>
      <c r="C20" s="6" t="s">
        <v>2293</v>
      </c>
      <c r="D20" s="6" t="s">
        <v>2294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12</v>
      </c>
      <c r="B21" s="57" t="s">
        <v>2296</v>
      </c>
      <c r="C21" s="11" t="s">
        <v>2196</v>
      </c>
      <c r="D21" s="11" t="s">
        <v>2197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13</v>
      </c>
      <c r="B22" s="57" t="s">
        <v>2297</v>
      </c>
      <c r="C22" s="11" t="s">
        <v>2198</v>
      </c>
      <c r="D22" s="11" t="s">
        <v>2199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14</v>
      </c>
      <c r="B23" s="57" t="s">
        <v>2298</v>
      </c>
      <c r="C23" s="11" t="s">
        <v>2200</v>
      </c>
      <c r="D23" s="11" t="s">
        <v>2201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15</v>
      </c>
      <c r="B24" s="57" t="s">
        <v>2299</v>
      </c>
      <c r="C24" s="11" t="s">
        <v>2202</v>
      </c>
      <c r="D24" s="11" t="s">
        <v>2203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16</v>
      </c>
      <c r="B25" s="57" t="s">
        <v>2300</v>
      </c>
      <c r="C25" s="11" t="s">
        <v>2204</v>
      </c>
      <c r="D25" s="11" t="s">
        <v>2205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17</v>
      </c>
      <c r="B26" s="57" t="s">
        <v>2301</v>
      </c>
      <c r="C26" s="11" t="s">
        <v>2206</v>
      </c>
      <c r="D26" s="11" t="s">
        <v>2207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18</v>
      </c>
      <c r="B27" s="57" t="s">
        <v>2302</v>
      </c>
      <c r="C27" s="11" t="s">
        <v>2208</v>
      </c>
      <c r="D27" s="11" t="s">
        <v>2209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19</v>
      </c>
      <c r="B28" s="57" t="s">
        <v>2303</v>
      </c>
      <c r="C28" s="11" t="s">
        <v>2210</v>
      </c>
      <c r="D28" s="11" t="s">
        <v>2211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20</v>
      </c>
      <c r="B29" s="57" t="s">
        <v>2304</v>
      </c>
      <c r="C29" s="11" t="s">
        <v>2212</v>
      </c>
      <c r="D29" s="11" t="s">
        <v>2213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21</v>
      </c>
      <c r="B30" s="57" t="s">
        <v>2305</v>
      </c>
      <c r="C30" s="11" t="s">
        <v>2214</v>
      </c>
      <c r="D30" s="11" t="s">
        <v>2215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22</v>
      </c>
      <c r="B31" s="11" t="s">
        <v>2216</v>
      </c>
      <c r="C31" s="11" t="s">
        <v>2217</v>
      </c>
      <c r="D31" s="11" t="s">
        <v>2218</v>
      </c>
      <c r="E31" s="11">
        <v>1</v>
      </c>
      <c r="F31" s="11">
        <v>1</v>
      </c>
      <c r="G31" s="11" t="s">
        <v>1786</v>
      </c>
      <c r="H31" s="12" t="s">
        <v>2219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2156</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A11" workbookViewId="0">
      <selection activeCell="D18" sqref="D18:G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2309</v>
      </c>
      <c r="D3" s="62" t="s">
        <v>1791</v>
      </c>
      <c r="E3" s="118" t="str">
        <f>$C$1&amp;B14</f>
        <v>http://hl7.eu/fhir/ig/idea4rc/StructureDefinition/Surgery</v>
      </c>
    </row>
    <row r="4" spans="1:19">
      <c r="B4" s="62" t="s">
        <v>16</v>
      </c>
      <c r="C4" s="28" t="s">
        <v>2308</v>
      </c>
      <c r="D4" s="62" t="s">
        <v>1792</v>
      </c>
      <c r="E4" s="165" t="s">
        <v>2312</v>
      </c>
      <c r="F4" s="166"/>
      <c r="G4" s="166"/>
    </row>
    <row r="5" spans="1:19">
      <c r="B5" s="62" t="s">
        <v>10</v>
      </c>
      <c r="C5" s="7" t="s">
        <v>2310</v>
      </c>
      <c r="D5" s="62"/>
      <c r="E5" s="7"/>
    </row>
    <row r="6" spans="1:19">
      <c r="B6" s="62" t="s">
        <v>18</v>
      </c>
      <c r="C6" s="56"/>
      <c r="D6" s="62" t="s">
        <v>1793</v>
      </c>
      <c r="E6" s="165" t="str">
        <f>E3</f>
        <v>http://hl7.eu/fhir/ig/idea4rc/StructureDefinition/Surgery</v>
      </c>
      <c r="F6" s="166"/>
      <c r="G6" s="166"/>
    </row>
    <row r="7" spans="1:19">
      <c r="B7" s="62" t="s">
        <v>15</v>
      </c>
      <c r="C7" s="119"/>
      <c r="D7" s="62" t="s">
        <v>1794</v>
      </c>
      <c r="E7" s="165" t="str">
        <f>E4</f>
        <v>http://hl7.eu/fhir/ig/idea4rc/StructureDefinition/Procedure-surgery-eu-i4rc</v>
      </c>
      <c r="F7" s="166"/>
      <c r="G7" s="166"/>
    </row>
    <row r="8" spans="1:19" ht="45" thickBot="1">
      <c r="B8" s="62" t="s">
        <v>1795</v>
      </c>
      <c r="C8" s="7" t="s">
        <v>2310</v>
      </c>
      <c r="D8" s="62"/>
      <c r="E8" s="7"/>
      <c r="I8" s="12" t="s">
        <v>1402</v>
      </c>
      <c r="J8" s="12" t="s">
        <v>1403</v>
      </c>
      <c r="K8" s="12" t="s">
        <v>1404</v>
      </c>
      <c r="L8" s="12" t="s">
        <v>1405</v>
      </c>
      <c r="M8" s="11" t="s">
        <v>1406</v>
      </c>
      <c r="P8" s="49" t="s">
        <v>1441</v>
      </c>
      <c r="Q8" s="49">
        <v>6</v>
      </c>
    </row>
    <row r="9" spans="1:19" ht="15.5" thickBot="1">
      <c r="B9" s="62" t="s">
        <v>1796</v>
      </c>
      <c r="C9" s="12" t="s">
        <v>2311</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2313</v>
      </c>
      <c r="E14" s="6"/>
      <c r="F14" s="64"/>
      <c r="G14" s="64"/>
      <c r="I14" s="12"/>
      <c r="J14" s="11"/>
      <c r="K14" s="11"/>
      <c r="L14" s="11"/>
      <c r="M14" s="63"/>
      <c r="N14" s="66"/>
    </row>
    <row r="15" spans="1:19" ht="44.25">
      <c r="A15" s="59"/>
      <c r="B15" s="11" t="str">
        <f>Surgery!B8</f>
        <v>episodeEventReference</v>
      </c>
      <c r="C15" s="11" t="str">
        <f>Surgery!C8</f>
        <v>Episode Event reference</v>
      </c>
      <c r="D15" s="12" t="s">
        <v>2314</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2328</v>
      </c>
      <c r="E16" s="12"/>
      <c r="F16" s="64" t="s">
        <v>1407</v>
      </c>
      <c r="G16" s="123" t="s">
        <v>2316</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2315</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2317</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2318</v>
      </c>
      <c r="E19" s="12"/>
      <c r="F19" s="64" t="s">
        <v>1407</v>
      </c>
      <c r="G19" s="123" t="s">
        <v>2319</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2320</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2321</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2322</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2315</v>
      </c>
      <c r="E23" s="11"/>
      <c r="F23" s="64" t="s">
        <v>1430</v>
      </c>
      <c r="G23" s="123" t="s">
        <v>2323</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2324</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2325</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2323</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2097</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2097</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2097</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2097</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2097</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2097</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2097</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2097</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2097</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2097</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2097</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2326</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2327</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opLeftCell="A19" zoomScaleNormal="100" workbookViewId="0">
      <selection activeCell="A25" sqref="A25:A26"/>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2221</v>
      </c>
      <c r="J4" s="16" t="str">
        <f>CONCATENATE("Logical: ",B4)</f>
        <v>Logical: Radiotherapy</v>
      </c>
    </row>
    <row r="5" spans="1:12" ht="15.5" thickBot="1">
      <c r="A5" s="14" t="s">
        <v>16</v>
      </c>
      <c r="B5" s="45" t="s">
        <v>2221</v>
      </c>
      <c r="J5" s="16" t="str">
        <f>CONCATENATE("Id: ",B5)</f>
        <v>Id: Radiotherapy</v>
      </c>
    </row>
    <row r="6" spans="1:12" ht="15.5" thickBot="1">
      <c r="A6" s="14" t="s">
        <v>10</v>
      </c>
      <c r="B6" s="45" t="s">
        <v>2221</v>
      </c>
      <c r="J6" s="17" t="str">
        <f>CONCATENATE("Title: ##34#",B6,"##34#")</f>
        <v>Title: ##34#Radiotherapy##34#</v>
      </c>
    </row>
    <row r="7" spans="1:12">
      <c r="A7" s="26" t="s">
        <v>2</v>
      </c>
      <c r="B7" s="45" t="s">
        <v>2221</v>
      </c>
      <c r="C7" s="9" t="s">
        <v>3</v>
      </c>
      <c r="D7" s="1" t="s">
        <v>4</v>
      </c>
      <c r="E7" s="3" t="s">
        <v>5</v>
      </c>
      <c r="F7" s="3" t="s">
        <v>6</v>
      </c>
      <c r="G7" s="3" t="s">
        <v>7</v>
      </c>
      <c r="H7" s="105" t="s">
        <v>1610</v>
      </c>
      <c r="J7" s="17" t="str">
        <f>CONCATENATE("Description: "," ##334#",B7,"##334#",)</f>
        <v>Description:  ##334#Radiotherapy##334#</v>
      </c>
    </row>
    <row r="8" spans="1:12" ht="59">
      <c r="A8" s="100">
        <v>0</v>
      </c>
      <c r="B8" s="11" t="s">
        <v>2012</v>
      </c>
      <c r="C8" s="11" t="s">
        <v>2136</v>
      </c>
      <c r="D8" s="11" t="s">
        <v>1910</v>
      </c>
      <c r="E8" s="11">
        <v>1</v>
      </c>
      <c r="F8" s="11">
        <v>1</v>
      </c>
      <c r="G8" s="57" t="s">
        <v>2089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2220</v>
      </c>
      <c r="C9" s="11" t="s">
        <v>2221</v>
      </c>
      <c r="D9" s="11" t="s">
        <v>2222</v>
      </c>
      <c r="E9" s="11">
        <v>1</v>
      </c>
      <c r="F9" s="11">
        <v>1</v>
      </c>
      <c r="G9" s="11" t="s">
        <v>1786</v>
      </c>
      <c r="H9" s="12" t="s">
        <v>2160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2223</v>
      </c>
      <c r="E10" s="11">
        <v>1</v>
      </c>
      <c r="F10" s="11">
        <v>1</v>
      </c>
      <c r="G10" s="11" t="s">
        <v>1786</v>
      </c>
      <c r="H10" s="12" t="s">
        <v>2142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2143</v>
      </c>
      <c r="D11" s="11" t="s">
        <v>2224</v>
      </c>
      <c r="E11" s="11">
        <v>0</v>
      </c>
      <c r="F11" s="11">
        <v>1</v>
      </c>
      <c r="G11" s="11" t="s">
        <v>1786</v>
      </c>
      <c r="H11" s="12" t="s">
        <v>2225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2226</v>
      </c>
      <c r="C12" s="11" t="s">
        <v>2227</v>
      </c>
      <c r="D12" s="11" t="s">
        <v>2228</v>
      </c>
      <c r="E12" s="11">
        <v>1</v>
      </c>
      <c r="F12" s="11">
        <v>1</v>
      </c>
      <c r="G12" s="11" t="s">
        <v>1786</v>
      </c>
      <c r="H12" s="12" t="s">
        <v>2229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01">
        <v>5</v>
      </c>
      <c r="B13" s="11" t="s">
        <v>2230</v>
      </c>
      <c r="C13" s="11" t="s">
        <v>2231</v>
      </c>
      <c r="D13" s="6" t="s">
        <v>2231</v>
      </c>
      <c r="E13" s="11">
        <v>0</v>
      </c>
      <c r="F13" s="11">
        <v>1</v>
      </c>
      <c r="G13" s="11" t="s">
        <v>0</v>
      </c>
      <c r="H13" s="12"/>
      <c r="I13" s="25"/>
      <c r="J13" s="12" t="str">
        <f t="shared" si="1"/>
        <v>* otherSpecify 0..1 string ##34#Other; specify##34# ##334#Other; specify##334#</v>
      </c>
      <c r="L13" s="12" t="str">
        <f t="shared" si="2"/>
        <v/>
      </c>
    </row>
    <row r="14" spans="1:12" ht="236">
      <c r="A14" s="101">
        <v>6</v>
      </c>
      <c r="B14" s="11" t="s">
        <v>2232</v>
      </c>
      <c r="C14" s="11" t="s">
        <v>2233</v>
      </c>
      <c r="D14" s="11" t="s">
        <v>2234</v>
      </c>
      <c r="E14" s="11">
        <v>1</v>
      </c>
      <c r="F14" s="11">
        <v>1</v>
      </c>
      <c r="G14" s="11" t="s">
        <v>1786</v>
      </c>
      <c r="H14" s="12" t="s">
        <v>2235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2236</v>
      </c>
      <c r="C15" s="11" t="s">
        <v>2237</v>
      </c>
      <c r="D15" s="11" t="s">
        <v>2238</v>
      </c>
      <c r="E15" s="11">
        <v>1</v>
      </c>
      <c r="F15" s="11">
        <v>1</v>
      </c>
      <c r="G15" s="57" t="s">
        <v>2306</v>
      </c>
      <c r="H15" s="12"/>
      <c r="I15" s="25"/>
      <c r="J15" s="12" t="str">
        <f t="shared" si="1"/>
        <v>* totalDoseTdGy 1..1 decimal ##34#Total Dose (TD) Gy##34# ##334#Refers to the total dose delivered to the patient in Gy##334#</v>
      </c>
      <c r="L15" s="12" t="str">
        <f t="shared" si="2"/>
        <v/>
      </c>
    </row>
    <row r="16" spans="1:12" ht="29.5">
      <c r="A16" s="100">
        <v>8</v>
      </c>
      <c r="B16" s="11" t="s">
        <v>2239</v>
      </c>
      <c r="C16" s="11" t="s">
        <v>2240</v>
      </c>
      <c r="D16" s="11" t="s">
        <v>2241</v>
      </c>
      <c r="E16" s="11">
        <v>1</v>
      </c>
      <c r="F16" s="11">
        <v>1</v>
      </c>
      <c r="G16" s="57" t="s">
        <v>2306</v>
      </c>
      <c r="H16" s="12"/>
      <c r="I16" s="25"/>
      <c r="J16" s="12" t="str">
        <f t="shared" si="1"/>
        <v>* fractionSizeFs 1..1 decimal ##34#Fraction Size (FS)##34# ##334#Refers to the Dose per fraction delivered to the patient.##334#</v>
      </c>
      <c r="L16" s="12" t="str">
        <f t="shared" si="2"/>
        <v/>
      </c>
    </row>
    <row r="17" spans="1:13" ht="29.5">
      <c r="A17" s="100">
        <v>9</v>
      </c>
      <c r="B17" s="11" t="s">
        <v>2242</v>
      </c>
      <c r="C17" s="11" t="s">
        <v>2243</v>
      </c>
      <c r="D17" s="11" t="s">
        <v>2244</v>
      </c>
      <c r="E17" s="11">
        <v>1</v>
      </c>
      <c r="F17" s="11">
        <v>1</v>
      </c>
      <c r="G17" s="57" t="s">
        <v>2306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2245</v>
      </c>
      <c r="C18" s="11" t="s">
        <v>2246</v>
      </c>
      <c r="D18" s="11" t="s">
        <v>2247</v>
      </c>
      <c r="E18" s="11">
        <v>0</v>
      </c>
      <c r="F18" s="11">
        <v>1</v>
      </c>
      <c r="G18" s="11" t="s">
        <v>1786</v>
      </c>
      <c r="H18" s="12" t="s">
        <v>2183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2248</v>
      </c>
      <c r="C19" s="11" t="s">
        <v>2249</v>
      </c>
      <c r="D19" s="11" t="s">
        <v>2250</v>
      </c>
      <c r="E19" s="11">
        <v>0</v>
      </c>
      <c r="F19" s="11">
        <v>1</v>
      </c>
      <c r="G19" s="11" t="s">
        <v>1786</v>
      </c>
      <c r="H19" s="12" t="s">
        <v>2183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2251</v>
      </c>
      <c r="C20" s="11" t="s">
        <v>2252</v>
      </c>
      <c r="D20" s="11" t="s">
        <v>2253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2254</v>
      </c>
      <c r="C21" s="11" t="s">
        <v>2255</v>
      </c>
      <c r="D21" s="11" t="s">
        <v>2256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2257</v>
      </c>
      <c r="C22" s="11" t="s">
        <v>2258</v>
      </c>
      <c r="D22" s="11" t="s">
        <v>2259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2278</v>
      </c>
      <c r="C23" s="11" t="s">
        <v>2260</v>
      </c>
      <c r="D23" s="155" t="s">
        <v>2260</v>
      </c>
      <c r="E23" s="11">
        <v>0</v>
      </c>
      <c r="F23" s="11">
        <v>1</v>
      </c>
      <c r="G23" s="11" t="s">
        <v>157</v>
      </c>
      <c r="H23" s="12"/>
      <c r="J23" s="12" t="str">
        <f t="shared" si="1"/>
        <v>* treatmentSites.primary 0..1 boolean ##34#Primary##34# ##334#Primary##334#</v>
      </c>
      <c r="L23" s="12" t="str">
        <f t="shared" si="2"/>
        <v/>
      </c>
      <c r="M23"/>
    </row>
    <row r="24" spans="1:13">
      <c r="A24" s="100">
        <v>16</v>
      </c>
      <c r="B24" s="57" t="s">
        <v>2279</v>
      </c>
      <c r="C24" s="11" t="s">
        <v>2261</v>
      </c>
      <c r="D24" s="155" t="s">
        <v>2261</v>
      </c>
      <c r="E24" s="11">
        <v>0</v>
      </c>
      <c r="F24" s="11">
        <v>1</v>
      </c>
      <c r="G24" s="11" t="s">
        <v>157</v>
      </c>
      <c r="H24" s="12"/>
      <c r="J24" s="12" t="str">
        <f t="shared" si="1"/>
        <v>* treatmentSites.neck 0..1 boolean ##34#Neck##34# ##334#Neck##334#</v>
      </c>
      <c r="L24" s="12" t="str">
        <f t="shared" si="2"/>
        <v/>
      </c>
      <c r="M24"/>
    </row>
    <row r="25" spans="1:13" ht="29.5">
      <c r="A25" s="101">
        <v>17</v>
      </c>
      <c r="B25" s="57" t="s">
        <v>2280</v>
      </c>
      <c r="C25" s="11" t="s">
        <v>2262</v>
      </c>
      <c r="D25" s="155" t="s">
        <v>2262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2281</v>
      </c>
      <c r="C26" s="11" t="s">
        <v>2263</v>
      </c>
      <c r="D26" s="155" t="s">
        <v>2263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2282</v>
      </c>
      <c r="C27" s="11" t="s">
        <v>2264</v>
      </c>
      <c r="D27" s="155" t="s">
        <v>2264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2265</v>
      </c>
      <c r="C28" s="11" t="s">
        <v>2266</v>
      </c>
      <c r="D28" s="11" t="s">
        <v>2267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2283</v>
      </c>
      <c r="C29" s="11" t="s">
        <v>2268</v>
      </c>
      <c r="D29" s="155" t="s">
        <v>2268</v>
      </c>
      <c r="E29" s="11">
        <v>0</v>
      </c>
      <c r="F29" s="11">
        <v>1</v>
      </c>
      <c r="G29" s="11" t="s">
        <v>157</v>
      </c>
      <c r="H29" s="12"/>
      <c r="J29" s="12" t="str">
        <f t="shared" si="1"/>
        <v>* metastaticTreatmentSites.lung 0..1 boolean ##34#Lung
##34# ##334#Lung
##334#</v>
      </c>
      <c r="L29" s="12" t="str">
        <f t="shared" si="2"/>
        <v/>
      </c>
    </row>
    <row r="30" spans="1:13" ht="44.25">
      <c r="A30" s="100">
        <v>22</v>
      </c>
      <c r="B30" s="57" t="s">
        <v>2284</v>
      </c>
      <c r="C30" s="11" t="s">
        <v>2270</v>
      </c>
      <c r="D30" s="155" t="s">
        <v>2270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2285</v>
      </c>
      <c r="C31" s="12" t="s">
        <v>2271</v>
      </c>
      <c r="D31" s="13" t="s">
        <v>2271</v>
      </c>
      <c r="E31" s="11">
        <v>0</v>
      </c>
      <c r="F31" s="11">
        <v>1</v>
      </c>
      <c r="G31" s="11" t="s">
        <v>157</v>
      </c>
      <c r="H31" s="12"/>
      <c r="J31" s="12" t="str">
        <f t="shared" si="1"/>
        <v>* metastaticTreatmentSites.bone 0..1 boolean ##34#Bone
##34# ##334#Bone
##334#</v>
      </c>
      <c r="L31" s="12" t="str">
        <f t="shared" si="2"/>
        <v/>
      </c>
    </row>
    <row r="32" spans="1:13" ht="44.25">
      <c r="A32" s="11">
        <v>24</v>
      </c>
      <c r="B32" s="57" t="s">
        <v>2286</v>
      </c>
      <c r="C32" s="12" t="s">
        <v>2272</v>
      </c>
      <c r="D32" s="13" t="s">
        <v>2272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2287</v>
      </c>
      <c r="C33" s="12" t="s">
        <v>2273</v>
      </c>
      <c r="D33" s="13" t="s">
        <v>2273</v>
      </c>
      <c r="E33" s="11">
        <v>0</v>
      </c>
      <c r="F33" s="11">
        <v>1</v>
      </c>
      <c r="G33" s="11" t="s">
        <v>157</v>
      </c>
      <c r="H33" s="12"/>
      <c r="J33" s="12" t="str">
        <f t="shared" si="1"/>
        <v>* metastaticTreatmentSites.liver 0..1 boolean ##34#Liver
##34# ##334#Liver
##334#</v>
      </c>
      <c r="L33" s="12" t="str">
        <f t="shared" si="2"/>
        <v/>
      </c>
    </row>
    <row r="34" spans="1:12" ht="147.5">
      <c r="A34" s="11">
        <v>26</v>
      </c>
      <c r="B34" s="11" t="s">
        <v>2274</v>
      </c>
      <c r="C34" s="12" t="s">
        <v>2275</v>
      </c>
      <c r="D34" s="11" t="s">
        <v>2276</v>
      </c>
      <c r="E34" s="11">
        <v>1</v>
      </c>
      <c r="F34" s="11">
        <v>1</v>
      </c>
      <c r="G34" s="11" t="s">
        <v>1786</v>
      </c>
      <c r="H34" s="12" t="s">
        <v>2277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2269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2307</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63"/>
  <sheetViews>
    <sheetView workbookViewId="0">
      <selection activeCell="D20" sqref="D2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2329</v>
      </c>
      <c r="D3" s="62" t="s">
        <v>1791</v>
      </c>
      <c r="E3" s="118" t="str">
        <f>$C$1&amp;B14</f>
        <v>http://hl7.eu/fhir/ig/idea4rc/StructureDefinition/Radiotherapy</v>
      </c>
    </row>
    <row r="4" spans="1:19">
      <c r="B4" s="62" t="s">
        <v>16</v>
      </c>
      <c r="C4" s="28" t="s">
        <v>2329</v>
      </c>
      <c r="D4" s="62" t="s">
        <v>1792</v>
      </c>
      <c r="E4" s="165" t="s">
        <v>2332</v>
      </c>
      <c r="F4" s="166"/>
      <c r="G4" s="166"/>
    </row>
    <row r="5" spans="1:19">
      <c r="B5" s="62" t="s">
        <v>10</v>
      </c>
      <c r="C5" s="7" t="s">
        <v>2330</v>
      </c>
      <c r="D5" s="62"/>
      <c r="E5" s="7"/>
    </row>
    <row r="6" spans="1:19">
      <c r="B6" s="62" t="s">
        <v>18</v>
      </c>
      <c r="C6" s="56"/>
      <c r="D6" s="62" t="s">
        <v>1793</v>
      </c>
      <c r="E6" s="165" t="str">
        <f>E3</f>
        <v>http://hl7.eu/fhir/ig/idea4rc/StructureDefinition/Radiotherapy</v>
      </c>
      <c r="F6" s="166"/>
      <c r="G6" s="166"/>
    </row>
    <row r="7" spans="1:19">
      <c r="B7" s="62" t="s">
        <v>15</v>
      </c>
      <c r="C7" s="119"/>
      <c r="D7" s="62" t="s">
        <v>1794</v>
      </c>
      <c r="E7" s="165" t="s">
        <v>2332</v>
      </c>
      <c r="F7" s="166"/>
      <c r="G7" s="166"/>
    </row>
    <row r="8" spans="1:19" ht="45" thickBot="1">
      <c r="B8" s="62" t="s">
        <v>1795</v>
      </c>
      <c r="C8" s="7" t="s">
        <v>2330</v>
      </c>
      <c r="D8" s="62"/>
      <c r="E8" s="7"/>
      <c r="I8" s="12" t="s">
        <v>1402</v>
      </c>
      <c r="J8" s="12" t="s">
        <v>1403</v>
      </c>
      <c r="K8" s="12" t="s">
        <v>1404</v>
      </c>
      <c r="L8" s="12" t="s">
        <v>1405</v>
      </c>
      <c r="M8" s="11" t="s">
        <v>1406</v>
      </c>
      <c r="P8" s="49" t="s">
        <v>1441</v>
      </c>
      <c r="Q8" s="49">
        <v>6</v>
      </c>
    </row>
    <row r="9" spans="1:19" ht="30.25" thickBot="1">
      <c r="B9" s="62" t="s">
        <v>1796</v>
      </c>
      <c r="C9" s="12" t="s">
        <v>2331</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2313</v>
      </c>
      <c r="E14" s="6"/>
      <c r="F14" s="64"/>
      <c r="G14" s="64"/>
      <c r="I14" s="12"/>
      <c r="J14" s="11"/>
      <c r="K14" s="11"/>
      <c r="L14" s="11"/>
      <c r="M14" s="63"/>
      <c r="N14" s="66"/>
    </row>
    <row r="15" spans="1:19" ht="44.25">
      <c r="A15" s="59"/>
      <c r="B15" s="11" t="str">
        <f>Radiotherapy!B8</f>
        <v>episodeEventReference</v>
      </c>
      <c r="C15" s="11" t="str">
        <f>Radiotherapy!C8</f>
        <v>Episode Event reference</v>
      </c>
      <c r="D15" s="12" t="s">
        <v>2314</v>
      </c>
      <c r="E15" s="12"/>
      <c r="F15" s="64" t="s">
        <v>1407</v>
      </c>
      <c r="G15" s="124"/>
      <c r="I15" s="12" t="str">
        <f>"* group[=].element[+].code = #"&amp;$B$14&amp;"."&amp;B15</f>
        <v>* group[=].element[+].code = #Radiotherapy.episodeEventReference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INDEX('Radiotherapy-ConceptMap-1'!$I$15:$N$124,Q15+1,R15)</f>
        <v>* group[=].element[+].code = #Radiotherapy.episodeEventReference</v>
      </c>
    </row>
    <row r="16" spans="1:19" ht="88.5">
      <c r="A16" s="59"/>
      <c r="B16" s="11" t="str">
        <f>Radiotherapy!B9</f>
        <v>radiotherapy</v>
      </c>
      <c r="C16" s="11" t="str">
        <f>Radiotherapy!C9</f>
        <v>Radiotherapy</v>
      </c>
      <c r="D16" s="12" t="s">
        <v>2328</v>
      </c>
      <c r="E16" s="12"/>
      <c r="F16" s="64" t="s">
        <v>1407</v>
      </c>
      <c r="G16" s="123" t="s">
        <v>2333</v>
      </c>
      <c r="I16" s="12" t="str">
        <f t="shared" ref="I16:I38" si="7">"* group[=].element[+].code = #"&amp;$B$14&amp;"."&amp;B16</f>
        <v>* group[=].element[+].code = #Radiotherapy.radiotherapy</v>
      </c>
      <c r="J16" s="12" t="str">
        <f t="shared" si="0"/>
        <v>* group[=].element[=].display = ##34#Radiotherapy##34#</v>
      </c>
      <c r="K16" s="12" t="str">
        <f t="shared" si="1"/>
        <v>* group[=].element[=].target.code = #Procedure.extension:ProcedureCategoryR5</v>
      </c>
      <c r="L16" s="12" t="str">
        <f t="shared" si="2"/>
        <v>* group[=].element[=].target.display = ##34###34#</v>
      </c>
      <c r="M16" s="12" t="str">
        <f t="shared" si="3"/>
        <v>* group[=].element[=].target.equivalence = #relatedto</v>
      </c>
      <c r="N16" s="12" t="str">
        <f t="shared" si="4"/>
        <v>* group[=].element[=].target.comment = ##34#to be analyzed: derive this from a combination of elements or use other cathegories (R5 extension)##34#</v>
      </c>
      <c r="P16" s="11">
        <v>2</v>
      </c>
      <c r="Q16" s="11">
        <f t="shared" si="5"/>
        <v>0</v>
      </c>
      <c r="R16" s="11">
        <f t="shared" si="6"/>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1442</v>
      </c>
      <c r="E17" s="12"/>
      <c r="F17" s="64" t="s">
        <v>1407</v>
      </c>
      <c r="G17" s="123" t="s">
        <v>2317</v>
      </c>
      <c r="H17" s="58"/>
      <c r="I17" s="12" t="str">
        <f t="shared" si="7"/>
        <v>* group[=].element[+].code = #Radiotherapy.intent</v>
      </c>
      <c r="J17" s="12" t="str">
        <f t="shared" si="0"/>
        <v>* group[=].element[=].display = ##34#Intent##34#</v>
      </c>
      <c r="K17" s="12" t="str">
        <f t="shared" si="1"/>
        <v>* group[=].element[=].target.code = #Procedure.code</v>
      </c>
      <c r="L17" s="12" t="str">
        <f t="shared" si="2"/>
        <v>* group[=].element[=].target.display = ##34###34#</v>
      </c>
      <c r="M17" s="12" t="str">
        <f t="shared" si="3"/>
        <v>* group[=].element[=].target.equivalence = #relatedto</v>
      </c>
      <c r="N17" s="12" t="str">
        <f t="shared" si="4"/>
        <v>* group[=].element[=].target.comment = ##34#to be analized: add a slice to code or consider to define an extension for this (or cathegories (R5 extension)) ?##34#</v>
      </c>
      <c r="P17" s="11">
        <v>3</v>
      </c>
      <c r="Q17" s="11">
        <f t="shared" si="5"/>
        <v>0</v>
      </c>
      <c r="R17" s="11">
        <f t="shared" si="6"/>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2328</v>
      </c>
      <c r="E18" s="12"/>
      <c r="F18" s="64" t="s">
        <v>1407</v>
      </c>
      <c r="G18" s="123" t="s">
        <v>2333</v>
      </c>
      <c r="H18" s="58"/>
      <c r="I18" s="12" t="str">
        <f t="shared" si="7"/>
        <v>* group[=].element[+].code = #Radiotherapy.setting</v>
      </c>
      <c r="J18" s="12" t="str">
        <f t="shared" si="0"/>
        <v>* group[=].element[=].display = ##34#Setting##34#</v>
      </c>
      <c r="K18" s="12" t="str">
        <f t="shared" si="1"/>
        <v>* group[=].element[=].target.code = #Procedure.extension:ProcedureCategoryR5</v>
      </c>
      <c r="L18" s="12" t="str">
        <f t="shared" si="2"/>
        <v>* group[=].element[=].target.display = ##34###34#</v>
      </c>
      <c r="M18" s="12" t="str">
        <f t="shared" si="3"/>
        <v>* group[=].element[=].target.equivalence = #relatedto</v>
      </c>
      <c r="N18" s="12" t="str">
        <f t="shared" si="4"/>
        <v>* group[=].element[=].target.comment = ##34#to be analyzed: derive this from a combination of elements or use other cathegories (R5 extension)##34#</v>
      </c>
      <c r="P18" s="11">
        <v>4</v>
      </c>
      <c r="Q18" s="11">
        <f t="shared" si="5"/>
        <v>0</v>
      </c>
      <c r="R18" s="11">
        <f t="shared" si="6"/>
        <v>4</v>
      </c>
      <c r="S18" s="12" t="str" cm="1">
        <f t="array" ref="S18">INDEX('Radiotherapy-ConceptMap-1'!$I$15:$N$124,Q18+1,R18)</f>
        <v>* group[=].element[=].target.display = ##34###34#</v>
      </c>
    </row>
    <row r="19" spans="1:19" ht="44.25">
      <c r="A19" s="59"/>
      <c r="B19" s="11" t="str">
        <f>Radiotherapy!B12</f>
        <v>beamQuality</v>
      </c>
      <c r="C19" s="11" t="str">
        <f>Radiotherapy!C12</f>
        <v>Beam quality</v>
      </c>
      <c r="D19" s="12" t="s">
        <v>1442</v>
      </c>
      <c r="E19" s="12"/>
      <c r="F19" s="64" t="s">
        <v>1407</v>
      </c>
      <c r="G19" s="124"/>
      <c r="H19" s="58"/>
      <c r="I19" s="12" t="str">
        <f t="shared" si="7"/>
        <v>* group[=].element[+].code = #Radiotherapy.beamQuality</v>
      </c>
      <c r="J19" s="12" t="str">
        <f t="shared" si="0"/>
        <v>* group[=].element[=].display = ##34#Beam quality##34#</v>
      </c>
      <c r="K19" s="12" t="str">
        <f t="shared" si="1"/>
        <v>* group[=].element[=].target.code = #Procedure.code</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c r="E20" s="12"/>
      <c r="F20" s="64" t="s">
        <v>1407</v>
      </c>
      <c r="G20" s="124"/>
      <c r="H20" s="58"/>
      <c r="I20" s="12" t="str">
        <f t="shared" si="7"/>
        <v>* group[=].element[+].code = #Radiotherapy.otherSpecify</v>
      </c>
      <c r="J20" s="12" t="str">
        <f t="shared" si="0"/>
        <v>* group[=].element[=].display = ##34#Other; specify##34#</v>
      </c>
      <c r="K20" s="12" t="str">
        <f t="shared" si="1"/>
        <v>* group[=].element[=].target.code = #Procedure.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INDEX('Radiotherapy-ConceptMap-1'!$I$15:$N$124,Q20+1,R20)</f>
        <v/>
      </c>
    </row>
    <row r="21" spans="1:19" ht="44.25">
      <c r="A21" s="59"/>
      <c r="B21" s="11" t="str">
        <f>Radiotherapy!B14</f>
        <v>treatmentTechnique</v>
      </c>
      <c r="C21" s="11" t="str">
        <f>Radiotherapy!C14</f>
        <v>Treatment technique</v>
      </c>
      <c r="D21" s="12"/>
      <c r="E21" s="12"/>
      <c r="F21" s="64" t="s">
        <v>1407</v>
      </c>
      <c r="G21" s="124"/>
      <c r="H21" s="58"/>
      <c r="I21" s="12" t="str">
        <f t="shared" si="7"/>
        <v>* group[=].element[+].code = #Radiotherapy.treatmentTechnique</v>
      </c>
      <c r="J21" s="12" t="str">
        <f t="shared" si="0"/>
        <v>* group[=].element[=].display = ##34#Treatment technique##34#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INDEX('Radiotherapy-ConceptMap-1'!$I$15:$N$124,Q21+1,R21)</f>
        <v>* group[=].element[+].code = #Radiotherapy.radiotherapy</v>
      </c>
    </row>
    <row r="22" spans="1:19" ht="44.25">
      <c r="A22" s="59"/>
      <c r="B22" s="11" t="str">
        <f>Radiotherapy!B15</f>
        <v>totalDoseTdGy</v>
      </c>
      <c r="C22" s="11" t="str">
        <f>Radiotherapy!C15</f>
        <v>Total Dose (TD) Gy</v>
      </c>
      <c r="D22" s="12"/>
      <c r="E22" s="12"/>
      <c r="F22" s="64" t="s">
        <v>1407</v>
      </c>
      <c r="G22" s="124"/>
      <c r="H22" s="58"/>
      <c r="I22" s="12" t="str">
        <f t="shared" si="7"/>
        <v>* group[=].element[+].code = #Radiotherapy.totalDoseTdGy</v>
      </c>
      <c r="J22" s="12" t="str">
        <f t="shared" si="0"/>
        <v>* group[=].element[=].display = ##34#Total Dose (TD) Gy##34#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INDEX('Radiotherapy-ConceptMap-1'!$I$15:$N$124,Q22+1,R22)</f>
        <v>* group[=].element[=].display = ##34#Radiotherapy##34#</v>
      </c>
    </row>
    <row r="23" spans="1:19" ht="44.25">
      <c r="A23" s="59"/>
      <c r="B23" s="11" t="str">
        <f>Radiotherapy!B16</f>
        <v>fractionSizeFs</v>
      </c>
      <c r="C23" s="11" t="str">
        <f>Radiotherapy!C16</f>
        <v>Fraction Size (FS)</v>
      </c>
      <c r="D23" s="12"/>
      <c r="E23" s="11"/>
      <c r="F23" s="64" t="s">
        <v>1430</v>
      </c>
      <c r="G23" s="124"/>
      <c r="H23" s="58"/>
      <c r="I23" s="12" t="str">
        <f t="shared" si="7"/>
        <v>* group[=].element[+].code = #Radiotherapy.fractionSizeFs</v>
      </c>
      <c r="J23" s="12" t="str">
        <f t="shared" si="0"/>
        <v>* group[=].element[=].display = ##34#Fraction Size (FS)##34#</v>
      </c>
      <c r="K23" s="12" t="str">
        <f t="shared" si="1"/>
        <v>* group[=].element[=].target.code = #Procedure.</v>
      </c>
      <c r="L23" s="12" t="str">
        <f t="shared" si="2"/>
        <v>* group[=].element[=].target.display = ##34###34#</v>
      </c>
      <c r="M23" s="12" t="str">
        <f t="shared" si="3"/>
        <v>* group[=].element[=].target.equivalence = #equal</v>
      </c>
      <c r="N23" s="12" t="str">
        <f t="shared" si="4"/>
        <v/>
      </c>
      <c r="P23" s="11">
        <v>9</v>
      </c>
      <c r="Q23" s="11">
        <f t="shared" si="5"/>
        <v>1</v>
      </c>
      <c r="R23" s="11">
        <f t="shared" si="6"/>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c r="E24" s="11"/>
      <c r="F24" s="64" t="s">
        <v>1407</v>
      </c>
      <c r="G24" s="124"/>
      <c r="H24" s="58"/>
      <c r="I24" s="12" t="str">
        <f t="shared" si="7"/>
        <v>* group[=].element[+].code = #Radiotherapy.numberOfFractions</v>
      </c>
      <c r="J24" s="12" t="str">
        <f t="shared" si="0"/>
        <v>* group[=].element[=].display = ##34#Number of fractions##34#</v>
      </c>
      <c r="K24" s="12" t="str">
        <f t="shared" si="1"/>
        <v>* group[=].element[=].target.code = #Procedure.</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INDEX('Radiotherapy-ConceptMap-1'!$I$15:$N$124,Q24+1,R24)</f>
        <v>* group[=].element[=].target.display = ##34###34#</v>
      </c>
    </row>
    <row r="25" spans="1:19" ht="44.25">
      <c r="A25" s="59"/>
      <c r="B25" s="11" t="str">
        <f>Radiotherapy!B18</f>
        <v>adaptiveRt</v>
      </c>
      <c r="C25" s="11" t="str">
        <f>Radiotherapy!C18</f>
        <v>Adaptive RT</v>
      </c>
      <c r="D25" s="12"/>
      <c r="E25" s="11"/>
      <c r="F25" s="64" t="s">
        <v>1407</v>
      </c>
      <c r="G25" s="124"/>
      <c r="H25" s="58"/>
      <c r="I25" s="12" t="str">
        <f t="shared" si="7"/>
        <v>* group[=].element[+].code = #Radiotherapy.adaptiveRt</v>
      </c>
      <c r="J25" s="12" t="str">
        <f t="shared" si="0"/>
        <v>* group[=].element[=].display = ##34#Adaptive RT##34#</v>
      </c>
      <c r="K25" s="12" t="str">
        <f t="shared" si="1"/>
        <v>* group[=].element[=].target.code = #Procedure.</v>
      </c>
      <c r="L25" s="12" t="str">
        <f t="shared" si="2"/>
        <v>* group[=].element[=].target.display = ##34###34#</v>
      </c>
      <c r="M25" s="12" t="str">
        <f t="shared" si="3"/>
        <v>* group[=].element[=].target.equivalence = #relatedto</v>
      </c>
      <c r="N25" s="12" t="str">
        <f t="shared" si="4"/>
        <v/>
      </c>
      <c r="P25" s="11">
        <v>11</v>
      </c>
      <c r="Q25" s="11">
        <f t="shared" si="5"/>
        <v>1</v>
      </c>
      <c r="R25" s="11">
        <f t="shared" si="6"/>
        <v>5</v>
      </c>
      <c r="S25" s="12" t="str" cm="1">
        <f t="array" ref="S25">INDEX('Radiotherapy-ConceptMap-1'!$I$15:$N$124,Q25+1,R25)</f>
        <v>* group[=].element[=].target.equivalence = #relatedto</v>
      </c>
    </row>
    <row r="26" spans="1:19" ht="44.25">
      <c r="A26" s="59"/>
      <c r="B26" s="11" t="str">
        <f>Radiotherapy!B19</f>
        <v>igrtImageGuideRadiotherapy</v>
      </c>
      <c r="C26" s="11" t="str">
        <f>Radiotherapy!C19</f>
        <v>IGRT  (image guide radiotherapy)</v>
      </c>
      <c r="D26" s="12"/>
      <c r="E26" s="12"/>
      <c r="F26" s="64" t="s">
        <v>1407</v>
      </c>
      <c r="G26" s="124"/>
      <c r="H26" s="58"/>
      <c r="I26" s="12" t="str">
        <f t="shared" si="7"/>
        <v>* group[=].element[+].code = #Radiotherapy.igrtImageGuideRadiotherapy</v>
      </c>
      <c r="J26" s="12" t="str">
        <f t="shared" si="0"/>
        <v>* group[=].element[=].display = ##34#IGRT  (image guide radiotherapy)##34#</v>
      </c>
      <c r="K26" s="12" t="str">
        <f t="shared" si="1"/>
        <v>* group[=].element[=].target.code = #Procedure.</v>
      </c>
      <c r="L26" s="12" t="str">
        <f t="shared" si="2"/>
        <v>* group[=].element[=].target.display = ##34###34#</v>
      </c>
      <c r="M26" s="12" t="str">
        <f t="shared" si="3"/>
        <v>* group[=].element[=].target.equivalence = #relatedto</v>
      </c>
      <c r="N26" s="12" t="str">
        <f t="shared" si="4"/>
        <v/>
      </c>
      <c r="P26" s="11">
        <v>12</v>
      </c>
      <c r="Q26" s="11">
        <f t="shared" si="5"/>
        <v>1</v>
      </c>
      <c r="R26" s="11">
        <f t="shared" si="6"/>
        <v>6</v>
      </c>
      <c r="S26" s="12" t="str" cm="1">
        <f t="array" ref="S26">INDEX('Radiotherapy-ConceptMap-1'!$I$15:$N$124,Q26+1,R26)</f>
        <v>* group[=].element[=].target.comment = ##34#to be analyzed: derive this from a combination of elements or use other cathegories (R5 extension)##34#</v>
      </c>
    </row>
    <row r="27" spans="1:19" ht="44.25">
      <c r="A27" s="59"/>
      <c r="B27" s="11" t="str">
        <f>Radiotherapy!B20</f>
        <v>startDate</v>
      </c>
      <c r="C27" s="11" t="str">
        <f>Radiotherapy!C20</f>
        <v>Start date</v>
      </c>
      <c r="D27" s="12"/>
      <c r="E27" s="12"/>
      <c r="F27" s="64" t="s">
        <v>1429</v>
      </c>
      <c r="G27" s="124"/>
      <c r="H27" s="58"/>
      <c r="I27" s="12" t="str">
        <f t="shared" si="7"/>
        <v>* group[=].element[+].code = #Radiotherapy.startDate</v>
      </c>
      <c r="J27" s="12" t="str">
        <f t="shared" si="0"/>
        <v>* group[=].element[=].display = ##34#Start date##34#</v>
      </c>
      <c r="K27" s="12" t="str">
        <f t="shared" si="1"/>
        <v>* group[=].element[=].target.code = #Procedure.</v>
      </c>
      <c r="L27" s="12" t="str">
        <f t="shared" si="2"/>
        <v>* group[=].element[=].target.display = ##34###34#</v>
      </c>
      <c r="M27" s="12" t="str">
        <f t="shared" si="3"/>
        <v>* group[=].element[=].target.equivalence = #equivalent</v>
      </c>
      <c r="N27" s="12" t="str">
        <f t="shared" si="4"/>
        <v/>
      </c>
      <c r="P27" s="11">
        <v>13</v>
      </c>
      <c r="Q27" s="11">
        <f t="shared" si="5"/>
        <v>2</v>
      </c>
      <c r="R27" s="11">
        <f t="shared" si="6"/>
        <v>1</v>
      </c>
      <c r="S27" s="12" t="str" cm="1">
        <f t="array" ref="S27">INDEX('Radiotherapy-ConceptMap-1'!$I$15:$N$124,Q27+1,R27)</f>
        <v>* group[=].element[+].code = #Radiotherapy.intent</v>
      </c>
    </row>
    <row r="28" spans="1:19" ht="44.25">
      <c r="B28" s="11" t="str">
        <f>Radiotherapy!B21</f>
        <v>endDate</v>
      </c>
      <c r="C28" s="11" t="str">
        <f>Radiotherapy!C21</f>
        <v>End  date</v>
      </c>
      <c r="D28" s="12"/>
      <c r="E28" s="12"/>
      <c r="F28" s="64" t="s">
        <v>1429</v>
      </c>
      <c r="G28" s="124"/>
      <c r="H28" s="58"/>
      <c r="I28" s="12" t="str">
        <f t="shared" si="7"/>
        <v>* group[=].element[+].code = #Radiotherapy.endDate</v>
      </c>
      <c r="J28" s="12" t="str">
        <f t="shared" si="0"/>
        <v>* group[=].element[=].display = ##34#End  date##34#</v>
      </c>
      <c r="K28" s="12" t="str">
        <f t="shared" si="1"/>
        <v>* group[=].element[=].target.code = #Procedure.</v>
      </c>
      <c r="L28" s="12" t="str">
        <f t="shared" si="2"/>
        <v>* group[=].element[=].target.display = ##34###34#</v>
      </c>
      <c r="M28" s="12" t="str">
        <f t="shared" si="3"/>
        <v>* group[=].element[=].target.equivalence = #equivalent</v>
      </c>
      <c r="N28" s="12" t="str">
        <f t="shared" si="4"/>
        <v/>
      </c>
      <c r="P28" s="11">
        <v>14</v>
      </c>
      <c r="Q28" s="11">
        <f t="shared" si="5"/>
        <v>2</v>
      </c>
      <c r="R28" s="11">
        <f t="shared" si="6"/>
        <v>2</v>
      </c>
      <c r="S28" s="12" t="str" cm="1">
        <f t="array" ref="S28">INDEX('Radiotherapy-ConceptMap-1'!$I$15:$N$124,Q28+1,R28)</f>
        <v>* group[=].element[=].display = ##34#Intent##34#</v>
      </c>
    </row>
    <row r="29" spans="1:19" ht="44.25">
      <c r="B29" s="11" t="str">
        <f>Radiotherapy!B22</f>
        <v>treatmentSites</v>
      </c>
      <c r="C29" s="11" t="str">
        <f>Radiotherapy!C22</f>
        <v>Treatment Sites:</v>
      </c>
      <c r="D29" s="12"/>
      <c r="E29" s="12"/>
      <c r="F29" s="64" t="s">
        <v>1429</v>
      </c>
      <c r="G29" s="124"/>
      <c r="H29" s="58"/>
      <c r="I29" s="12" t="str">
        <f t="shared" si="7"/>
        <v>* group[=].element[+].code = #Radiotherapy.treatmentSites</v>
      </c>
      <c r="J29" s="12" t="str">
        <f t="shared" si="0"/>
        <v>* group[=].element[=].display = ##34#Treatment Sites:##34#</v>
      </c>
      <c r="K29" s="12" t="str">
        <f t="shared" si="1"/>
        <v>* group[=].element[=].target.code = #Procedure.</v>
      </c>
      <c r="L29" s="12" t="str">
        <f t="shared" si="2"/>
        <v>* group[=].element[=].target.display = ##34###34#</v>
      </c>
      <c r="M29" s="12" t="str">
        <f t="shared" si="3"/>
        <v>* group[=].element[=].target.equivalence = #equivalent</v>
      </c>
      <c r="N29" s="12" t="str">
        <f t="shared" si="4"/>
        <v/>
      </c>
      <c r="P29" s="11">
        <v>15</v>
      </c>
      <c r="Q29" s="11">
        <f t="shared" si="5"/>
        <v>2</v>
      </c>
      <c r="R29" s="11">
        <f t="shared" si="6"/>
        <v>3</v>
      </c>
      <c r="S29" s="12" t="str" cm="1">
        <f t="array" ref="S29">INDEX('Radiotherapy-ConceptMap-1'!$I$15:$N$124,Q29+1,R29)</f>
        <v>* group[=].element[=].target.code = #Procedure.code</v>
      </c>
    </row>
    <row r="30" spans="1:19" ht="44.25">
      <c r="B30" s="11" t="str">
        <f>Radiotherapy!B23</f>
        <v>treatmentSites.primary</v>
      </c>
      <c r="C30" s="11" t="str">
        <f>Radiotherapy!C23</f>
        <v>Primary</v>
      </c>
      <c r="D30" s="12"/>
      <c r="E30" s="12"/>
      <c r="F30" s="64" t="s">
        <v>1429</v>
      </c>
      <c r="G30" s="124"/>
      <c r="H30" s="58"/>
      <c r="I30" s="12" t="str">
        <f t="shared" si="7"/>
        <v>* group[=].element[+].code = #Radiotherapy.treatmentSites.primary</v>
      </c>
      <c r="J30" s="12" t="str">
        <f t="shared" si="0"/>
        <v>* group[=].element[=].display = ##34#Primary##34#</v>
      </c>
      <c r="K30" s="12" t="str">
        <f t="shared" si="1"/>
        <v>* group[=].element[=].target.code = #Procedure.</v>
      </c>
      <c r="L30" s="12" t="str">
        <f t="shared" si="2"/>
        <v>* group[=].element[=].target.display = ##34###34#</v>
      </c>
      <c r="M30" s="12" t="str">
        <f t="shared" si="3"/>
        <v>* group[=].element[=].target.equivalence = #equivalent</v>
      </c>
      <c r="N30" s="12" t="str">
        <f t="shared" si="4"/>
        <v/>
      </c>
      <c r="P30" s="11">
        <v>16</v>
      </c>
      <c r="Q30" s="11">
        <f t="shared" si="5"/>
        <v>2</v>
      </c>
      <c r="R30" s="11">
        <f t="shared" si="6"/>
        <v>4</v>
      </c>
      <c r="S30" s="12" t="str" cm="1">
        <f t="array" ref="S30">INDEX('Radiotherapy-ConceptMap-1'!$I$15:$N$124,Q30+1,R30)</f>
        <v>* group[=].element[=].target.display = ##34###34#</v>
      </c>
    </row>
    <row r="31" spans="1:19" ht="44.25">
      <c r="B31" s="11" t="str">
        <f>Radiotherapy!B24</f>
        <v>treatmentSites.neck</v>
      </c>
      <c r="C31" s="11" t="str">
        <f>Radiotherapy!C24</f>
        <v>Neck</v>
      </c>
      <c r="D31" s="12"/>
      <c r="E31" s="12"/>
      <c r="F31" s="64" t="s">
        <v>1429</v>
      </c>
      <c r="G31" s="124"/>
      <c r="H31" s="58"/>
      <c r="I31" s="12" t="str">
        <f t="shared" si="7"/>
        <v>* group[=].element[+].code = #Radiotherapy.treatmentSites.neck</v>
      </c>
      <c r="J31" s="12" t="str">
        <f t="shared" si="0"/>
        <v>* group[=].element[=].display = ##34#Neck##34#</v>
      </c>
      <c r="K31" s="12" t="str">
        <f t="shared" si="1"/>
        <v>* group[=].element[=].target.code = #Procedure.</v>
      </c>
      <c r="L31" s="12" t="str">
        <f t="shared" si="2"/>
        <v>* group[=].element[=].target.display = ##34###34#</v>
      </c>
      <c r="M31" s="12" t="str">
        <f t="shared" si="3"/>
        <v>* group[=].element[=].target.equivalence = #equivalent</v>
      </c>
      <c r="N31" s="12" t="str">
        <f t="shared" si="4"/>
        <v/>
      </c>
      <c r="P31" s="11">
        <v>17</v>
      </c>
      <c r="Q31" s="11">
        <f t="shared" si="5"/>
        <v>2</v>
      </c>
      <c r="R31" s="11">
        <f t="shared" si="6"/>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c r="E32" s="12"/>
      <c r="F32" s="64" t="s">
        <v>1429</v>
      </c>
      <c r="G32" s="124"/>
      <c r="H32" s="58"/>
      <c r="I32" s="12" t="str">
        <f t="shared" si="7"/>
        <v>* group[=].element[+].code = #Radiotherapy.treatmentSites.primaryAndIpsilateralNeck</v>
      </c>
      <c r="J32" s="12" t="str">
        <f t="shared" si="0"/>
        <v>* group[=].element[=].display = ##34#Primary and Ipsilateral Neck##34#</v>
      </c>
      <c r="K32" s="12" t="str">
        <f t="shared" si="1"/>
        <v>* group[=].element[=].target.code = #Procedure.</v>
      </c>
      <c r="L32" s="12" t="str">
        <f t="shared" si="2"/>
        <v>* group[=].element[=].target.display = ##34###34#</v>
      </c>
      <c r="M32" s="12" t="str">
        <f t="shared" si="3"/>
        <v>* group[=].element[=].target.equivalence = #equivalent</v>
      </c>
      <c r="N32" s="12" t="str">
        <f t="shared" si="4"/>
        <v/>
      </c>
      <c r="P32" s="11">
        <v>18</v>
      </c>
      <c r="Q32" s="11">
        <f t="shared" si="5"/>
        <v>2</v>
      </c>
      <c r="R32" s="11">
        <f t="shared" si="6"/>
        <v>6</v>
      </c>
      <c r="S32" s="12" t="str" cm="1">
        <f t="array" ref="S32">INDEX('Radiotherapy-ConceptMap-1'!$I$15:$N$124,Q32+1,R32)</f>
        <v>* group[=].element[=].target.comment = ##34#to be analized: add a slice to code or consider to define an extension for this (or cathegories (R5 extension)) ?##34#</v>
      </c>
    </row>
    <row r="33" spans="1:19" ht="44.25">
      <c r="B33" s="11" t="str">
        <f>Radiotherapy!B26</f>
        <v>treatmentSites.primaryAndBilateralNeck</v>
      </c>
      <c r="C33" s="11" t="str">
        <f>Radiotherapy!C26</f>
        <v>Primary and Bilateral Neck</v>
      </c>
      <c r="D33" s="12"/>
      <c r="E33" s="12"/>
      <c r="F33" s="64" t="s">
        <v>1429</v>
      </c>
      <c r="G33" s="124"/>
      <c r="H33" s="58"/>
      <c r="I33" s="12" t="str">
        <f t="shared" si="7"/>
        <v>* group[=].element[+].code = #Radiotherapy.treatmentSites.primaryAndBilateralNeck</v>
      </c>
      <c r="J33" s="12" t="str">
        <f t="shared" si="0"/>
        <v>* group[=].element[=].display = ##34#Primary and Bilateral Neck##34#</v>
      </c>
      <c r="K33" s="12" t="str">
        <f t="shared" si="1"/>
        <v>* group[=].element[=].target.code = #Procedure.</v>
      </c>
      <c r="L33" s="12" t="str">
        <f t="shared" si="2"/>
        <v>* group[=].element[=].target.display = ##34###34#</v>
      </c>
      <c r="M33" s="12" t="str">
        <f t="shared" si="3"/>
        <v>* group[=].element[=].target.equivalence = #equivalent</v>
      </c>
      <c r="N33" s="12" t="str">
        <f t="shared" si="4"/>
        <v/>
      </c>
      <c r="P33" s="11">
        <v>19</v>
      </c>
      <c r="Q33" s="11">
        <f t="shared" si="5"/>
        <v>3</v>
      </c>
      <c r="R33" s="11">
        <f t="shared" si="6"/>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c r="E34" s="12"/>
      <c r="F34" s="64" t="s">
        <v>1429</v>
      </c>
      <c r="G34" s="64"/>
      <c r="H34" s="58"/>
      <c r="I34" s="12" t="str">
        <f t="shared" si="7"/>
        <v>* group[=].element[+].code = #Radiotherapy.treatmentSites.distantMetastasis</v>
      </c>
      <c r="J34" s="12" t="str">
        <f t="shared" si="0"/>
        <v>* group[=].element[=].display = ##34#Distant Metastasis##34#</v>
      </c>
      <c r="K34" s="12" t="str">
        <f t="shared" si="1"/>
        <v>* group[=].element[=].target.code = #Procedure.</v>
      </c>
      <c r="L34" s="12" t="str">
        <f t="shared" si="2"/>
        <v>* group[=].element[=].target.display = ##34###34#</v>
      </c>
      <c r="M34" s="12" t="str">
        <f t="shared" si="3"/>
        <v>* group[=].element[=].target.equivalence = #equivalent</v>
      </c>
      <c r="N34" s="12" t="str">
        <f t="shared" si="4"/>
        <v/>
      </c>
      <c r="P34" s="11">
        <v>20</v>
      </c>
      <c r="Q34" s="11">
        <f t="shared" si="5"/>
        <v>3</v>
      </c>
      <c r="R34" s="11">
        <f t="shared" si="6"/>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c r="E35" s="12"/>
      <c r="F35" s="64" t="s">
        <v>1429</v>
      </c>
      <c r="G35" s="64"/>
      <c r="H35" s="58"/>
      <c r="I35" s="12" t="str">
        <f t="shared" si="7"/>
        <v>* group[=].element[+].code = #Radiotherapy.metastaticTreatmentSites</v>
      </c>
      <c r="J35" s="12" t="str">
        <f t="shared" si="0"/>
        <v>* group[=].element[=].display = ##34#Metastatic Treatment Sites:##34#</v>
      </c>
      <c r="K35" s="12" t="str">
        <f t="shared" si="1"/>
        <v>* group[=].element[=].target.code = #Procedure.</v>
      </c>
      <c r="L35" s="12" t="str">
        <f t="shared" si="2"/>
        <v>* group[=].element[=].target.display = ##34###34#</v>
      </c>
      <c r="M35" s="12" t="str">
        <f t="shared" si="3"/>
        <v>* group[=].element[=].target.equivalence = #equivalent</v>
      </c>
      <c r="N35" s="12" t="str">
        <f t="shared" si="4"/>
        <v/>
      </c>
      <c r="P35" s="11">
        <v>21</v>
      </c>
      <c r="Q35" s="11">
        <f t="shared" si="5"/>
        <v>3</v>
      </c>
      <c r="R35" s="11">
        <f t="shared" si="6"/>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c r="E36" s="12"/>
      <c r="F36" s="64" t="s">
        <v>1429</v>
      </c>
      <c r="G36" s="64"/>
      <c r="H36" s="58"/>
      <c r="I36" s="12" t="str">
        <f t="shared" si="7"/>
        <v>* group[=].element[+].code = #Radiotherapy.metastaticTreatmentSites.lung</v>
      </c>
      <c r="J36" s="12" t="str">
        <f t="shared" si="0"/>
        <v>* group[=].element[=].display = ##34#Lung
##34#</v>
      </c>
      <c r="K36" s="12" t="str">
        <f t="shared" si="1"/>
        <v>* group[=].element[=].target.code = #Procedure.</v>
      </c>
      <c r="L36" s="12" t="str">
        <f t="shared" si="2"/>
        <v>* group[=].element[=].target.display = ##34###34#</v>
      </c>
      <c r="M36" s="12" t="str">
        <f t="shared" si="3"/>
        <v>* group[=].element[=].target.equivalence = #equivalent</v>
      </c>
      <c r="N36" s="12" t="str">
        <f t="shared" si="4"/>
        <v/>
      </c>
      <c r="P36" s="11">
        <v>22</v>
      </c>
      <c r="Q36" s="11">
        <f t="shared" si="5"/>
        <v>3</v>
      </c>
      <c r="R36" s="11">
        <f t="shared" si="6"/>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c r="E37" s="12"/>
      <c r="F37" s="64" t="s">
        <v>1429</v>
      </c>
      <c r="G37" s="64"/>
      <c r="H37" s="58"/>
      <c r="I37" s="12" t="str">
        <f t="shared" si="7"/>
        <v>* group[=].element[+].code = #Radiotherapy.metastaticTreatmentSites.mediastinum</v>
      </c>
      <c r="J37" s="12" t="str">
        <f t="shared" si="0"/>
        <v>* group[=].element[=].display = ##34#Mediastinum
##34#</v>
      </c>
      <c r="K37" s="12" t="str">
        <f t="shared" si="1"/>
        <v>* group[=].element[=].target.code = #Procedure.</v>
      </c>
      <c r="L37" s="12" t="str">
        <f t="shared" si="2"/>
        <v>* group[=].element[=].target.display = ##34###34#</v>
      </c>
      <c r="M37" s="12" t="str">
        <f t="shared" si="3"/>
        <v>* group[=].element[=].target.equivalence = #equivalent</v>
      </c>
      <c r="N37" s="12" t="str">
        <f t="shared" si="4"/>
        <v/>
      </c>
      <c r="P37" s="11">
        <v>23</v>
      </c>
      <c r="Q37" s="11">
        <f t="shared" si="5"/>
        <v>3</v>
      </c>
      <c r="R37" s="11">
        <f t="shared" si="6"/>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c r="E38" s="12"/>
      <c r="F38" s="64" t="s">
        <v>1429</v>
      </c>
      <c r="G38" s="64"/>
      <c r="H38" s="58"/>
      <c r="I38" s="12" t="str">
        <f t="shared" si="7"/>
        <v>* group[=].element[+].code = #Radiotherapy.metastaticTreatmentSites.bone</v>
      </c>
      <c r="J38" s="12" t="str">
        <f t="shared" si="0"/>
        <v>* group[=].element[=].display = ##34#Bone
##34#</v>
      </c>
      <c r="K38" s="12" t="str">
        <f t="shared" si="1"/>
        <v>* group[=].element[=].target.code = #Procedure.</v>
      </c>
      <c r="L38" s="12" t="str">
        <f t="shared" si="2"/>
        <v>* group[=].element[=].target.display = ##34###34#</v>
      </c>
      <c r="M38" s="12" t="str">
        <f t="shared" si="3"/>
        <v>* group[=].element[=].target.equivalence = #equivalent</v>
      </c>
      <c r="N38" s="12" t="str">
        <f t="shared" si="4"/>
        <v/>
      </c>
      <c r="P38" s="11">
        <v>24</v>
      </c>
      <c r="Q38" s="11">
        <f t="shared" si="5"/>
        <v>3</v>
      </c>
      <c r="R38" s="11">
        <f t="shared" si="6"/>
        <v>6</v>
      </c>
      <c r="S38" s="12" t="str" cm="1">
        <f t="array" ref="S38">INDEX('Radiotherapy-ConceptMap-1'!$I$15:$N$124,Q38+1,R38)</f>
        <v>* group[=].element[=].target.comment = ##34#to be analyzed: derive this from a combination of elements or use other cathegories (R5 extension)##34#</v>
      </c>
    </row>
    <row r="39" spans="1:19">
      <c r="B39" s="11" t="str">
        <f>Radiotherapy!B32</f>
        <v>metastaticTreatmentSites.softTissue</v>
      </c>
      <c r="C39" s="11" t="str">
        <f>Radiotherapy!C32</f>
        <v xml:space="preserve">Soft Tissue
</v>
      </c>
      <c r="D39" s="12"/>
      <c r="E39" s="12"/>
      <c r="F39" s="64"/>
      <c r="G39" s="64"/>
      <c r="H39" s="58"/>
      <c r="I39" s="12"/>
      <c r="J39" s="12"/>
      <c r="K39" s="12"/>
      <c r="L39" s="12"/>
      <c r="M39" s="12"/>
      <c r="N39" s="12" t="str">
        <f t="shared" si="4"/>
        <v/>
      </c>
      <c r="P39" s="11">
        <v>25</v>
      </c>
      <c r="Q39" s="11">
        <f t="shared" si="5"/>
        <v>4</v>
      </c>
      <c r="R39" s="11">
        <f t="shared" si="6"/>
        <v>1</v>
      </c>
      <c r="S39" s="12" t="str" cm="1">
        <f t="array" ref="S39">INDEX('Radiotherapy-ConceptMap-1'!$I$15:$N$124,Q39+1,R39)</f>
        <v>* group[=].element[+].code = #Radiotherapy.beamQuality</v>
      </c>
    </row>
    <row r="40" spans="1:19" s="2" customFormat="1">
      <c r="A40"/>
      <c r="B40" s="11" t="str">
        <f>Radiotherapy!B33</f>
        <v>metastaticTreatmentSites.liver</v>
      </c>
      <c r="C40" s="11" t="str">
        <f>Radiotherapy!C33</f>
        <v xml:space="preserve">Liver
</v>
      </c>
      <c r="D40" s="12"/>
      <c r="E40" s="12"/>
      <c r="F40" s="64"/>
      <c r="G40" s="58"/>
      <c r="H40" s="58"/>
      <c r="J40"/>
      <c r="K40" s="58"/>
      <c r="L40" s="58"/>
      <c r="M40" s="66"/>
      <c r="N40" s="66"/>
      <c r="P40" s="11">
        <v>26</v>
      </c>
      <c r="Q40" s="11">
        <f t="shared" si="5"/>
        <v>4</v>
      </c>
      <c r="R40" s="11">
        <f t="shared" si="6"/>
        <v>2</v>
      </c>
      <c r="S40" s="12" t="str" cm="1">
        <f t="array" ref="S40">INDEX('Radiotherapy-ConceptMap-1'!$I$15:$N$124,Q40+1,R40)</f>
        <v>* group[=].element[=].display = ##34#Beam quality##34#</v>
      </c>
    </row>
    <row r="41" spans="1:19" s="2" customFormat="1">
      <c r="A41"/>
      <c r="B41" s="11" t="str">
        <f>Radiotherapy!B34</f>
        <v>treatmentCompletedAsPlanned</v>
      </c>
      <c r="C41" s="11" t="str">
        <f>Radiotherapy!C34</f>
        <v>Treatment Completed as Planned?</v>
      </c>
      <c r="D41" s="12"/>
      <c r="F41" s="58"/>
      <c r="G41" s="58"/>
      <c r="H41" s="58"/>
      <c r="J41"/>
      <c r="K41" s="58"/>
      <c r="L41" s="58"/>
      <c r="M41" s="66"/>
      <c r="N41" s="66"/>
      <c r="P41" s="11">
        <v>27</v>
      </c>
      <c r="Q41" s="11">
        <f t="shared" si="5"/>
        <v>4</v>
      </c>
      <c r="R41" s="11">
        <f t="shared" si="6"/>
        <v>3</v>
      </c>
      <c r="S41" s="12" t="str" cm="1">
        <f t="array" ref="S41">INDEX('Radiotherapy-ConceptMap-1'!$I$15:$N$124,Q41+1,R41)</f>
        <v>* group[=].element[=].target.code = #Procedure.code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5"/>
        <v>4</v>
      </c>
      <c r="R44" s="11">
        <f t="shared" si="6"/>
        <v>6</v>
      </c>
      <c r="S44" s="12" t="str" cm="1">
        <f t="array" ref="S44">INDEX('Radiotherapy-ConceptMap-1'!$I$15:$N$124,Q44+1,R44)</f>
        <v/>
      </c>
    </row>
    <row r="45" spans="1:19">
      <c r="B45" s="11"/>
      <c r="C45" s="11"/>
      <c r="P45" s="11">
        <v>31</v>
      </c>
      <c r="Q45" s="11">
        <f t="shared" si="5"/>
        <v>5</v>
      </c>
      <c r="R45" s="11">
        <f t="shared" si="6"/>
        <v>1</v>
      </c>
      <c r="S45" s="12" t="str" cm="1">
        <f t="array" ref="S45">INDEX('Radiotherapy-ConceptMap-1'!$I$15:$N$124,Q45+1,R45)</f>
        <v>* group[=].element[+].code = #Radiotherapy.otherSpecify</v>
      </c>
    </row>
    <row r="46" spans="1:19">
      <c r="B46" s="11"/>
      <c r="C46" s="11"/>
      <c r="P46" s="11">
        <v>32</v>
      </c>
      <c r="Q46" s="11">
        <f t="shared" si="5"/>
        <v>5</v>
      </c>
      <c r="R46" s="11">
        <f t="shared" si="6"/>
        <v>2</v>
      </c>
      <c r="S46" s="12" t="str" cm="1">
        <f t="array" ref="S46">INDEX('Radiotherapy-ConceptMap-1'!$I$15:$N$124,Q46+1,R46)</f>
        <v>* group[=].element[=].display = ##34#Other; specify##34#</v>
      </c>
    </row>
    <row r="47" spans="1:19">
      <c r="P47" s="11">
        <v>33</v>
      </c>
      <c r="Q47" s="11">
        <f t="shared" si="5"/>
        <v>5</v>
      </c>
      <c r="R47" s="11">
        <f t="shared" si="6"/>
        <v>3</v>
      </c>
      <c r="S47" s="12" t="str" cm="1">
        <f t="array" ref="S47">INDEX('Radiotherapy-ConceptMap-1'!$I$15:$N$124,Q47+1,R47)</f>
        <v>* group[=].element[=].target.code = #Procedure.</v>
      </c>
    </row>
    <row r="48" spans="1:19">
      <c r="P48" s="11">
        <v>34</v>
      </c>
      <c r="Q48" s="11">
        <f t="shared" si="5"/>
        <v>5</v>
      </c>
      <c r="R48" s="11">
        <f t="shared" si="6"/>
        <v>4</v>
      </c>
      <c r="S48" s="12" t="str" cm="1">
        <f t="array" ref="S48">INDEX('Radiotherapy-ConceptMap-1'!$I$15:$N$124,Q48+1,R48)</f>
        <v>* group[=].element[=].target.display = ##34###34#</v>
      </c>
    </row>
    <row r="49" spans="16:19">
      <c r="P49" s="11">
        <v>35</v>
      </c>
      <c r="Q49" s="11">
        <f t="shared" si="5"/>
        <v>5</v>
      </c>
      <c r="R49" s="11">
        <f t="shared" si="6"/>
        <v>5</v>
      </c>
      <c r="S49" s="12" t="str" cm="1">
        <f t="array" ref="S49">INDEX('Radiotherapy-ConceptMap-1'!$I$15:$N$124,Q49+1,R49)</f>
        <v>* group[=].element[=].target.equivalence = #relatedto</v>
      </c>
    </row>
    <row r="50" spans="16:19">
      <c r="P50" s="11">
        <v>36</v>
      </c>
      <c r="Q50" s="11">
        <f t="shared" si="5"/>
        <v>5</v>
      </c>
      <c r="R50" s="11">
        <f t="shared" si="6"/>
        <v>6</v>
      </c>
      <c r="S50" s="12" t="str" cm="1">
        <f t="array" ref="S50">INDEX('Radiotherapy-ConceptMap-1'!$I$15:$N$124,Q50+1,R50)</f>
        <v/>
      </c>
    </row>
    <row r="51" spans="16:19">
      <c r="P51" s="11">
        <v>37</v>
      </c>
      <c r="Q51" s="11">
        <f t="shared" si="5"/>
        <v>6</v>
      </c>
      <c r="R51" s="11">
        <f t="shared" si="6"/>
        <v>1</v>
      </c>
      <c r="S51" s="12" t="str" cm="1">
        <f t="array" ref="S51">INDEX('Radiotherapy-ConceptMap-1'!$I$15:$N$124,Q51+1,R51)</f>
        <v>* group[=].element[+].code = #Radiotherapy.treatmentTechnique</v>
      </c>
    </row>
    <row r="52" spans="16:19">
      <c r="P52" s="11">
        <v>38</v>
      </c>
      <c r="Q52" s="11">
        <f t="shared" si="5"/>
        <v>6</v>
      </c>
      <c r="R52" s="11">
        <f t="shared" si="6"/>
        <v>2</v>
      </c>
      <c r="S52" s="12" t="str" cm="1">
        <f t="array" ref="S52">INDEX('Radiotherapy-ConceptMap-1'!$I$15:$N$124,Q52+1,R52)</f>
        <v>* group[=].element[=].display = ##34#Treatment technique##34#</v>
      </c>
    </row>
    <row r="53" spans="16:19">
      <c r="P53" s="11">
        <v>39</v>
      </c>
      <c r="Q53" s="11">
        <f t="shared" si="5"/>
        <v>6</v>
      </c>
      <c r="R53" s="11">
        <f t="shared" si="6"/>
        <v>3</v>
      </c>
      <c r="S53" s="12" t="str" cm="1">
        <f t="array" ref="S53">INDEX('Radiotherapy-ConceptMap-1'!$I$15:$N$124,Q53+1,R53)</f>
        <v>* group[=].element[=].target.code = #Procedure.</v>
      </c>
    </row>
    <row r="54" spans="16:19">
      <c r="P54" s="11">
        <v>40</v>
      </c>
      <c r="Q54" s="11">
        <f t="shared" si="5"/>
        <v>6</v>
      </c>
      <c r="R54" s="11">
        <f t="shared" si="6"/>
        <v>4</v>
      </c>
      <c r="S54" s="12" t="str" cm="1">
        <f t="array" ref="S54">INDEX('Radiotherapy-ConceptMap-1'!$I$15:$N$124,Q54+1,R54)</f>
        <v>* group[=].element[=].target.display = ##34###34#</v>
      </c>
    </row>
    <row r="55" spans="16:19">
      <c r="P55" s="11">
        <v>41</v>
      </c>
      <c r="Q55" s="11">
        <f t="shared" si="5"/>
        <v>6</v>
      </c>
      <c r="R55" s="11">
        <f t="shared" si="6"/>
        <v>5</v>
      </c>
      <c r="S55" s="12" t="str" cm="1">
        <f t="array" ref="S55">INDEX('Radiotherapy-ConceptMap-1'!$I$15:$N$124,Q55+1,R55)</f>
        <v>* group[=].element[=].target.equivalence = #relatedto</v>
      </c>
    </row>
    <row r="56" spans="16:19">
      <c r="P56" s="11">
        <v>42</v>
      </c>
      <c r="Q56" s="11">
        <f t="shared" si="5"/>
        <v>6</v>
      </c>
      <c r="R56" s="11">
        <f t="shared" si="6"/>
        <v>6</v>
      </c>
      <c r="S56" s="12" t="str" cm="1">
        <f t="array" ref="S56">INDEX('Radiotherapy-ConceptMap-1'!$I$15:$N$124,Q56+1,R56)</f>
        <v/>
      </c>
    </row>
    <row r="57" spans="16:19">
      <c r="P57" s="11">
        <v>43</v>
      </c>
      <c r="Q57" s="11">
        <f t="shared" si="5"/>
        <v>7</v>
      </c>
      <c r="R57" s="11">
        <f t="shared" si="6"/>
        <v>1</v>
      </c>
      <c r="S57" s="12" t="str" cm="1">
        <f t="array" ref="S57">INDEX('Radiotherapy-ConceptMap-1'!$I$15:$N$124,Q57+1,R57)</f>
        <v>* group[=].element[+].code = #Radiotherapy.totalDoseTdGy</v>
      </c>
    </row>
    <row r="58" spans="16:19">
      <c r="P58" s="11">
        <v>44</v>
      </c>
      <c r="Q58" s="11">
        <f t="shared" si="5"/>
        <v>7</v>
      </c>
      <c r="R58" s="11">
        <f t="shared" si="6"/>
        <v>2</v>
      </c>
      <c r="S58" s="12" t="str" cm="1">
        <f t="array" ref="S58">INDEX('Radiotherapy-ConceptMap-1'!$I$15:$N$124,Q58+1,R58)</f>
        <v>* group[=].element[=].display = ##34#Total Dose (TD) Gy##34#</v>
      </c>
    </row>
    <row r="59" spans="16:19">
      <c r="P59" s="11">
        <v>45</v>
      </c>
      <c r="Q59" s="11">
        <f t="shared" si="5"/>
        <v>7</v>
      </c>
      <c r="R59" s="11">
        <f t="shared" si="6"/>
        <v>3</v>
      </c>
      <c r="S59" s="12" t="str" cm="1">
        <f t="array" ref="S59">INDEX('Radiotherapy-ConceptMap-1'!$I$15:$N$124,Q59+1,R59)</f>
        <v>* group[=].element[=].target.code = #Procedure.</v>
      </c>
    </row>
    <row r="60" spans="16:19">
      <c r="P60" s="11">
        <v>46</v>
      </c>
      <c r="Q60" s="11">
        <f t="shared" si="5"/>
        <v>7</v>
      </c>
      <c r="R60" s="11">
        <f t="shared" si="6"/>
        <v>4</v>
      </c>
      <c r="S60" s="12" t="str" cm="1">
        <f t="array" ref="S60">INDEX('Radiotherapy-ConceptMap-1'!$I$15:$N$124,Q60+1,R60)</f>
        <v>* group[=].element[=].target.display = ##34###34#</v>
      </c>
    </row>
    <row r="61" spans="16:19">
      <c r="P61" s="11">
        <v>47</v>
      </c>
      <c r="Q61" s="11">
        <f t="shared" si="5"/>
        <v>7</v>
      </c>
      <c r="R61" s="11">
        <f t="shared" si="6"/>
        <v>5</v>
      </c>
      <c r="S61" s="12" t="str" cm="1">
        <f t="array" ref="S61">INDEX('Radiotherapy-ConceptMap-1'!$I$15:$N$124,Q61+1,R61)</f>
        <v>* group[=].element[=].target.equivalence = #relatedto</v>
      </c>
    </row>
    <row r="62" spans="16:19">
      <c r="P62" s="11">
        <v>48</v>
      </c>
      <c r="Q62" s="11">
        <f t="shared" si="5"/>
        <v>7</v>
      </c>
      <c r="R62" s="11">
        <f t="shared" si="6"/>
        <v>6</v>
      </c>
      <c r="S62" s="12" t="str" cm="1">
        <f t="array" ref="S62">INDEX('Radiotherapy-ConceptMap-1'!$I$15:$N$124,Q62+1,R62)</f>
        <v/>
      </c>
    </row>
    <row r="63" spans="16:19">
      <c r="P63" s="11">
        <v>49</v>
      </c>
      <c r="Q63" s="11">
        <f t="shared" si="5"/>
        <v>8</v>
      </c>
      <c r="R63" s="11">
        <f t="shared" si="6"/>
        <v>1</v>
      </c>
      <c r="S63" s="12" t="str" cm="1">
        <f t="array" ref="S63">INDEX('Radiotherapy-ConceptMap-1'!$I$15:$N$124,Q63+1,R63)</f>
        <v>* group[=].element[+].code = #Radiotherapy.fractionSizeFs</v>
      </c>
    </row>
    <row r="64" spans="16:19">
      <c r="P64" s="11">
        <v>50</v>
      </c>
      <c r="Q64" s="11">
        <f t="shared" si="5"/>
        <v>8</v>
      </c>
      <c r="R64" s="11">
        <f t="shared" si="6"/>
        <v>2</v>
      </c>
      <c r="S64" s="12" t="str" cm="1">
        <f t="array" ref="S64">INDEX('Radiotherapy-ConceptMap-1'!$I$15:$N$124,Q64+1,R64)</f>
        <v>* group[=].element[=].display = ##34#Fraction Size (FS)##34#</v>
      </c>
    </row>
    <row r="65" spans="16:19">
      <c r="P65" s="11">
        <v>51</v>
      </c>
      <c r="Q65" s="11">
        <f t="shared" si="5"/>
        <v>8</v>
      </c>
      <c r="R65" s="11">
        <f t="shared" si="6"/>
        <v>3</v>
      </c>
      <c r="S65" s="12" t="str" cm="1">
        <f t="array" ref="S65">INDEX('Radiotherapy-ConceptMap-1'!$I$15:$N$124,Q65+1,R65)</f>
        <v>* group[=].element[=].target.code = #Procedure.</v>
      </c>
    </row>
    <row r="66" spans="16:19">
      <c r="P66" s="11">
        <v>52</v>
      </c>
      <c r="Q66" s="11">
        <f t="shared" si="5"/>
        <v>8</v>
      </c>
      <c r="R66" s="11">
        <f t="shared" si="6"/>
        <v>4</v>
      </c>
      <c r="S66" s="12" t="str" cm="1">
        <f t="array" ref="S66">INDEX('Radiotherapy-ConceptMap-1'!$I$15:$N$124,Q66+1,R66)</f>
        <v>* group[=].element[=].target.display = ##34###34#</v>
      </c>
    </row>
    <row r="67" spans="16:19">
      <c r="P67" s="11">
        <v>53</v>
      </c>
      <c r="Q67" s="11">
        <f t="shared" si="5"/>
        <v>8</v>
      </c>
      <c r="R67" s="11">
        <f t="shared" si="6"/>
        <v>5</v>
      </c>
      <c r="S67" s="12" t="str" cm="1">
        <f t="array" ref="S67">INDEX('Radiotherapy-ConceptMap-1'!$I$15:$N$124,Q67+1,R67)</f>
        <v>* group[=].element[=].target.equivalence = #equal</v>
      </c>
    </row>
    <row r="68" spans="16:19">
      <c r="P68" s="11">
        <v>54</v>
      </c>
      <c r="Q68" s="11">
        <f t="shared" si="5"/>
        <v>8</v>
      </c>
      <c r="R68" s="11">
        <f t="shared" si="6"/>
        <v>6</v>
      </c>
      <c r="S68" s="12" t="str" cm="1">
        <f t="array" ref="S68">INDEX('Radiotherapy-ConceptMap-1'!$I$15:$N$124,Q68+1,R68)</f>
        <v/>
      </c>
    </row>
    <row r="69" spans="16:19">
      <c r="P69" s="11">
        <v>55</v>
      </c>
      <c r="Q69" s="11">
        <f t="shared" si="5"/>
        <v>9</v>
      </c>
      <c r="R69" s="11">
        <f t="shared" si="6"/>
        <v>1</v>
      </c>
      <c r="S69" s="12" t="str" cm="1">
        <f t="array" ref="S69">INDEX('Radiotherapy-ConceptMap-1'!$I$15:$N$124,Q69+1,R69)</f>
        <v>* group[=].element[+].code = #Radiotherapy.numberOfFractions</v>
      </c>
    </row>
    <row r="70" spans="16:19">
      <c r="P70" s="11">
        <v>56</v>
      </c>
      <c r="Q70" s="11">
        <f t="shared" si="5"/>
        <v>9</v>
      </c>
      <c r="R70" s="11">
        <f t="shared" si="6"/>
        <v>2</v>
      </c>
      <c r="S70" s="12" t="str" cm="1">
        <f t="array" ref="S70">INDEX('Radiotherapy-ConceptMap-1'!$I$15:$N$124,Q70+1,R70)</f>
        <v>* group[=].element[=].display = ##34#Number of fractions##34#</v>
      </c>
    </row>
    <row r="71" spans="16:19">
      <c r="P71" s="11">
        <v>57</v>
      </c>
      <c r="Q71" s="11">
        <f t="shared" si="5"/>
        <v>9</v>
      </c>
      <c r="R71" s="11">
        <f t="shared" si="6"/>
        <v>3</v>
      </c>
      <c r="S71" s="12" t="str" cm="1">
        <f t="array" ref="S71">INDEX('Radiotherapy-ConceptMap-1'!$I$15:$N$124,Q71+1,R71)</f>
        <v>* group[=].element[=].target.code = #Procedure.</v>
      </c>
    </row>
    <row r="72" spans="16:19">
      <c r="P72" s="11">
        <v>58</v>
      </c>
      <c r="Q72" s="11">
        <f t="shared" si="5"/>
        <v>9</v>
      </c>
      <c r="R72" s="11">
        <f t="shared" si="6"/>
        <v>4</v>
      </c>
      <c r="S72" s="12" t="str" cm="1">
        <f t="array" ref="S72">INDEX('Radiotherapy-ConceptMap-1'!$I$15:$N$124,Q72+1,R72)</f>
        <v>* group[=].element[=].target.display = ##34###34#</v>
      </c>
    </row>
    <row r="73" spans="16:19">
      <c r="P73" s="11">
        <v>59</v>
      </c>
      <c r="Q73" s="11">
        <f t="shared" si="5"/>
        <v>9</v>
      </c>
      <c r="R73" s="11">
        <f t="shared" si="6"/>
        <v>5</v>
      </c>
      <c r="S73" s="12" t="str" cm="1">
        <f t="array" ref="S73">INDEX('Radiotherapy-ConceptMap-1'!$I$15:$N$124,Q73+1,R73)</f>
        <v>* group[=].element[=].target.equivalence = #relatedto</v>
      </c>
    </row>
    <row r="74" spans="16:19">
      <c r="P74" s="11">
        <v>60</v>
      </c>
      <c r="Q74" s="11">
        <f t="shared" si="5"/>
        <v>9</v>
      </c>
      <c r="R74" s="11">
        <f t="shared" si="6"/>
        <v>6</v>
      </c>
      <c r="S74" s="12" t="str" cm="1">
        <f t="array" ref="S74">INDEX('Radiotherapy-ConceptMap-1'!$I$15:$N$124,Q74+1,R74)</f>
        <v/>
      </c>
    </row>
    <row r="75" spans="16:19">
      <c r="P75" s="11">
        <v>61</v>
      </c>
      <c r="Q75" s="11">
        <f t="shared" si="5"/>
        <v>10</v>
      </c>
      <c r="R75" s="11">
        <f t="shared" si="6"/>
        <v>1</v>
      </c>
      <c r="S75" s="12" t="str" cm="1">
        <f t="array" ref="S75">INDEX('Radiotherapy-ConceptMap-1'!$I$15:$N$124,Q75+1,R75)</f>
        <v>* group[=].element[+].code = #Radiotherapy.adaptiveRt</v>
      </c>
    </row>
    <row r="76" spans="16:19">
      <c r="P76" s="11">
        <v>62</v>
      </c>
      <c r="Q76" s="11">
        <f t="shared" si="5"/>
        <v>10</v>
      </c>
      <c r="R76" s="11">
        <f t="shared" si="6"/>
        <v>2</v>
      </c>
      <c r="S76" s="12" t="str" cm="1">
        <f t="array" ref="S76">INDEX('Radiotherapy-ConceptMap-1'!$I$15:$N$124,Q76+1,R76)</f>
        <v>* group[=].element[=].display = ##34#Adaptive RT##34#</v>
      </c>
    </row>
    <row r="77" spans="16:19">
      <c r="P77" s="11">
        <v>63</v>
      </c>
      <c r="Q77" s="11">
        <f t="shared" si="5"/>
        <v>10</v>
      </c>
      <c r="R77" s="11">
        <f t="shared" si="6"/>
        <v>3</v>
      </c>
      <c r="S77" s="12" t="str" cm="1">
        <f t="array" ref="S77">INDEX('Radiotherapy-ConceptMap-1'!$I$15:$N$124,Q77+1,R77)</f>
        <v>* group[=].element[=].target.code = #Procedure.</v>
      </c>
    </row>
    <row r="78" spans="16:19">
      <c r="P78" s="11">
        <v>64</v>
      </c>
      <c r="Q78" s="11">
        <f t="shared" si="5"/>
        <v>10</v>
      </c>
      <c r="R78" s="11">
        <f t="shared" si="6"/>
        <v>4</v>
      </c>
      <c r="S78" s="12" t="str" cm="1">
        <f t="array" ref="S78">INDEX('Radiotherapy-ConceptMap-1'!$I$15:$N$124,Q78+1,R78)</f>
        <v>* group[=].element[=].target.display = ##34###34#</v>
      </c>
    </row>
    <row r="79" spans="16:19">
      <c r="P79" s="11">
        <v>65</v>
      </c>
      <c r="Q79" s="11">
        <f t="shared" ref="Q79:Q142" si="8">IF(MOD(P79,$Q$8)=0,P79/$Q$8-1,INT(P79/$Q$8))</f>
        <v>10</v>
      </c>
      <c r="R79" s="11">
        <f t="shared" ref="R79:R142" si="9">IF(MOD(P79,$Q$8)=0,$Q$8,MOD(P79,$Q$8))</f>
        <v>5</v>
      </c>
      <c r="S79" s="12" t="str" cm="1">
        <f t="array" ref="S79">INDEX('Radiotherapy-ConceptMap-1'!$I$15:$N$124,Q79+1,R79)</f>
        <v>* group[=].element[=].target.equivalence = #relatedto</v>
      </c>
    </row>
    <row r="80" spans="16:19">
      <c r="P80" s="11">
        <v>66</v>
      </c>
      <c r="Q80" s="11">
        <f t="shared" si="8"/>
        <v>10</v>
      </c>
      <c r="R80" s="11">
        <f t="shared" si="9"/>
        <v>6</v>
      </c>
      <c r="S80" s="12" t="str" cm="1">
        <f t="array" ref="S80">INDEX('Radiotherapy-ConceptMap-1'!$I$15:$N$124,Q80+1,R80)</f>
        <v/>
      </c>
    </row>
    <row r="81" spans="16:19">
      <c r="P81" s="11">
        <v>67</v>
      </c>
      <c r="Q81" s="11">
        <f t="shared" si="8"/>
        <v>11</v>
      </c>
      <c r="R81" s="11">
        <f t="shared" si="9"/>
        <v>1</v>
      </c>
      <c r="S81" s="12" t="str" cm="1">
        <f t="array" ref="S81">INDEX('Radiotherapy-ConceptMap-1'!$I$15:$N$124,Q81+1,R81)</f>
        <v>* group[=].element[+].code = #Radiotherapy.igrtImageGuideRadiotherapy</v>
      </c>
    </row>
    <row r="82" spans="16:19">
      <c r="P82" s="11">
        <v>68</v>
      </c>
      <c r="Q82" s="11">
        <f t="shared" si="8"/>
        <v>11</v>
      </c>
      <c r="R82" s="11">
        <f t="shared" si="9"/>
        <v>2</v>
      </c>
      <c r="S82" s="12" t="str" cm="1">
        <f t="array" ref="S82">INDEX('Radiotherapy-ConceptMap-1'!$I$15:$N$124,Q82+1,R82)</f>
        <v>* group[=].element[=].display = ##34#IGRT  (image guide radiotherapy)##34#</v>
      </c>
    </row>
    <row r="83" spans="16:19">
      <c r="P83" s="11">
        <v>69</v>
      </c>
      <c r="Q83" s="11">
        <f t="shared" si="8"/>
        <v>11</v>
      </c>
      <c r="R83" s="11">
        <f t="shared" si="9"/>
        <v>3</v>
      </c>
      <c r="S83" s="12" t="str" cm="1">
        <f t="array" ref="S83">INDEX('Radiotherapy-ConceptMap-1'!$I$15:$N$124,Q83+1,R83)</f>
        <v>* group[=].element[=].target.code = #Procedure.</v>
      </c>
    </row>
    <row r="84" spans="16:19">
      <c r="P84" s="11">
        <v>70</v>
      </c>
      <c r="Q84" s="11">
        <f t="shared" si="8"/>
        <v>11</v>
      </c>
      <c r="R84" s="11">
        <f t="shared" si="9"/>
        <v>4</v>
      </c>
      <c r="S84" s="12" t="str" cm="1">
        <f t="array" ref="S84">INDEX('Radiotherapy-ConceptMap-1'!$I$15:$N$124,Q84+1,R84)</f>
        <v>* group[=].element[=].target.display = ##34###34#</v>
      </c>
    </row>
    <row r="85" spans="16:19">
      <c r="P85" s="11">
        <v>71</v>
      </c>
      <c r="Q85" s="11">
        <f t="shared" si="8"/>
        <v>11</v>
      </c>
      <c r="R85" s="11">
        <f t="shared" si="9"/>
        <v>5</v>
      </c>
      <c r="S85" s="12" t="str" cm="1">
        <f t="array" ref="S85">INDEX('Radiotherapy-ConceptMap-1'!$I$15:$N$124,Q85+1,R85)</f>
        <v>* group[=].element[=].target.equivalence = #relatedto</v>
      </c>
    </row>
    <row r="86" spans="16:19">
      <c r="P86" s="11">
        <v>72</v>
      </c>
      <c r="Q86" s="11">
        <f t="shared" si="8"/>
        <v>11</v>
      </c>
      <c r="R86" s="11">
        <f t="shared" si="9"/>
        <v>6</v>
      </c>
      <c r="S86" s="12" t="str" cm="1">
        <f t="array" ref="S86">INDEX('Radiotherapy-ConceptMap-1'!$I$15:$N$124,Q86+1,R86)</f>
        <v/>
      </c>
    </row>
    <row r="87" spans="16:19">
      <c r="P87" s="11">
        <v>73</v>
      </c>
      <c r="Q87" s="11">
        <f t="shared" si="8"/>
        <v>12</v>
      </c>
      <c r="R87" s="11">
        <f t="shared" si="9"/>
        <v>1</v>
      </c>
      <c r="S87" s="12" t="str" cm="1">
        <f t="array" ref="S87">INDEX('Radiotherapy-ConceptMap-1'!$I$15:$N$124,Q87+1,R87)</f>
        <v>* group[=].element[+].code = #Radiotherapy.startDate</v>
      </c>
    </row>
    <row r="88" spans="16:19">
      <c r="P88" s="11">
        <v>74</v>
      </c>
      <c r="Q88" s="11">
        <f t="shared" si="8"/>
        <v>12</v>
      </c>
      <c r="R88" s="11">
        <f t="shared" si="9"/>
        <v>2</v>
      </c>
      <c r="S88" s="12" t="str" cm="1">
        <f t="array" ref="S88">INDEX('Radiotherapy-ConceptMap-1'!$I$15:$N$124,Q88+1,R88)</f>
        <v>* group[=].element[=].display = ##34#Start date##34#</v>
      </c>
    </row>
    <row r="89" spans="16:19">
      <c r="P89" s="11">
        <v>75</v>
      </c>
      <c r="Q89" s="11">
        <f t="shared" si="8"/>
        <v>12</v>
      </c>
      <c r="R89" s="11">
        <f t="shared" si="9"/>
        <v>3</v>
      </c>
      <c r="S89" s="12" t="str" cm="1">
        <f t="array" ref="S89">INDEX('Radiotherapy-ConceptMap-1'!$I$15:$N$124,Q89+1,R89)</f>
        <v>* group[=].element[=].target.code = #Procedure.</v>
      </c>
    </row>
    <row r="90" spans="16:19">
      <c r="P90" s="11">
        <v>76</v>
      </c>
      <c r="Q90" s="11">
        <f t="shared" si="8"/>
        <v>12</v>
      </c>
      <c r="R90" s="11">
        <f t="shared" si="9"/>
        <v>4</v>
      </c>
      <c r="S90" s="12" t="str" cm="1">
        <f t="array" ref="S90">INDEX('Radiotherapy-ConceptMap-1'!$I$15:$N$124,Q90+1,R90)</f>
        <v>* group[=].element[=].target.display = ##34###34#</v>
      </c>
    </row>
    <row r="91" spans="16:19">
      <c r="P91" s="11">
        <v>77</v>
      </c>
      <c r="Q91" s="11">
        <f t="shared" si="8"/>
        <v>12</v>
      </c>
      <c r="R91" s="11">
        <f t="shared" si="9"/>
        <v>5</v>
      </c>
      <c r="S91" s="12" t="str" cm="1">
        <f t="array" ref="S91">INDEX('Radiotherapy-ConceptMap-1'!$I$15:$N$124,Q91+1,R91)</f>
        <v>* group[=].element[=].target.equivalence = #equivalent</v>
      </c>
    </row>
    <row r="92" spans="16:19">
      <c r="P92" s="11">
        <v>78</v>
      </c>
      <c r="Q92" s="11">
        <f t="shared" si="8"/>
        <v>12</v>
      </c>
      <c r="R92" s="11">
        <f t="shared" si="9"/>
        <v>6</v>
      </c>
      <c r="S92" s="12" t="str" cm="1">
        <f t="array" ref="S92">INDEX('Radiotherapy-ConceptMap-1'!$I$15:$N$124,Q92+1,R92)</f>
        <v/>
      </c>
    </row>
    <row r="93" spans="16:19">
      <c r="P93" s="11">
        <v>79</v>
      </c>
      <c r="Q93" s="11">
        <f t="shared" si="8"/>
        <v>13</v>
      </c>
      <c r="R93" s="11">
        <f t="shared" si="9"/>
        <v>1</v>
      </c>
      <c r="S93" s="12" t="str" cm="1">
        <f t="array" ref="S93">INDEX('Radiotherapy-ConceptMap-1'!$I$15:$N$124,Q93+1,R93)</f>
        <v>* group[=].element[+].code = #Radiotherapy.endDate</v>
      </c>
    </row>
    <row r="94" spans="16:19">
      <c r="P94" s="11">
        <v>80</v>
      </c>
      <c r="Q94" s="11">
        <f t="shared" si="8"/>
        <v>13</v>
      </c>
      <c r="R94" s="11">
        <f t="shared" si="9"/>
        <v>2</v>
      </c>
      <c r="S94" s="12" t="str" cm="1">
        <f t="array" ref="S94">INDEX('Radiotherapy-ConceptMap-1'!$I$15:$N$124,Q94+1,R94)</f>
        <v>* group[=].element[=].display = ##34#End  date##34#</v>
      </c>
    </row>
    <row r="95" spans="16:19">
      <c r="P95" s="11">
        <v>81</v>
      </c>
      <c r="Q95" s="11">
        <f t="shared" si="8"/>
        <v>13</v>
      </c>
      <c r="R95" s="11">
        <f t="shared" si="9"/>
        <v>3</v>
      </c>
      <c r="S95" s="12" t="str" cm="1">
        <f t="array" ref="S95">INDEX('Radiotherapy-ConceptMap-1'!$I$15:$N$124,Q95+1,R95)</f>
        <v>* group[=].element[=].target.code = #Procedure.</v>
      </c>
    </row>
    <row r="96" spans="16:19">
      <c r="P96" s="11">
        <v>82</v>
      </c>
      <c r="Q96" s="11">
        <f t="shared" si="8"/>
        <v>13</v>
      </c>
      <c r="R96" s="11">
        <f t="shared" si="9"/>
        <v>4</v>
      </c>
      <c r="S96" s="12" t="str" cm="1">
        <f t="array" ref="S96">INDEX('Radiotherapy-ConceptMap-1'!$I$15:$N$124,Q96+1,R96)</f>
        <v>* group[=].element[=].target.display = ##34###34#</v>
      </c>
    </row>
    <row r="97" spans="16:19">
      <c r="P97" s="11">
        <v>83</v>
      </c>
      <c r="Q97" s="11">
        <f t="shared" si="8"/>
        <v>13</v>
      </c>
      <c r="R97" s="11">
        <f t="shared" si="9"/>
        <v>5</v>
      </c>
      <c r="S97" s="12" t="str" cm="1">
        <f t="array" ref="S97">INDEX('Radiotherapy-ConceptMap-1'!$I$15:$N$124,Q97+1,R97)</f>
        <v>* group[=].element[=].target.equivalence = #equivalent</v>
      </c>
    </row>
    <row r="98" spans="16:19">
      <c r="P98" s="11">
        <v>84</v>
      </c>
      <c r="Q98" s="11">
        <f t="shared" si="8"/>
        <v>13</v>
      </c>
      <c r="R98" s="11">
        <f t="shared" si="9"/>
        <v>6</v>
      </c>
      <c r="S98" s="12" t="str" cm="1">
        <f t="array" ref="S98">INDEX('Radiotherapy-ConceptMap-1'!$I$15:$N$124,Q98+1,R98)</f>
        <v/>
      </c>
    </row>
    <row r="99" spans="16:19">
      <c r="P99" s="11">
        <v>85</v>
      </c>
      <c r="Q99" s="11">
        <f t="shared" si="8"/>
        <v>14</v>
      </c>
      <c r="R99" s="11">
        <f t="shared" si="9"/>
        <v>1</v>
      </c>
      <c r="S99" s="12" t="str" cm="1">
        <f t="array" ref="S99">INDEX('Radiotherapy-ConceptMap-1'!$I$15:$N$124,Q99+1,R99)</f>
        <v>* group[=].element[+].code = #Radiotherapy.treatmentSites</v>
      </c>
    </row>
    <row r="100" spans="16:19">
      <c r="P100" s="11">
        <v>86</v>
      </c>
      <c r="Q100" s="11">
        <f t="shared" si="8"/>
        <v>14</v>
      </c>
      <c r="R100" s="11">
        <f t="shared" si="9"/>
        <v>2</v>
      </c>
      <c r="S100" s="12" t="str" cm="1">
        <f t="array" ref="S100">INDEX('Radiotherapy-ConceptMap-1'!$I$15:$N$124,Q100+1,R100)</f>
        <v>* group[=].element[=].display = ##34#Treatment Sites:##34#</v>
      </c>
    </row>
    <row r="101" spans="16:19">
      <c r="P101" s="11">
        <v>87</v>
      </c>
      <c r="Q101" s="11">
        <f t="shared" si="8"/>
        <v>14</v>
      </c>
      <c r="R101" s="11">
        <f t="shared" si="9"/>
        <v>3</v>
      </c>
      <c r="S101" s="12" t="str" cm="1">
        <f t="array" ref="S101">INDEX('Radiotherapy-ConceptMap-1'!$I$15:$N$124,Q101+1,R101)</f>
        <v>* group[=].element[=].target.code = #Procedure.</v>
      </c>
    </row>
    <row r="102" spans="16:19">
      <c r="P102" s="11">
        <v>88</v>
      </c>
      <c r="Q102" s="11">
        <f t="shared" si="8"/>
        <v>14</v>
      </c>
      <c r="R102" s="11">
        <f t="shared" si="9"/>
        <v>4</v>
      </c>
      <c r="S102" s="12" t="str" cm="1">
        <f t="array" ref="S102">INDEX('Radiotherapy-ConceptMap-1'!$I$15:$N$124,Q102+1,R102)</f>
        <v>* group[=].element[=].target.display = ##34###34#</v>
      </c>
    </row>
    <row r="103" spans="16:19">
      <c r="P103" s="11">
        <v>89</v>
      </c>
      <c r="Q103" s="11">
        <f t="shared" si="8"/>
        <v>14</v>
      </c>
      <c r="R103" s="11">
        <f t="shared" si="9"/>
        <v>5</v>
      </c>
      <c r="S103" s="12" t="str" cm="1">
        <f t="array" ref="S103">INDEX('Radiotherapy-ConceptMap-1'!$I$15:$N$124,Q103+1,R103)</f>
        <v>* group[=].element[=].target.equivalence = #equivalent</v>
      </c>
    </row>
    <row r="104" spans="16:19">
      <c r="P104" s="11">
        <v>90</v>
      </c>
      <c r="Q104" s="11">
        <f t="shared" si="8"/>
        <v>14</v>
      </c>
      <c r="R104" s="11">
        <f t="shared" si="9"/>
        <v>6</v>
      </c>
      <c r="S104" s="12" t="str" cm="1">
        <f t="array" ref="S104">INDEX('Radiotherapy-ConceptMap-1'!$I$15:$N$124,Q104+1,R104)</f>
        <v/>
      </c>
    </row>
    <row r="105" spans="16:19">
      <c r="P105" s="11">
        <v>91</v>
      </c>
      <c r="Q105" s="11">
        <f t="shared" si="8"/>
        <v>15</v>
      </c>
      <c r="R105" s="11">
        <f t="shared" si="9"/>
        <v>1</v>
      </c>
      <c r="S105" s="12" t="str" cm="1">
        <f t="array" ref="S105">INDEX('Radiotherapy-ConceptMap-1'!$I$15:$N$124,Q105+1,R105)</f>
        <v>* group[=].element[+].code = #Radiotherapy.treatmentSites.primary</v>
      </c>
    </row>
    <row r="106" spans="16:19">
      <c r="P106" s="11">
        <v>92</v>
      </c>
      <c r="Q106" s="11">
        <f t="shared" si="8"/>
        <v>15</v>
      </c>
      <c r="R106" s="11">
        <f t="shared" si="9"/>
        <v>2</v>
      </c>
      <c r="S106" s="12" t="str" cm="1">
        <f t="array" ref="S106">INDEX('Radiotherapy-ConceptMap-1'!$I$15:$N$124,Q106+1,R106)</f>
        <v>* group[=].element[=].display = ##34#Primary##34#</v>
      </c>
    </row>
    <row r="107" spans="16:19">
      <c r="P107" s="11">
        <v>93</v>
      </c>
      <c r="Q107" s="11">
        <f t="shared" si="8"/>
        <v>15</v>
      </c>
      <c r="R107" s="11">
        <f t="shared" si="9"/>
        <v>3</v>
      </c>
      <c r="S107" s="12" t="str" cm="1">
        <f t="array" ref="S107">INDEX('Radiotherapy-ConceptMap-1'!$I$15:$N$124,Q107+1,R107)</f>
        <v>* group[=].element[=].target.code = #Procedure.</v>
      </c>
    </row>
    <row r="108" spans="16:19">
      <c r="P108" s="11">
        <v>94</v>
      </c>
      <c r="Q108" s="11">
        <f t="shared" si="8"/>
        <v>15</v>
      </c>
      <c r="R108" s="11">
        <f t="shared" si="9"/>
        <v>4</v>
      </c>
      <c r="S108" s="12" t="str" cm="1">
        <f t="array" ref="S108">INDEX('Radiotherapy-ConceptMap-1'!$I$15:$N$124,Q108+1,R108)</f>
        <v>* group[=].element[=].target.display = ##34###34#</v>
      </c>
    </row>
    <row r="109" spans="16:19">
      <c r="P109" s="11">
        <v>95</v>
      </c>
      <c r="Q109" s="11">
        <f t="shared" si="8"/>
        <v>15</v>
      </c>
      <c r="R109" s="11">
        <f t="shared" si="9"/>
        <v>5</v>
      </c>
      <c r="S109" s="12" t="str" cm="1">
        <f t="array" ref="S109">INDEX('Radiotherapy-ConceptMap-1'!$I$15:$N$124,Q109+1,R109)</f>
        <v>* group[=].element[=].target.equivalence = #equivalent</v>
      </c>
    </row>
    <row r="110" spans="16:19">
      <c r="P110" s="11">
        <v>96</v>
      </c>
      <c r="Q110" s="11">
        <f t="shared" si="8"/>
        <v>15</v>
      </c>
      <c r="R110" s="11">
        <f t="shared" si="9"/>
        <v>6</v>
      </c>
      <c r="S110" s="12" t="str" cm="1">
        <f t="array" ref="S110">INDEX('Radiotherapy-ConceptMap-1'!$I$15:$N$124,Q110+1,R110)</f>
        <v/>
      </c>
    </row>
    <row r="111" spans="16:19">
      <c r="P111" s="11">
        <v>97</v>
      </c>
      <c r="Q111" s="11">
        <f t="shared" si="8"/>
        <v>16</v>
      </c>
      <c r="R111" s="11">
        <f t="shared" si="9"/>
        <v>1</v>
      </c>
      <c r="S111" s="12" t="str" cm="1">
        <f t="array" ref="S111">INDEX('Radiotherapy-ConceptMap-1'!$I$15:$N$124,Q111+1,R111)</f>
        <v>* group[=].element[+].code = #Radiotherapy.treatmentSites.neck</v>
      </c>
    </row>
    <row r="112" spans="16:19">
      <c r="P112" s="11">
        <v>98</v>
      </c>
      <c r="Q112" s="11">
        <f t="shared" si="8"/>
        <v>16</v>
      </c>
      <c r="R112" s="11">
        <f t="shared" si="9"/>
        <v>2</v>
      </c>
      <c r="S112" s="12" t="str" cm="1">
        <f t="array" ref="S112">INDEX('Radiotherapy-ConceptMap-1'!$I$15:$N$124,Q112+1,R112)</f>
        <v>* group[=].element[=].display = ##34#Neck##34#</v>
      </c>
    </row>
    <row r="113" spans="16:19">
      <c r="P113" s="11">
        <v>99</v>
      </c>
      <c r="Q113" s="11">
        <f t="shared" si="8"/>
        <v>16</v>
      </c>
      <c r="R113" s="11">
        <f t="shared" si="9"/>
        <v>3</v>
      </c>
      <c r="S113" s="12" t="str" cm="1">
        <f t="array" ref="S113">INDEX('Radiotherapy-ConceptMap-1'!$I$15:$N$124,Q113+1,R113)</f>
        <v>* group[=].element[=].target.code = #Procedure.</v>
      </c>
    </row>
    <row r="114" spans="16:19">
      <c r="P114" s="11">
        <v>100</v>
      </c>
      <c r="Q114" s="11">
        <f t="shared" si="8"/>
        <v>16</v>
      </c>
      <c r="R114" s="11">
        <f t="shared" si="9"/>
        <v>4</v>
      </c>
      <c r="S114" s="12" t="str" cm="1">
        <f t="array" ref="S114">INDEX('Radiotherapy-ConceptMap-1'!$I$15:$N$124,Q114+1,R114)</f>
        <v>* group[=].element[=].target.display = ##34###34#</v>
      </c>
    </row>
    <row r="115" spans="16:19">
      <c r="P115" s="11">
        <v>101</v>
      </c>
      <c r="Q115" s="11">
        <f t="shared" si="8"/>
        <v>16</v>
      </c>
      <c r="R115" s="11">
        <f t="shared" si="9"/>
        <v>5</v>
      </c>
      <c r="S115" s="12" t="str" cm="1">
        <f t="array" ref="S115">INDEX('Radiotherapy-ConceptMap-1'!$I$15:$N$124,Q115+1,R115)</f>
        <v>* group[=].element[=].target.equivalence = #equivalent</v>
      </c>
    </row>
    <row r="116" spans="16:19">
      <c r="P116" s="11">
        <v>102</v>
      </c>
      <c r="Q116" s="11">
        <f t="shared" si="8"/>
        <v>16</v>
      </c>
      <c r="R116" s="11">
        <f t="shared" si="9"/>
        <v>6</v>
      </c>
      <c r="S116" s="12" t="str" cm="1">
        <f t="array" ref="S116">INDEX('Radiotherapy-ConceptMap-1'!$I$15:$N$124,Q116+1,R116)</f>
        <v/>
      </c>
    </row>
    <row r="117" spans="16:19" ht="29.5">
      <c r="P117" s="11">
        <v>103</v>
      </c>
      <c r="Q117" s="11">
        <f t="shared" si="8"/>
        <v>17</v>
      </c>
      <c r="R117" s="11">
        <f t="shared" si="9"/>
        <v>1</v>
      </c>
      <c r="S117" s="12" t="str" cm="1">
        <f t="array" ref="S117">INDEX('Radiotherapy-ConceptMap-1'!$I$15:$N$124,Q117+1,R117)</f>
        <v>* group[=].element[+].code = #Radiotherapy.treatmentSites.primaryAndIpsilateralNeck</v>
      </c>
    </row>
    <row r="118" spans="16:19">
      <c r="P118" s="11">
        <v>104</v>
      </c>
      <c r="Q118" s="11">
        <f t="shared" si="8"/>
        <v>17</v>
      </c>
      <c r="R118" s="11">
        <f t="shared" si="9"/>
        <v>2</v>
      </c>
      <c r="S118" s="12" t="str" cm="1">
        <f t="array" ref="S118">INDEX('Radiotherapy-ConceptMap-1'!$I$15:$N$124,Q118+1,R118)</f>
        <v>* group[=].element[=].display = ##34#Primary and Ipsilateral Neck##34#</v>
      </c>
    </row>
    <row r="119" spans="16:19">
      <c r="P119" s="11">
        <v>105</v>
      </c>
      <c r="Q119" s="11">
        <f t="shared" si="8"/>
        <v>17</v>
      </c>
      <c r="R119" s="11">
        <f t="shared" si="9"/>
        <v>3</v>
      </c>
      <c r="S119" s="12" t="str" cm="1">
        <f t="array" ref="S119">INDEX('Radiotherapy-ConceptMap-1'!$I$15:$N$124,Q119+1,R119)</f>
        <v>* group[=].element[=].target.code = #Procedure.</v>
      </c>
    </row>
    <row r="120" spans="16:19">
      <c r="P120" s="11">
        <v>106</v>
      </c>
      <c r="Q120" s="11">
        <f t="shared" si="8"/>
        <v>17</v>
      </c>
      <c r="R120" s="11">
        <f t="shared" si="9"/>
        <v>4</v>
      </c>
      <c r="S120" s="12" t="str" cm="1">
        <f t="array" ref="S120">INDEX('Radiotherapy-ConceptMap-1'!$I$15:$N$124,Q120+1,R120)</f>
        <v>* group[=].element[=].target.display = ##34###34#</v>
      </c>
    </row>
    <row r="121" spans="16:19">
      <c r="P121" s="11">
        <v>107</v>
      </c>
      <c r="Q121" s="11">
        <f t="shared" si="8"/>
        <v>17</v>
      </c>
      <c r="R121" s="11">
        <f t="shared" si="9"/>
        <v>5</v>
      </c>
      <c r="S121" s="12" t="str" cm="1">
        <f t="array" ref="S121">INDEX('Radiotherapy-ConceptMap-1'!$I$15:$N$124,Q121+1,R121)</f>
        <v>* group[=].element[=].target.equivalence = #equivalent</v>
      </c>
    </row>
    <row r="122" spans="16:19">
      <c r="P122" s="11">
        <v>108</v>
      </c>
      <c r="Q122" s="11">
        <f t="shared" si="8"/>
        <v>17</v>
      </c>
      <c r="R122" s="11">
        <f t="shared" si="9"/>
        <v>6</v>
      </c>
      <c r="S122" s="12" t="str" cm="1">
        <f t="array" ref="S122">INDEX('Radiotherapy-ConceptMap-1'!$I$15:$N$124,Q122+1,R122)</f>
        <v/>
      </c>
    </row>
    <row r="123" spans="16:19">
      <c r="P123" s="11">
        <v>109</v>
      </c>
      <c r="Q123" s="11">
        <f t="shared" si="8"/>
        <v>18</v>
      </c>
      <c r="R123" s="11">
        <f t="shared" si="9"/>
        <v>1</v>
      </c>
      <c r="S123" s="12" t="str" cm="1">
        <f t="array" ref="S123">INDEX('Radiotherapy-ConceptMap-1'!$I$15:$N$124,Q123+1,R123)</f>
        <v>* group[=].element[+].code = #Radiotherapy.treatmentSites.primaryAndBilateralNeck</v>
      </c>
    </row>
    <row r="124" spans="16:19">
      <c r="P124" s="11">
        <v>110</v>
      </c>
      <c r="Q124" s="11">
        <f t="shared" si="8"/>
        <v>18</v>
      </c>
      <c r="R124" s="11">
        <f t="shared" si="9"/>
        <v>2</v>
      </c>
      <c r="S124" s="12" t="str" cm="1">
        <f t="array" ref="S124">INDEX('Radiotherapy-ConceptMap-1'!$I$15:$N$124,Q124+1,R124)</f>
        <v>* group[=].element[=].display = ##34#Primary and Bilateral Neck##34#</v>
      </c>
    </row>
    <row r="125" spans="16:19">
      <c r="P125" s="11">
        <v>111</v>
      </c>
      <c r="Q125" s="11">
        <f t="shared" si="8"/>
        <v>18</v>
      </c>
      <c r="R125" s="11">
        <f t="shared" si="9"/>
        <v>3</v>
      </c>
      <c r="S125" s="12" t="str" cm="1">
        <f t="array" ref="S125">INDEX('Radiotherapy-ConceptMap-1'!$I$15:$N$124,Q125+1,R125)</f>
        <v>* group[=].element[=].target.code = #Procedure.</v>
      </c>
    </row>
    <row r="126" spans="16:19">
      <c r="P126" s="11">
        <v>112</v>
      </c>
      <c r="Q126" s="11">
        <f t="shared" si="8"/>
        <v>18</v>
      </c>
      <c r="R126" s="11">
        <f t="shared" si="9"/>
        <v>4</v>
      </c>
      <c r="S126" s="12" t="str" cm="1">
        <f t="array" ref="S126">INDEX('Radiotherapy-ConceptMap-1'!$I$15:$N$124,Q126+1,R126)</f>
        <v>* group[=].element[=].target.display = ##34###34#</v>
      </c>
    </row>
    <row r="127" spans="16:19">
      <c r="P127" s="11">
        <v>113</v>
      </c>
      <c r="Q127" s="11">
        <f t="shared" si="8"/>
        <v>18</v>
      </c>
      <c r="R127" s="11">
        <f t="shared" si="9"/>
        <v>5</v>
      </c>
      <c r="S127" s="12" t="str" cm="1">
        <f t="array" ref="S127">INDEX('Radiotherapy-ConceptMap-1'!$I$15:$N$124,Q127+1,R127)</f>
        <v>* group[=].element[=].target.equivalence = #equivalent</v>
      </c>
    </row>
    <row r="128" spans="16:19">
      <c r="P128" s="11">
        <v>114</v>
      </c>
      <c r="Q128" s="11">
        <f t="shared" si="8"/>
        <v>18</v>
      </c>
      <c r="R128" s="11">
        <f t="shared" si="9"/>
        <v>6</v>
      </c>
      <c r="S128" s="12" t="str" cm="1">
        <f t="array" ref="S128">INDEX('Radiotherapy-ConceptMap-1'!$I$15:$N$124,Q128+1,R128)</f>
        <v/>
      </c>
    </row>
    <row r="129" spans="16:19">
      <c r="P129" s="11">
        <v>115</v>
      </c>
      <c r="Q129" s="11">
        <f t="shared" si="8"/>
        <v>19</v>
      </c>
      <c r="R129" s="11">
        <f t="shared" si="9"/>
        <v>1</v>
      </c>
      <c r="S129" s="12" t="str" cm="1">
        <f t="array" ref="S129">INDEX('Radiotherapy-ConceptMap-1'!$I$15:$N$124,Q129+1,R129)</f>
        <v>* group[=].element[+].code = #Radiotherapy.treatmentSites.distantMetastasis</v>
      </c>
    </row>
    <row r="130" spans="16:19">
      <c r="P130" s="11">
        <v>116</v>
      </c>
      <c r="Q130" s="11">
        <f t="shared" si="8"/>
        <v>19</v>
      </c>
      <c r="R130" s="11">
        <f t="shared" si="9"/>
        <v>2</v>
      </c>
      <c r="S130" s="12" t="str" cm="1">
        <f t="array" ref="S130">INDEX('Radiotherapy-ConceptMap-1'!$I$15:$N$124,Q130+1,R130)</f>
        <v>* group[=].element[=].display = ##34#Distant Metastasis##34#</v>
      </c>
    </row>
    <row r="131" spans="16:19">
      <c r="P131" s="11">
        <v>117</v>
      </c>
      <c r="Q131" s="11">
        <f t="shared" si="8"/>
        <v>19</v>
      </c>
      <c r="R131" s="11">
        <f t="shared" si="9"/>
        <v>3</v>
      </c>
      <c r="S131" s="12" t="str" cm="1">
        <f t="array" ref="S131">INDEX('Radiotherapy-ConceptMap-1'!$I$15:$N$124,Q131+1,R131)</f>
        <v>* group[=].element[=].target.code = #Procedure.</v>
      </c>
    </row>
    <row r="132" spans="16:19">
      <c r="P132" s="11">
        <v>118</v>
      </c>
      <c r="Q132" s="11">
        <f t="shared" si="8"/>
        <v>19</v>
      </c>
      <c r="R132" s="11">
        <f t="shared" si="9"/>
        <v>4</v>
      </c>
      <c r="S132" s="12" t="str" cm="1">
        <f t="array" ref="S132">INDEX('Radiotherapy-ConceptMap-1'!$I$15:$N$124,Q132+1,R132)</f>
        <v>* group[=].element[=].target.display = ##34###34#</v>
      </c>
    </row>
    <row r="133" spans="16:19">
      <c r="P133" s="11">
        <v>119</v>
      </c>
      <c r="Q133" s="11">
        <f t="shared" si="8"/>
        <v>19</v>
      </c>
      <c r="R133" s="11">
        <f t="shared" si="9"/>
        <v>5</v>
      </c>
      <c r="S133" s="12" t="str" cm="1">
        <f t="array" ref="S133">INDEX('Radiotherapy-ConceptMap-1'!$I$15:$N$124,Q133+1,R133)</f>
        <v>* group[=].element[=].target.equivalence = #equivalent</v>
      </c>
    </row>
    <row r="134" spans="16:19">
      <c r="P134" s="11">
        <v>120</v>
      </c>
      <c r="Q134" s="11">
        <f t="shared" si="8"/>
        <v>19</v>
      </c>
      <c r="R134" s="11">
        <f t="shared" si="9"/>
        <v>6</v>
      </c>
      <c r="S134" s="12" t="str" cm="1">
        <f t="array" ref="S134">INDEX('Radiotherapy-ConceptMap-1'!$I$15:$N$124,Q134+1,R134)</f>
        <v/>
      </c>
    </row>
    <row r="135" spans="16:19">
      <c r="P135" s="11">
        <v>121</v>
      </c>
      <c r="Q135" s="11">
        <f t="shared" si="8"/>
        <v>20</v>
      </c>
      <c r="R135" s="11">
        <f t="shared" si="9"/>
        <v>1</v>
      </c>
      <c r="S135" s="12" t="str" cm="1">
        <f t="array" ref="S135">INDEX('Radiotherapy-ConceptMap-1'!$I$15:$N$124,Q135+1,R135)</f>
        <v>* group[=].element[+].code = #Radiotherapy.metastaticTreatmentSites</v>
      </c>
    </row>
    <row r="136" spans="16:19">
      <c r="P136" s="11">
        <v>122</v>
      </c>
      <c r="Q136" s="11">
        <f t="shared" si="8"/>
        <v>20</v>
      </c>
      <c r="R136" s="11">
        <f t="shared" si="9"/>
        <v>2</v>
      </c>
      <c r="S136" s="12" t="str" cm="1">
        <f t="array" ref="S136">INDEX('Radiotherapy-ConceptMap-1'!$I$15:$N$124,Q136+1,R136)</f>
        <v>* group[=].element[=].display = ##34#Metastatic Treatment Sites:##34#</v>
      </c>
    </row>
    <row r="137" spans="16:19">
      <c r="P137" s="11">
        <v>123</v>
      </c>
      <c r="Q137" s="11">
        <f t="shared" si="8"/>
        <v>20</v>
      </c>
      <c r="R137" s="11">
        <f t="shared" si="9"/>
        <v>3</v>
      </c>
      <c r="S137" s="12" t="str" cm="1">
        <f t="array" ref="S137">INDEX('Radiotherapy-ConceptMap-1'!$I$15:$N$124,Q137+1,R137)</f>
        <v>* group[=].element[=].target.code = #Procedure.</v>
      </c>
    </row>
    <row r="138" spans="16:19">
      <c r="P138" s="11">
        <v>124</v>
      </c>
      <c r="Q138" s="11">
        <f t="shared" si="8"/>
        <v>20</v>
      </c>
      <c r="R138" s="11">
        <f t="shared" si="9"/>
        <v>4</v>
      </c>
      <c r="S138" s="12" t="str" cm="1">
        <f t="array" ref="S138">INDEX('Radiotherapy-ConceptMap-1'!$I$15:$N$124,Q138+1,R138)</f>
        <v>* group[=].element[=].target.display = ##34###34#</v>
      </c>
    </row>
    <row r="139" spans="16:19">
      <c r="P139" s="11">
        <v>125</v>
      </c>
      <c r="Q139" s="11">
        <f t="shared" si="8"/>
        <v>20</v>
      </c>
      <c r="R139" s="11">
        <f t="shared" si="9"/>
        <v>5</v>
      </c>
      <c r="S139" s="12" t="str" cm="1">
        <f t="array" ref="S139">INDEX('Radiotherapy-ConceptMap-1'!$I$15:$N$124,Q139+1,R139)</f>
        <v>* group[=].element[=].target.equivalence = #equivalent</v>
      </c>
    </row>
    <row r="140" spans="16:19">
      <c r="P140" s="11">
        <v>126</v>
      </c>
      <c r="Q140" s="11">
        <f t="shared" si="8"/>
        <v>20</v>
      </c>
      <c r="R140" s="11">
        <f t="shared" si="9"/>
        <v>6</v>
      </c>
      <c r="S140" s="12" t="str" cm="1">
        <f t="array" ref="S140">INDEX('Radiotherapy-ConceptMap-1'!$I$15:$N$124,Q140+1,R140)</f>
        <v/>
      </c>
    </row>
    <row r="141" spans="16:19">
      <c r="P141" s="11">
        <v>127</v>
      </c>
      <c r="Q141" s="11">
        <f t="shared" si="8"/>
        <v>21</v>
      </c>
      <c r="R141" s="11">
        <f t="shared" si="9"/>
        <v>1</v>
      </c>
      <c r="S141" s="12" t="str" cm="1">
        <f t="array" ref="S141">INDEX('Radiotherapy-ConceptMap-1'!$I$15:$N$124,Q141+1,R141)</f>
        <v>* group[=].element[+].code = #Radiotherapy.metastaticTreatmentSites.lung</v>
      </c>
    </row>
    <row r="142" spans="16:19" ht="29.5">
      <c r="P142" s="11">
        <v>128</v>
      </c>
      <c r="Q142" s="11">
        <f t="shared" si="8"/>
        <v>21</v>
      </c>
      <c r="R142" s="11">
        <f t="shared" si="9"/>
        <v>2</v>
      </c>
      <c r="S142" s="12" t="str" cm="1">
        <f t="array" ref="S142">INDEX('Radiotherapy-ConceptMap-1'!$I$15:$N$124,Q142+1,R142)</f>
        <v>* group[=].element[=].display = ##34#Lung
##34#</v>
      </c>
    </row>
    <row r="143" spans="16:19">
      <c r="P143" s="11">
        <v>129</v>
      </c>
      <c r="Q143" s="11">
        <f t="shared" ref="Q143:Q163" si="10">IF(MOD(P143,$Q$8)=0,P143/$Q$8-1,INT(P143/$Q$8))</f>
        <v>21</v>
      </c>
      <c r="R143" s="11">
        <f t="shared" ref="R143:R163" si="11">IF(MOD(P143,$Q$8)=0,$Q$8,MOD(P143,$Q$8))</f>
        <v>3</v>
      </c>
      <c r="S143" s="12" t="str" cm="1">
        <f t="array" ref="S143">INDEX('Radiotherapy-ConceptMap-1'!$I$15:$N$124,Q143+1,R143)</f>
        <v>* group[=].element[=].target.code = #Procedure.</v>
      </c>
    </row>
    <row r="144" spans="16:19">
      <c r="P144" s="11">
        <v>130</v>
      </c>
      <c r="Q144" s="11">
        <f t="shared" si="10"/>
        <v>21</v>
      </c>
      <c r="R144" s="11">
        <f t="shared" si="11"/>
        <v>4</v>
      </c>
      <c r="S144" s="12" t="str" cm="1">
        <f t="array" ref="S144">INDEX('Radiotherapy-ConceptMap-1'!$I$15:$N$124,Q144+1,R144)</f>
        <v>* group[=].element[=].target.display = ##34###34#</v>
      </c>
    </row>
    <row r="145" spans="16:19">
      <c r="P145" s="11">
        <v>131</v>
      </c>
      <c r="Q145" s="11">
        <f t="shared" si="10"/>
        <v>21</v>
      </c>
      <c r="R145" s="11">
        <f t="shared" si="11"/>
        <v>5</v>
      </c>
      <c r="S145" s="12" t="str" cm="1">
        <f t="array" ref="S145">INDEX('Radiotherapy-ConceptMap-1'!$I$15:$N$124,Q145+1,R145)</f>
        <v>* group[=].element[=].target.equivalence = #equivalent</v>
      </c>
    </row>
    <row r="146" spans="16:19">
      <c r="P146" s="11">
        <v>132</v>
      </c>
      <c r="Q146" s="11">
        <f t="shared" si="10"/>
        <v>21</v>
      </c>
      <c r="R146" s="11">
        <f t="shared" si="11"/>
        <v>6</v>
      </c>
      <c r="S146" s="12" t="str" cm="1">
        <f t="array" ref="S146">INDEX('Radiotherapy-ConceptMap-1'!$I$15:$N$124,Q146+1,R146)</f>
        <v/>
      </c>
    </row>
    <row r="147" spans="16:19">
      <c r="P147" s="11">
        <v>133</v>
      </c>
      <c r="Q147" s="11">
        <f t="shared" si="10"/>
        <v>22</v>
      </c>
      <c r="R147" s="11">
        <f t="shared" si="11"/>
        <v>1</v>
      </c>
      <c r="S147" s="12" t="str" cm="1">
        <f t="array" ref="S147">INDEX('Radiotherapy-ConceptMap-1'!$I$15:$N$124,Q147+1,R147)</f>
        <v>* group[=].element[+].code = #Radiotherapy.metastaticTreatmentSites.mediastinum</v>
      </c>
    </row>
    <row r="148" spans="16:19" ht="29.5">
      <c r="P148" s="11">
        <v>134</v>
      </c>
      <c r="Q148" s="11">
        <f t="shared" si="10"/>
        <v>22</v>
      </c>
      <c r="R148" s="11">
        <f t="shared" si="11"/>
        <v>2</v>
      </c>
      <c r="S148" s="12" t="str" cm="1">
        <f t="array" ref="S148">INDEX('Radiotherapy-ConceptMap-1'!$I$15:$N$124,Q148+1,R148)</f>
        <v>* group[=].element[=].display = ##34#Mediastinum
##34#</v>
      </c>
    </row>
    <row r="149" spans="16:19">
      <c r="P149" s="11">
        <v>135</v>
      </c>
      <c r="Q149" s="11">
        <f t="shared" si="10"/>
        <v>22</v>
      </c>
      <c r="R149" s="11">
        <f t="shared" si="11"/>
        <v>3</v>
      </c>
      <c r="S149" s="12" t="str" cm="1">
        <f t="array" ref="S149">INDEX('Radiotherapy-ConceptMap-1'!$I$15:$N$124,Q149+1,R149)</f>
        <v>* group[=].element[=].target.code = #Procedure.</v>
      </c>
    </row>
    <row r="150" spans="16:19">
      <c r="P150" s="11">
        <v>136</v>
      </c>
      <c r="Q150" s="11">
        <f t="shared" si="10"/>
        <v>22</v>
      </c>
      <c r="R150" s="11">
        <f t="shared" si="11"/>
        <v>4</v>
      </c>
      <c r="S150" s="12" t="str" cm="1">
        <f t="array" ref="S150">INDEX('Radiotherapy-ConceptMap-1'!$I$15:$N$124,Q150+1,R150)</f>
        <v>* group[=].element[=].target.display = ##34###34#</v>
      </c>
    </row>
    <row r="151" spans="16:19">
      <c r="P151" s="11">
        <v>137</v>
      </c>
      <c r="Q151" s="11">
        <f t="shared" si="10"/>
        <v>22</v>
      </c>
      <c r="R151" s="11">
        <f t="shared" si="11"/>
        <v>5</v>
      </c>
      <c r="S151" s="12" t="str" cm="1">
        <f t="array" ref="S151">INDEX('Radiotherapy-ConceptMap-1'!$I$15:$N$124,Q151+1,R151)</f>
        <v>* group[=].element[=].target.equivalence = #equivalent</v>
      </c>
    </row>
    <row r="152" spans="16:19">
      <c r="P152" s="11">
        <v>138</v>
      </c>
      <c r="Q152" s="11">
        <f t="shared" si="10"/>
        <v>22</v>
      </c>
      <c r="R152" s="11">
        <f t="shared" si="11"/>
        <v>6</v>
      </c>
      <c r="S152" s="12" t="str" cm="1">
        <f t="array" ref="S152">INDEX('Radiotherapy-ConceptMap-1'!$I$15:$N$124,Q152+1,R152)</f>
        <v/>
      </c>
    </row>
    <row r="153" spans="16:19">
      <c r="P153" s="11">
        <v>139</v>
      </c>
      <c r="Q153" s="11">
        <f t="shared" si="10"/>
        <v>23</v>
      </c>
      <c r="R153" s="11">
        <f t="shared" si="11"/>
        <v>1</v>
      </c>
      <c r="S153" s="12" t="str" cm="1">
        <f t="array" ref="S153">INDEX('Radiotherapy-ConceptMap-1'!$I$15:$N$124,Q153+1,R153)</f>
        <v>* group[=].element[+].code = #Radiotherapy.metastaticTreatmentSites.bone</v>
      </c>
    </row>
    <row r="154" spans="16:19" ht="29.5">
      <c r="P154" s="11">
        <v>140</v>
      </c>
      <c r="Q154" s="11">
        <f t="shared" si="10"/>
        <v>23</v>
      </c>
      <c r="R154" s="11">
        <f t="shared" si="11"/>
        <v>2</v>
      </c>
      <c r="S154" s="12" t="str" cm="1">
        <f t="array" ref="S154">INDEX('Radiotherapy-ConceptMap-1'!$I$15:$N$124,Q154+1,R154)</f>
        <v>* group[=].element[=].display = ##34#Bone
##34#</v>
      </c>
    </row>
    <row r="155" spans="16:19">
      <c r="P155" s="11">
        <v>141</v>
      </c>
      <c r="Q155" s="11">
        <f t="shared" si="10"/>
        <v>23</v>
      </c>
      <c r="R155" s="11">
        <f t="shared" si="11"/>
        <v>3</v>
      </c>
      <c r="S155" s="12" t="str" cm="1">
        <f t="array" ref="S155">INDEX('Radiotherapy-ConceptMap-1'!$I$15:$N$124,Q155+1,R155)</f>
        <v>* group[=].element[=].target.code = #Procedure.</v>
      </c>
    </row>
    <row r="156" spans="16:19">
      <c r="P156" s="11">
        <v>142</v>
      </c>
      <c r="Q156" s="11">
        <f t="shared" si="10"/>
        <v>23</v>
      </c>
      <c r="R156" s="11">
        <f t="shared" si="11"/>
        <v>4</v>
      </c>
      <c r="S156" s="12" t="str" cm="1">
        <f t="array" ref="S156">INDEX('Radiotherapy-ConceptMap-1'!$I$15:$N$124,Q156+1,R156)</f>
        <v>* group[=].element[=].target.display = ##34###34#</v>
      </c>
    </row>
    <row r="157" spans="16:19">
      <c r="P157" s="11">
        <v>143</v>
      </c>
      <c r="Q157" s="11">
        <f t="shared" si="10"/>
        <v>23</v>
      </c>
      <c r="R157" s="11">
        <f t="shared" si="11"/>
        <v>5</v>
      </c>
      <c r="S157" s="12" t="str" cm="1">
        <f t="array" ref="S157">INDEX('Radiotherapy-ConceptMap-1'!$I$15:$N$124,Q157+1,R157)</f>
        <v>* group[=].element[=].target.equivalence = #equivalent</v>
      </c>
    </row>
    <row r="158" spans="16:19">
      <c r="P158" s="11">
        <v>144</v>
      </c>
      <c r="Q158" s="11">
        <f t="shared" si="10"/>
        <v>23</v>
      </c>
      <c r="R158" s="11">
        <f t="shared" si="11"/>
        <v>6</v>
      </c>
      <c r="S158" s="12" t="str" cm="1">
        <f t="array" ref="S158">INDEX('Radiotherapy-ConceptMap-1'!$I$15:$N$124,Q158+1,R158)</f>
        <v/>
      </c>
    </row>
    <row r="159" spans="16:19">
      <c r="P159" s="11">
        <v>145</v>
      </c>
      <c r="Q159" s="11">
        <f t="shared" si="10"/>
        <v>24</v>
      </c>
      <c r="R159" s="11">
        <f t="shared" si="11"/>
        <v>1</v>
      </c>
      <c r="S159" s="12" cm="1">
        <f t="array" ref="S159">INDEX('Radiotherapy-ConceptMap-1'!$I$15:$N$124,Q159+1,R159)</f>
        <v>0</v>
      </c>
    </row>
    <row r="160" spans="16:19">
      <c r="P160" s="11">
        <v>146</v>
      </c>
      <c r="Q160" s="11">
        <f t="shared" si="10"/>
        <v>24</v>
      </c>
      <c r="R160" s="11">
        <f t="shared" si="11"/>
        <v>2</v>
      </c>
      <c r="S160" s="12" cm="1">
        <f t="array" ref="S160">INDEX('Radiotherapy-ConceptMap-1'!$I$15:$N$124,Q160+1,R160)</f>
        <v>0</v>
      </c>
    </row>
    <row r="161" spans="16:19">
      <c r="P161" s="11">
        <v>147</v>
      </c>
      <c r="Q161" s="11">
        <f t="shared" si="10"/>
        <v>24</v>
      </c>
      <c r="R161" s="11">
        <f t="shared" si="11"/>
        <v>3</v>
      </c>
      <c r="S161" s="12" cm="1">
        <f t="array" ref="S161">INDEX('Radiotherapy-ConceptMap-1'!$I$15:$N$124,Q161+1,R161)</f>
        <v>0</v>
      </c>
    </row>
    <row r="162" spans="16:19">
      <c r="P162" s="11">
        <v>148</v>
      </c>
      <c r="Q162" s="11">
        <f t="shared" si="10"/>
        <v>24</v>
      </c>
      <c r="R162" s="11">
        <f t="shared" si="11"/>
        <v>4</v>
      </c>
      <c r="S162" s="12" cm="1">
        <f t="array" ref="S162">INDEX('Radiotherapy-ConceptMap-1'!$I$15:$N$124,Q162+1,R162)</f>
        <v>0</v>
      </c>
    </row>
    <row r="163" spans="16:19">
      <c r="P163" s="11">
        <v>149</v>
      </c>
      <c r="Q163" s="11">
        <f t="shared" si="10"/>
        <v>24</v>
      </c>
      <c r="R163" s="11">
        <f t="shared" si="11"/>
        <v>5</v>
      </c>
      <c r="S163" s="12" cm="1">
        <f t="array" ref="S163">INDEX('Radiotherapy-ConceptMap-1'!$I$15:$N$124,Q163+1,R163)</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xr:uid="{960DE57C-1551-444E-84BD-E01106E9CF17}"/>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66"/>
  <sheetViews>
    <sheetView workbookViewId="0">
      <selection activeCell="G2" sqref="G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2327</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##34#http://hl7.eu/fhir/ig/idea4rc/StructureDefinition/Procedure-radiotheraphy-eu-pcsp##34#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##34#http://hl7.eu/fhir/ig/idea4rc/StructureDefinition/Procedure-radiotheraphy-eu-pcsp##34#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#Procedure.code</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ht="29.5">
      <c r="B36" s="12" t="str">
        <f>IF('Radiotherapy-ConceptMap-1'!S32=0,"//---END",'Radiotherapy-ConceptMap-1'!S32)</f>
        <v>* group[=].element[=].target.comment = ##34#to be analized: add a slice to code or consider to define an extension for this (or cathegories (R5 extension)) ?##34#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#Procedure.code</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group[=].element[=].target.code = #Procedure.</v>
      </c>
    </row>
    <row r="52" spans="2:2">
      <c r="B52" s="12" t="str">
        <f>IF('Radiotherapy-ConceptMap-1'!S48=0,"//---END",'Radiotherapy-ConceptMap-1'!S48)</f>
        <v>* group[=].element[=].target.display = ##34###34#</v>
      </c>
    </row>
    <row r="53" spans="2:2">
      <c r="B53" s="12" t="str">
        <f>IF('Radiotherapy-ConceptMap-1'!S49=0,"//---END",'Radiotherapy-ConceptMap-1'!S49)</f>
        <v>* group[=].element[=].target.equivalence = #relatedto</v>
      </c>
    </row>
    <row r="54" spans="2:2">
      <c r="B54" s="12" t="str">
        <f>IF('Radiotherapy-ConceptMap-1'!S50=0,"//---END",'Radiotherapy-ConceptMap-1'!S50)</f>
        <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v>
      </c>
    </row>
    <row r="64" spans="2:2">
      <c r="B64" s="12" t="str">
        <f>IF('Radiotherapy-ConceptMap-1'!S60=0,"//---END",'Radiotherapy-ConceptMap-1'!S60)</f>
        <v>* group[=].element[=].target.display = ##34###34#</v>
      </c>
    </row>
    <row r="65" spans="2:2">
      <c r="B65" s="12" t="str">
        <f>IF('Radiotherapy-ConceptMap-1'!S61=0,"//---END",'Radiotherapy-ConceptMap-1'!S61)</f>
        <v>* group[=].element[=].target.equivalence = #relatedto</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group[=].element[=].target.code = #Procedure.</v>
      </c>
    </row>
    <row r="70" spans="2:2">
      <c r="B70" s="12" t="str">
        <f>IF('Radiotherapy-ConceptMap-1'!S66=0,"//---END",'Radiotherapy-ConceptMap-1'!S66)</f>
        <v>* group[=].element[=].target.display = ##34###34#</v>
      </c>
    </row>
    <row r="71" spans="2:2">
      <c r="B71" s="12" t="str">
        <f>IF('Radiotherapy-ConceptMap-1'!S67=0,"//---END",'Radiotherapy-ConceptMap-1'!S67)</f>
        <v>* group[=].element[=].target.equivalence = #equal</v>
      </c>
    </row>
    <row r="72" spans="2:2">
      <c r="B72" s="12" t="str">
        <f>IF('Radiotherapy-ConceptMap-1'!S68=0,"//---END",'Radiotherapy-ConceptMap-1'!S68)</f>
        <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v>
      </c>
    </row>
    <row r="94" spans="2:2">
      <c r="B94" s="12" t="str">
        <f>IF('Radiotherapy-ConceptMap-1'!S90=0,"//---END",'Radiotherapy-ConceptMap-1'!S90)</f>
        <v>* group[=].element[=].target.display = ##34###34#</v>
      </c>
    </row>
    <row r="95" spans="2:2">
      <c r="B95" s="12" t="str">
        <f>IF('Radiotherapy-ConceptMap-1'!S91=0,"//---END",'Radiotherapy-ConceptMap-1'!S91)</f>
        <v>* group[=].element[=].target.equivalence = #equivalent</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v>
      </c>
    </row>
    <row r="100" spans="2:2">
      <c r="B100" s="12" t="str">
        <f>IF('Radiotherapy-ConceptMap-1'!S96=0,"//---END",'Radiotherapy-ConceptMap-1'!S96)</f>
        <v>* group[=].element[=].target.display = ##34###34#</v>
      </c>
    </row>
    <row r="101" spans="2:2">
      <c r="B101" s="12" t="str">
        <f>IF('Radiotherapy-ConceptMap-1'!S97=0,"//---END",'Radiotherapy-ConceptMap-1'!S97)</f>
        <v>* group[=].element[=].target.equivalence = #equivalent</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v>
      </c>
    </row>
    <row r="112" spans="2:2">
      <c r="B112" s="12" t="str">
        <f>IF('Radiotherapy-ConceptMap-1'!S108=0,"//---END",'Radiotherapy-ConceptMap-1'!S108)</f>
        <v>* group[=].element[=].target.display = ##34###34#</v>
      </c>
    </row>
    <row r="113" spans="2:2">
      <c r="B113" s="12" t="str">
        <f>IF('Radiotherapy-ConceptMap-1'!S109=0,"//---END",'Radiotherapy-ConceptMap-1'!S109)</f>
        <v>* group[=].element[=].target.equivalence = #equivalent</v>
      </c>
    </row>
    <row r="114" spans="2:2">
      <c r="B114" s="12" t="str">
        <f>IF('Radiotherapy-ConceptMap-1'!S110=0,"//---END",'Radiotherapy-ConceptMap-1'!S110)</f>
        <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v>
      </c>
    </row>
    <row r="118" spans="2:2">
      <c r="B118" s="12" t="str">
        <f>IF('Radiotherapy-ConceptMap-1'!S114=0,"//---END",'Radiotherapy-ConceptMap-1'!S114)</f>
        <v>* group[=].element[=].target.display = ##34###34#</v>
      </c>
    </row>
    <row r="119" spans="2:2">
      <c r="B119" s="12" t="str">
        <f>IF('Radiotherapy-ConceptMap-1'!S115=0,"//---END",'Radiotherapy-ConceptMap-1'!S115)</f>
        <v>* group[=].element[=].target.equivalence = #equivalent</v>
      </c>
    </row>
    <row r="120" spans="2:2">
      <c r="B120" s="12" t="str">
        <f>IF('Radiotherapy-ConceptMap-1'!S116=0,"//---END",'Radiotherapy-ConceptMap-1'!S116)</f>
        <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v>
      </c>
    </row>
    <row r="124" spans="2:2">
      <c r="B124" s="12" t="str">
        <f>IF('Radiotherapy-ConceptMap-1'!S120=0,"//---END",'Radiotherapy-ConceptMap-1'!S120)</f>
        <v>* group[=].element[=].target.display = ##34###34#</v>
      </c>
    </row>
    <row r="125" spans="2:2">
      <c r="B125" s="12" t="str">
        <f>IF('Radiotherapy-ConceptMap-1'!S121=0,"//---END",'Radiotherapy-ConceptMap-1'!S121)</f>
        <v>* group[=].element[=].target.equivalence = #equivalent</v>
      </c>
    </row>
    <row r="126" spans="2:2">
      <c r="B126" s="12" t="str">
        <f>IF('Radiotherapy-ConceptMap-1'!S122=0,"//---END",'Radiotherapy-ConceptMap-1'!S122)</f>
        <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v>
      </c>
    </row>
    <row r="130" spans="2:2">
      <c r="B130" s="12" t="str">
        <f>IF('Radiotherapy-ConceptMap-1'!S126=0,"//---END",'Radiotherapy-ConceptMap-1'!S126)</f>
        <v>* group[=].element[=].target.display = ##34###34#</v>
      </c>
    </row>
    <row r="131" spans="2:2">
      <c r="B131" s="12" t="str">
        <f>IF('Radiotherapy-ConceptMap-1'!S127=0,"//---END",'Radiotherapy-ConceptMap-1'!S127)</f>
        <v>* group[=].element[=].target.equivalence = #equivalent</v>
      </c>
    </row>
    <row r="132" spans="2:2">
      <c r="B132" s="12" t="str">
        <f>IF('Radiotherapy-ConceptMap-1'!S128=0,"//---END",'Radiotherapy-ConceptMap-1'!S128)</f>
        <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v>
      </c>
    </row>
    <row r="136" spans="2:2">
      <c r="B136" s="12" t="str">
        <f>IF('Radiotherapy-ConceptMap-1'!S132=0,"//---END",'Radiotherapy-ConceptMap-1'!S132)</f>
        <v>* group[=].element[=].target.display = ##34###34#</v>
      </c>
    </row>
    <row r="137" spans="2:2">
      <c r="B137" s="12" t="str">
        <f>IF('Radiotherapy-ConceptMap-1'!S133=0,"//---END",'Radiotherapy-ConceptMap-1'!S133)</f>
        <v>* group[=].element[=].target.equivalence = #equivalent</v>
      </c>
    </row>
    <row r="138" spans="2:2">
      <c r="B138" s="12" t="str">
        <f>IF('Radiotherapy-ConceptMap-1'!S134=0,"//---END",'Radiotherapy-ConceptMap-1'!S134)</f>
        <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v>
      </c>
    </row>
    <row r="142" spans="2:2">
      <c r="B142" s="12" t="str">
        <f>IF('Radiotherapy-ConceptMap-1'!S138=0,"//---END",'Radiotherapy-ConceptMap-1'!S138)</f>
        <v>* group[=].element[=].target.display = ##34###34#</v>
      </c>
    </row>
    <row r="143" spans="2:2">
      <c r="B143" s="12" t="str">
        <f>IF('Radiotherapy-ConceptMap-1'!S139=0,"//---END",'Radiotherapy-ConceptMap-1'!S139)</f>
        <v>* group[=].element[=].target.equivalence = #equivalent</v>
      </c>
    </row>
    <row r="144" spans="2:2">
      <c r="B144" s="12" t="str">
        <f>IF('Radiotherapy-ConceptMap-1'!S140=0,"//---END",'Radiotherapy-ConceptMap-1'!S140)</f>
        <v/>
      </c>
    </row>
    <row r="145" spans="2:2">
      <c r="B145" s="12" t="str">
        <f>IF('Radiotherapy-ConceptMap-1'!S141=0,"//---END",'Radiotherapy-ConceptMap-1'!S141)</f>
        <v>* group[=].element[+].code = #Radiotherapy.metastaticTreatmentSites.lung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v>
      </c>
    </row>
    <row r="148" spans="2:2">
      <c r="B148" s="12" t="str">
        <f>IF('Radiotherapy-ConceptMap-1'!S144=0,"//---END",'Radiotherapy-ConceptMap-1'!S144)</f>
        <v>* group[=].element[=].target.display = ##34###34#</v>
      </c>
    </row>
    <row r="149" spans="2:2">
      <c r="B149" s="12" t="str">
        <f>IF('Radiotherapy-ConceptMap-1'!S145=0,"//---END",'Radiotherapy-ConceptMap-1'!S145)</f>
        <v>* group[=].element[=].target.equivalence = #equivalent</v>
      </c>
    </row>
    <row r="150" spans="2:2">
      <c r="B150" s="12" t="str">
        <f>IF('Radiotherapy-ConceptMap-1'!S146=0,"//---END",'Radiotherapy-ConceptMap-1'!S146)</f>
        <v/>
      </c>
    </row>
    <row r="151" spans="2:2">
      <c r="B151" s="12" t="str">
        <f>IF('Radiotherapy-ConceptMap-1'!S147=0,"//---END",'Radiotherapy-ConceptMap-1'!S147)</f>
        <v>* group[=].element[+].code = #Radiotherapy.metastaticTreatmentSites.mediastinum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v>
      </c>
    </row>
    <row r="154" spans="2:2">
      <c r="B154" s="12" t="str">
        <f>IF('Radiotherapy-ConceptMap-1'!S150=0,"//---END",'Radiotherapy-ConceptMap-1'!S150)</f>
        <v>* group[=].element[=].target.display = ##34###34#</v>
      </c>
    </row>
    <row r="155" spans="2:2">
      <c r="B155" s="12" t="str">
        <f>IF('Radiotherapy-ConceptMap-1'!S151=0,"//---END",'Radiotherapy-ConceptMap-1'!S151)</f>
        <v>* group[=].element[=].target.equivalence = #equivalent</v>
      </c>
    </row>
    <row r="156" spans="2:2">
      <c r="B156" s="12" t="str">
        <f>IF('Radiotherapy-ConceptMap-1'!S152=0,"//---END",'Radiotherapy-ConceptMap-1'!S152)</f>
        <v/>
      </c>
    </row>
    <row r="157" spans="2:2">
      <c r="B157" s="12" t="str">
        <f>IF('Radiotherapy-ConceptMap-1'!S153=0,"//---END",'Radiotherapy-ConceptMap-1'!S153)</f>
        <v>* group[=].element[+].code = #Radiotherapy.metastaticTreatmentSites.bone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v>
      </c>
    </row>
    <row r="160" spans="2:2">
      <c r="B160" s="12" t="str">
        <f>IF('Radiotherapy-ConceptMap-1'!S156=0,"//---END",'Radiotherapy-ConceptMap-1'!S156)</f>
        <v>* group[=].element[=].target.display = ##34###34#</v>
      </c>
    </row>
    <row r="161" spans="2:2">
      <c r="B161" s="12" t="str">
        <f>IF('Radiotherapy-ConceptMap-1'!S157=0,"//---END",'Radiotherapy-ConceptMap-1'!S157)</f>
        <v>* group[=].element[=].target.equivalence = #equivalent</v>
      </c>
    </row>
    <row r="162" spans="2:2">
      <c r="B162" s="12" t="str">
        <f>IF('Radiotherapy-ConceptMap-1'!S158=0,"//---END",'Radiotherapy-ConceptMap-1'!S158)</f>
        <v/>
      </c>
    </row>
    <row r="163" spans="2:2">
      <c r="B163" s="12" t="str">
        <f>IF('Radiotherapy-ConceptMap-1'!S159=0,"//---END",'Radiotherapy-ConceptMap-1'!S159)</f>
        <v>//---END</v>
      </c>
    </row>
    <row r="164" spans="2:2">
      <c r="B164" s="12" t="str">
        <f>IF('Radiotherapy-ConceptMap-1'!S160=0,"//---END",'Radiotherapy-ConceptMap-1'!S160)</f>
        <v>//---END</v>
      </c>
    </row>
    <row r="165" spans="2:2">
      <c r="B165" s="12" t="str">
        <f>IF('Radiotherapy-ConceptMap-1'!S161=0,"//---END",'Radiotherapy-ConceptMap-1'!S161)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60</vt:i4>
      </vt:variant>
    </vt:vector>
  </HeadingPairs>
  <TitlesOfParts>
    <vt:vector size="60" baseType="lpstr">
      <vt:lpstr> 4. Cancer under study</vt:lpstr>
      <vt:lpstr>2.Demographic &amp; life style</vt:lpstr>
      <vt:lpstr>OsirisDataElementConcept</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2023-07-20T07:28:56Z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