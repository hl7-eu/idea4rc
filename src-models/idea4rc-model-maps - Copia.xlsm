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88" documentId="13_ncr:1_{30633A0E-6CAA-49B8-B289-4A2EB053E914}" xr6:coauthVersionLast="47" xr6:coauthVersionMax="47" xr10:uidLastSave="{D65A732E-5CF3-4196-AFB4-3B604D1F3888}"/>
  <bookViews>
    <workbookView xWindow="-90" yWindow="-90" windowWidth="19380" windowHeight="10260" tabRatio="819" firstSheet="8" activeTab="4"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CancerEpisode!$A$7:$M$39</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6" i="232" l="1"/>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126" i="245" l="1"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<sst xmlns="http://schemas.openxmlformats.org/spreadsheetml/2006/main" count="7266" uniqueCount="2411">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</sst>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0" t="s">
        <v>1462</v>
      </c>
      <c r="B1" s="161"/>
      <c r="C1" s="161"/>
      <c r="D1" s="161"/>
      <c r="E1" s="161"/>
      <c r="F1" s="161"/>
      <c r="G1" s="161"/>
      <c r="H1" s="161"/>
      <c r="I1" s="161"/>
      <c r="J1" s="161"/>
      <c r="K1" s="161"/>
      <c r="L1" s="161"/>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2" t="s">
        <v>1496</v>
      </c>
      <c r="B10" s="163"/>
      <c r="C10" s="163"/>
      <c r="D10" s="163"/>
      <c r="E10" s="163"/>
      <c r="F10" s="163"/>
      <c r="G10" s="163"/>
      <c r="H10" s="163"/>
      <c r="I10" s="163"/>
      <c r="J10" s="163"/>
      <c r="K10" s="163"/>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4" t="s">
        <v>1538</v>
      </c>
      <c r="B18" s="163"/>
      <c r="C18" s="163"/>
      <c r="D18" s="163"/>
      <c r="E18" s="163"/>
      <c r="F18" s="163"/>
      <c r="G18" s="163"/>
      <c r="H18" s="163"/>
      <c r="I18" s="163"/>
      <c r="J18" s="163"/>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5" t="s">
        <v>23</v>
      </c>
      <c r="B1" s="165"/>
      <c r="C1" s="165"/>
      <c r="D1" s="165"/>
      <c r="E1" s="165"/>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6" t="s">
        <v>120</v>
      </c>
      <c r="E24" s="30" t="s">
        <v>41</v>
      </c>
      <c r="F24" s="30" t="s">
        <v>118</v>
      </c>
      <c r="G24" s="30" t="s">
        <v>48</v>
      </c>
      <c r="H24" s="31" t="s">
        <v>37</v>
      </c>
    </row>
    <row r="25" spans="1:9" ht="42">
      <c r="A25" s="33" t="s">
        <v>121</v>
      </c>
      <c r="B25" s="30" t="s">
        <v>39</v>
      </c>
      <c r="C25" s="166"/>
      <c r="E25" s="30" t="s">
        <v>41</v>
      </c>
      <c r="F25" s="30" t="s">
        <v>118</v>
      </c>
      <c r="G25" s="30" t="s">
        <v>48</v>
      </c>
      <c r="H25" s="31" t="s">
        <v>37</v>
      </c>
      <c r="I25" s="42"/>
    </row>
    <row r="26" spans="1:9" ht="42">
      <c r="A26" s="33" t="s">
        <v>122</v>
      </c>
      <c r="B26" s="30" t="s">
        <v>39</v>
      </c>
      <c r="C26" s="166"/>
      <c r="E26" s="30" t="s">
        <v>41</v>
      </c>
      <c r="F26" s="30" t="s">
        <v>118</v>
      </c>
      <c r="G26" s="30" t="s">
        <v>48</v>
      </c>
      <c r="H26" s="31" t="s">
        <v>37</v>
      </c>
    </row>
    <row r="27" spans="1:9" ht="42">
      <c r="A27" s="33" t="s">
        <v>123</v>
      </c>
      <c r="B27" s="30" t="s">
        <v>39</v>
      </c>
      <c r="C27" s="166"/>
      <c r="E27" s="30" t="s">
        <v>41</v>
      </c>
      <c r="F27" s="30" t="s">
        <v>118</v>
      </c>
      <c r="G27" s="30" t="s">
        <v>48</v>
      </c>
      <c r="H27" s="31" t="s">
        <v>37</v>
      </c>
    </row>
    <row r="28" spans="1:9" ht="42">
      <c r="A28" s="33" t="s">
        <v>124</v>
      </c>
      <c r="B28" s="30" t="s">
        <v>39</v>
      </c>
      <c r="C28" s="166"/>
      <c r="E28" s="30" t="s">
        <v>41</v>
      </c>
      <c r="F28" s="30" t="s">
        <v>118</v>
      </c>
      <c r="G28" s="30" t="s">
        <v>48</v>
      </c>
      <c r="H28" s="31" t="s">
        <v>37</v>
      </c>
    </row>
    <row r="29" spans="1:9" ht="42">
      <c r="A29" s="33" t="s">
        <v>125</v>
      </c>
      <c r="B29" s="30" t="s">
        <v>39</v>
      </c>
      <c r="C29" s="166"/>
      <c r="E29" s="30" t="s">
        <v>41</v>
      </c>
      <c r="F29" s="30" t="s">
        <v>118</v>
      </c>
      <c r="G29" s="30" t="s">
        <v>48</v>
      </c>
      <c r="H29" s="31" t="s">
        <v>37</v>
      </c>
    </row>
    <row r="30" spans="1:9" ht="42">
      <c r="A30" s="33" t="s">
        <v>126</v>
      </c>
      <c r="B30" s="30" t="s">
        <v>39</v>
      </c>
      <c r="C30" s="166"/>
      <c r="E30" s="30" t="s">
        <v>41</v>
      </c>
      <c r="F30" s="30" t="s">
        <v>118</v>
      </c>
      <c r="G30" s="30" t="s">
        <v>48</v>
      </c>
      <c r="H30" s="31" t="s">
        <v>37</v>
      </c>
    </row>
    <row r="31" spans="1:9" ht="42">
      <c r="A31" s="33" t="s">
        <v>127</v>
      </c>
      <c r="B31" s="30" t="s">
        <v>39</v>
      </c>
      <c r="C31" s="166"/>
      <c r="E31" s="30" t="s">
        <v>41</v>
      </c>
      <c r="F31" s="30" t="s">
        <v>118</v>
      </c>
      <c r="G31" s="30" t="s">
        <v>48</v>
      </c>
      <c r="H31" s="31" t="s">
        <v>37</v>
      </c>
    </row>
    <row r="32" spans="1:9" ht="42">
      <c r="A32" s="33" t="s">
        <v>128</v>
      </c>
      <c r="B32" s="30" t="s">
        <v>39</v>
      </c>
      <c r="C32" s="166"/>
      <c r="E32" s="30" t="s">
        <v>41</v>
      </c>
      <c r="F32" s="30" t="s">
        <v>118</v>
      </c>
      <c r="G32" s="30" t="s">
        <v>48</v>
      </c>
      <c r="H32" s="31" t="s">
        <v>37</v>
      </c>
    </row>
    <row r="33" spans="1:9" ht="42">
      <c r="A33" s="33" t="s">
        <v>129</v>
      </c>
      <c r="B33" s="30" t="s">
        <v>39</v>
      </c>
      <c r="C33" s="166"/>
      <c r="E33" s="30" t="s">
        <v>41</v>
      </c>
      <c r="F33" s="30" t="s">
        <v>118</v>
      </c>
      <c r="G33" s="30" t="s">
        <v>48</v>
      </c>
      <c r="H33" s="31" t="s">
        <v>37</v>
      </c>
    </row>
    <row r="34" spans="1:9" ht="42">
      <c r="A34" s="33" t="s">
        <v>130</v>
      </c>
      <c r="B34" s="30" t="s">
        <v>39</v>
      </c>
      <c r="C34" s="166"/>
      <c r="E34" s="30" t="s">
        <v>41</v>
      </c>
      <c r="F34" s="30" t="s">
        <v>118</v>
      </c>
      <c r="G34" s="30" t="s">
        <v>48</v>
      </c>
      <c r="H34" s="31" t="s">
        <v>37</v>
      </c>
    </row>
    <row r="35" spans="1:9" ht="42">
      <c r="A35" s="33" t="s">
        <v>131</v>
      </c>
      <c r="B35" s="30" t="s">
        <v>39</v>
      </c>
      <c r="C35" s="166"/>
      <c r="E35" s="30" t="s">
        <v>41</v>
      </c>
      <c r="F35" s="30" t="s">
        <v>118</v>
      </c>
      <c r="G35" s="30" t="s">
        <v>48</v>
      </c>
      <c r="H35" s="31" t="s">
        <v>37</v>
      </c>
    </row>
    <row r="36" spans="1:9" ht="42">
      <c r="A36" s="33" t="s">
        <v>132</v>
      </c>
      <c r="B36" s="30" t="s">
        <v>39</v>
      </c>
      <c r="C36" s="166"/>
      <c r="E36" s="30" t="s">
        <v>41</v>
      </c>
      <c r="F36" s="30" t="s">
        <v>118</v>
      </c>
      <c r="G36" s="30" t="s">
        <v>48</v>
      </c>
      <c r="H36" s="31" t="s">
        <v>37</v>
      </c>
    </row>
    <row r="37" spans="1:9" ht="42">
      <c r="A37" s="33" t="s">
        <v>133</v>
      </c>
      <c r="B37" s="30" t="s">
        <v>39</v>
      </c>
      <c r="C37" s="166"/>
      <c r="E37" s="30" t="s">
        <v>41</v>
      </c>
      <c r="F37" s="30" t="s">
        <v>118</v>
      </c>
      <c r="G37" s="30" t="s">
        <v>48</v>
      </c>
      <c r="H37" s="31" t="s">
        <v>37</v>
      </c>
    </row>
    <row r="38" spans="1:9" ht="42">
      <c r="A38" s="33" t="s">
        <v>134</v>
      </c>
      <c r="B38" s="30" t="s">
        <v>39</v>
      </c>
      <c r="C38" s="166"/>
      <c r="E38" s="30" t="s">
        <v>41</v>
      </c>
      <c r="F38" s="30" t="s">
        <v>118</v>
      </c>
      <c r="G38" s="30" t="s">
        <v>48</v>
      </c>
      <c r="H38" s="31" t="s">
        <v>37</v>
      </c>
    </row>
    <row r="39" spans="1:9" ht="42">
      <c r="A39" s="33" t="s">
        <v>135</v>
      </c>
      <c r="B39" s="30" t="s">
        <v>39</v>
      </c>
      <c r="C39" s="166"/>
      <c r="E39" s="30" t="s">
        <v>41</v>
      </c>
      <c r="F39" s="30" t="s">
        <v>118</v>
      </c>
      <c r="G39" s="30" t="s">
        <v>48</v>
      </c>
      <c r="H39" s="31" t="s">
        <v>37</v>
      </c>
    </row>
    <row r="40" spans="1:9" ht="42">
      <c r="A40" s="33" t="s">
        <v>136</v>
      </c>
      <c r="B40" s="30" t="s">
        <v>39</v>
      </c>
      <c r="C40" s="166"/>
      <c r="E40" s="30" t="s">
        <v>41</v>
      </c>
      <c r="F40" s="30" t="s">
        <v>118</v>
      </c>
      <c r="G40" s="30" t="s">
        <v>48</v>
      </c>
      <c r="H40" s="31" t="s">
        <v>37</v>
      </c>
    </row>
    <row r="41" spans="1:9" ht="42">
      <c r="A41" s="33" t="s">
        <v>137</v>
      </c>
      <c r="B41" s="30" t="s">
        <v>39</v>
      </c>
      <c r="C41" s="166"/>
      <c r="E41" s="30" t="s">
        <v>41</v>
      </c>
      <c r="F41" s="30" t="s">
        <v>118</v>
      </c>
      <c r="G41" s="30" t="s">
        <v>48</v>
      </c>
      <c r="H41" s="31" t="s">
        <v>37</v>
      </c>
    </row>
    <row r="42" spans="1:9" ht="42">
      <c r="A42" s="33" t="s">
        <v>138</v>
      </c>
      <c r="B42" s="30" t="s">
        <v>39</v>
      </c>
      <c r="C42" s="166"/>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abSelected="1" topLeftCell="C13" zoomScale="84" zoomScaleNormal="100" workbookViewId="0">
      <selection activeCell="F13" sqref="F13"/>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1898</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2239</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topLeftCell="A4"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C32" workbookViewId="0">
      <selection activeCell="G33" sqref="G3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67" t="s">
        <v>1804</v>
      </c>
      <c r="F4" s="168"/>
      <c r="G4" s="168"/>
    </row>
    <row r="5" spans="1:19">
      <c r="B5" s="62" t="s">
        <v>10</v>
      </c>
      <c r="C5" s="7" t="s">
        <v>1801</v>
      </c>
      <c r="D5" s="62"/>
      <c r="E5" s="7"/>
    </row>
    <row r="6" spans="1:19">
      <c r="B6" s="62" t="s">
        <v>18</v>
      </c>
      <c r="C6" s="56"/>
      <c r="D6" s="62" t="s">
        <v>1793</v>
      </c>
      <c r="E6" s="167" t="str">
        <f>E3</f>
        <v>http://hl7.eu/fhir/ig/idea4rc/StructureDefinition/CancerEpisode</v>
      </c>
      <c r="F6" s="168"/>
      <c r="G6" s="168"/>
    </row>
    <row r="7" spans="1:19">
      <c r="B7" s="62" t="s">
        <v>15</v>
      </c>
      <c r="C7" s="119"/>
      <c r="D7" s="62" t="s">
        <v>1794</v>
      </c>
      <c r="E7" s="167" t="s">
        <v>1804</v>
      </c>
      <c r="F7" s="168"/>
      <c r="G7" s="168"/>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1905</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1867</v>
      </c>
      <c r="E20" s="11"/>
      <c r="F20" s="64" t="s">
        <v>1407</v>
      </c>
      <c r="G20" s="123" t="s">
        <v>1906</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2400</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2400</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2400</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2400</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2400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2400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2400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2400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2400</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2400</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2400</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2400</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2400</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1899</v>
      </c>
      <c r="E34" s="12"/>
      <c r="F34" s="64" t="s">
        <v>1407</v>
      </c>
      <c r="G34" s="141" t="s">
        <v>1902</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1900</v>
      </c>
      <c r="E35" s="12"/>
      <c r="F35" s="64" t="s">
        <v>1407</v>
      </c>
      <c r="G35" s="141" t="s">
        <v>1903</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1901</v>
      </c>
      <c r="E36" s="12"/>
      <c r="F36" s="64" t="s">
        <v>1407</v>
      </c>
      <c r="G36" s="141" t="s">
        <v>1904</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7" t="str">
        <f>E3</f>
        <v>http://hl7.eu/fhir/ig/idea4rc/StructureDefinition/CancerEpisode</v>
      </c>
      <c r="F6" s="168"/>
      <c r="G6" s="168"/>
    </row>
    <row r="7" spans="1:19">
      <c r="B7" s="62" t="s">
        <v>15</v>
      </c>
      <c r="C7" s="119"/>
      <c r="D7" s="62" t="s">
        <v>1794</v>
      </c>
      <c r="E7" s="167" t="s">
        <v>1893</v>
      </c>
      <c r="F7" s="168"/>
      <c r="G7" s="168"/>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1" zoomScale="137" zoomScaleNormal="145" workbookViewId="0">
      <selection activeCell="B28" sqref="B28"/>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1897</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topLeftCell="A19"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67" t="s">
        <v>1896</v>
      </c>
      <c r="F4" s="168"/>
      <c r="G4" s="168"/>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1896</v>
      </c>
      <c r="F7" s="168"/>
      <c r="G7" s="168"/>
    </row>
    <row r="8" spans="1:19" ht="44.25">
      <c r="B8" s="62" t="s">
        <v>1795</v>
      </c>
      <c r="C8" s="103" t="s">
        <v>1871</v>
      </c>
      <c r="D8" s="62"/>
      <c r="E8"/>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1874</v>
      </c>
      <c r="E15" s="12"/>
      <c r="F15" s="64" t="s">
        <v>1429</v>
      </c>
      <c r="G15" s="124" t="s">
        <v>1873</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1875</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1876</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1877</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88.5">
      <c r="A15" s="59"/>
      <c r="B15" s="11" t="str">
        <f>Subject!B11</f>
        <v>smoking</v>
      </c>
      <c r="C15" s="11" t="str">
        <f>Subject!C11</f>
        <v>Smoking</v>
      </c>
      <c r="D15" s="12" t="s">
        <v>1880</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1879</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1881</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1882</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1883</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73.75">
      <c r="A15" s="59"/>
      <c r="B15" s="11" t="str">
        <f>Subject!B15</f>
        <v>alcohol</v>
      </c>
      <c r="C15" s="11" t="str">
        <f>Subject!C15</f>
        <v>Alcohol</v>
      </c>
      <c r="D15" s="12" t="s">
        <v>1884</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1885</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1886</v>
      </c>
      <c r="E16" s="11"/>
      <c r="F16" s="64" t="s">
        <v>1407</v>
      </c>
      <c r="G16" s="124" t="s">
        <v>1888</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1886</v>
      </c>
      <c r="E17" s="11"/>
      <c r="F17" s="64" t="s">
        <v>1429</v>
      </c>
      <c r="G17" s="124" t="s">
        <v>1887</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1886</v>
      </c>
      <c r="E18" s="11"/>
      <c r="F18" s="64" t="s">
        <v>1429</v>
      </c>
      <c r="G18" s="124" t="s">
        <v>1887</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1886</v>
      </c>
      <c r="E19" s="11"/>
      <c r="F19" s="64" t="s">
        <v>1429</v>
      </c>
      <c r="G19" s="124" t="s">
        <v>1887</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1886</v>
      </c>
      <c r="E20" s="11"/>
      <c r="F20" s="64" t="s">
        <v>1429</v>
      </c>
      <c r="G20" s="124" t="s">
        <v>1887</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1886</v>
      </c>
      <c r="E21" s="11"/>
      <c r="F21" s="64" t="s">
        <v>1429</v>
      </c>
      <c r="G21" s="124" t="s">
        <v>1887</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1886</v>
      </c>
      <c r="E22" s="11"/>
      <c r="F22" s="64" t="s">
        <v>1429</v>
      </c>
      <c r="G22" s="124" t="s">
        <v>1887</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1886</v>
      </c>
      <c r="E23" s="11"/>
      <c r="F23" s="64" t="s">
        <v>1429</v>
      </c>
      <c r="G23" s="124" t="s">
        <v>1887</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1886</v>
      </c>
      <c r="E24" s="11"/>
      <c r="F24" s="64" t="s">
        <v>1429</v>
      </c>
      <c r="G24" s="124" t="s">
        <v>1887</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1886</v>
      </c>
      <c r="E25" s="12"/>
      <c r="F25" s="64" t="s">
        <v>1429</v>
      </c>
      <c r="G25" s="124" t="s">
        <v>1887</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1886</v>
      </c>
      <c r="E26" s="12"/>
      <c r="F26" s="64" t="s">
        <v>1429</v>
      </c>
      <c r="G26" s="124" t="s">
        <v>1887</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1886</v>
      </c>
      <c r="E27" s="12"/>
      <c r="F27" s="64" t="s">
        <v>1429</v>
      </c>
      <c r="G27" s="124" t="s">
        <v>1887</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1886</v>
      </c>
      <c r="E28" s="12"/>
      <c r="F28" s="64" t="s">
        <v>1429</v>
      </c>
      <c r="G28" s="124" t="s">
        <v>1887</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1886</v>
      </c>
      <c r="E29" s="12"/>
      <c r="F29" s="64" t="s">
        <v>1429</v>
      </c>
      <c r="G29" s="124" t="s">
        <v>1887</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1886</v>
      </c>
      <c r="E30" s="12"/>
      <c r="F30" s="64" t="s">
        <v>1429</v>
      </c>
      <c r="G30" s="124" t="s">
        <v>1887</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1886</v>
      </c>
      <c r="E31" s="12"/>
      <c r="F31" s="64" t="s">
        <v>1429</v>
      </c>
      <c r="G31" s="124" t="s">
        <v>1887</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1886</v>
      </c>
      <c r="E32" s="12"/>
      <c r="F32" s="64" t="s">
        <v>1429</v>
      </c>
      <c r="G32" s="124" t="s">
        <v>1887</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1886</v>
      </c>
      <c r="E33" s="12"/>
      <c r="F33" s="64" t="s">
        <v>1429</v>
      </c>
      <c r="G33" s="124" t="s">
        <v>1887</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1886</v>
      </c>
      <c r="E34" s="12"/>
      <c r="F34" s="64" t="s">
        <v>1429</v>
      </c>
      <c r="G34" s="124" t="s">
        <v>1887</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1886</v>
      </c>
      <c r="E35" s="12"/>
      <c r="F35" s="64" t="s">
        <v>1429</v>
      </c>
      <c r="G35" s="124" t="s">
        <v>1887</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1889</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Subject!B38</f>
        <v>karnofsyIndexAtDiagnosis</v>
      </c>
      <c r="C15" s="11" t="str">
        <f>Subject!C38</f>
        <v>Karnofsy index at diagnosis</v>
      </c>
      <c r="D15" s="12" t="s">
        <v>1890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1891</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1892</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2386</v>
      </c>
      <c r="J4" s="16" t="str">
        <f>CONCATENATE("Logical: ",B4)</f>
        <v>Logical: EpisodeEventI4rc</v>
      </c>
    </row>
    <row r="5" spans="1:12" ht="19.899999999999999" customHeight="1">
      <c r="A5" s="14" t="s">
        <v>16</v>
      </c>
      <c r="B5" s="46" t="s">
        <v>1983</v>
      </c>
      <c r="J5" s="16" t="str">
        <f>CONCATENATE("Id: ",B5)</f>
        <v>Id: EpisodeEvent</v>
      </c>
    </row>
    <row r="6" spans="1:12" ht="19.899999999999999" customHeight="1">
      <c r="A6" s="14" t="s">
        <v>10</v>
      </c>
      <c r="B6" s="47" t="s">
        <v>1923</v>
      </c>
      <c r="J6" s="17" t="str">
        <f>CONCATENATE("Title: ##34#",B6,"##34#")</f>
        <v>Title: ##34#Episode Event##34#</v>
      </c>
    </row>
    <row r="7" spans="1:12" ht="19.899999999999999" customHeight="1">
      <c r="A7" s="26" t="s">
        <v>2</v>
      </c>
      <c r="B7" s="47" t="s">
        <v>1923</v>
      </c>
      <c r="C7" s="9" t="s">
        <v>3</v>
      </c>
      <c r="D7" s="1" t="s">
        <v>4</v>
      </c>
      <c r="E7" s="3" t="s">
        <v>5</v>
      </c>
      <c r="F7" s="3" t="s">
        <v>6</v>
      </c>
      <c r="G7" s="3" t="s">
        <v>7</v>
      </c>
      <c r="H7" s="105" t="s">
        <v>1610</v>
      </c>
      <c r="J7" s="17" t="str">
        <f>CONCATENATE("Description: "," ##334#",B7,"##334#",)</f>
        <v>Description:  ##334#Episode Event##334#</v>
      </c>
    </row>
    <row r="8" spans="1:12" ht="20.25" customHeight="1">
      <c r="A8" s="100">
        <v>0</v>
      </c>
      <c r="B8" s="57" t="s">
        <v>1984</v>
      </c>
      <c r="C8" s="11" t="s">
        <v>1956</v>
      </c>
      <c r="D8" s="11" t="s">
        <v>1957</v>
      </c>
      <c r="E8" s="11">
        <v>1</v>
      </c>
      <c r="F8" s="11">
        <v>1</v>
      </c>
      <c r="G8" t="s">
        <v>2001</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1998</v>
      </c>
      <c r="C9" s="11" t="s">
        <v>1958</v>
      </c>
      <c r="D9" s="11" t="s">
        <v>1959</v>
      </c>
      <c r="E9" s="11">
        <v>1</v>
      </c>
      <c r="F9" s="11">
        <v>1</v>
      </c>
      <c r="G9" s="57" t="s">
        <v>1786</v>
      </c>
      <c r="H9" s="12" t="s">
        <v>1980</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1999</v>
      </c>
      <c r="C10" s="11" t="s">
        <v>1960</v>
      </c>
      <c r="D10" s="12" t="s">
        <v>1961</v>
      </c>
      <c r="E10" s="11">
        <v>0</v>
      </c>
      <c r="F10" s="11">
        <v>1</v>
      </c>
      <c r="G10" s="57" t="s">
        <v>1786</v>
      </c>
      <c r="H10" s="12" t="s">
        <v>1981</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2000</v>
      </c>
      <c r="C11" s="11" t="s">
        <v>1962</v>
      </c>
      <c r="D11" s="11" t="s">
        <v>1963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1995</v>
      </c>
      <c r="C12" s="11" t="s">
        <v>1964</v>
      </c>
      <c r="D12" s="11" t="s">
        <v>1965</v>
      </c>
      <c r="E12" s="11">
        <v>0</v>
      </c>
      <c r="F12" s="11">
        <v>1</v>
      </c>
      <c r="G12" s="57" t="s">
        <v>1786</v>
      </c>
      <c r="H12" s="12" t="s">
        <v>1982</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1996</v>
      </c>
      <c r="C13" s="11" t="s">
        <v>1966</v>
      </c>
      <c r="D13" s="12" t="s">
        <v>1967</v>
      </c>
      <c r="E13" s="11">
        <v>0</v>
      </c>
      <c r="F13" s="11">
        <v>1</v>
      </c>
      <c r="G13" s="57" t="s">
        <v>1786</v>
      </c>
      <c r="H13" s="12" t="s">
        <v>1982</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1997</v>
      </c>
      <c r="C14" s="11" t="s">
        <v>1968</v>
      </c>
      <c r="D14" s="12" t="s">
        <v>1969</v>
      </c>
      <c r="E14" s="11">
        <v>0</v>
      </c>
      <c r="F14" s="11">
        <v>1</v>
      </c>
      <c r="G14" s="57" t="s">
        <v>1786</v>
      </c>
      <c r="H14" s="12" t="s">
        <v>1982</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2003</v>
      </c>
      <c r="C15" s="6" t="s">
        <v>2004</v>
      </c>
      <c r="D15" s="6" t="s">
        <v>2004</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1985</v>
      </c>
      <c r="C16" s="11" t="s">
        <v>1970</v>
      </c>
      <c r="D16" s="12" t="s">
        <v>1625</v>
      </c>
      <c r="E16" s="11">
        <v>0</v>
      </c>
      <c r="F16" s="11">
        <v>1</v>
      </c>
      <c r="G16" s="57" t="s">
        <v>157</v>
      </c>
      <c r="H16" s="12" t="s">
        <v>1912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1992</v>
      </c>
      <c r="C17" s="11" t="s">
        <v>1971</v>
      </c>
      <c r="D17" s="12" t="s">
        <v>1627</v>
      </c>
      <c r="E17" s="11">
        <v>0</v>
      </c>
      <c r="F17" s="11">
        <v>1</v>
      </c>
      <c r="G17" s="57" t="s">
        <v>157</v>
      </c>
      <c r="H17" s="12" t="s">
        <v>1912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1988</v>
      </c>
      <c r="C18" s="11" t="s">
        <v>1972</v>
      </c>
      <c r="D18" s="12" t="s">
        <v>1629</v>
      </c>
      <c r="E18" s="11">
        <v>0</v>
      </c>
      <c r="F18" s="11">
        <v>1</v>
      </c>
      <c r="G18" s="57" t="s">
        <v>157</v>
      </c>
      <c r="H18" s="12" t="s">
        <v>1912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1986</v>
      </c>
      <c r="C19" s="11" t="s">
        <v>1973</v>
      </c>
      <c r="D19" s="11" t="s">
        <v>1631</v>
      </c>
      <c r="E19" s="11">
        <v>0</v>
      </c>
      <c r="F19" s="11">
        <v>1</v>
      </c>
      <c r="G19" s="57" t="s">
        <v>157</v>
      </c>
      <c r="H19" s="12" t="s">
        <v>1912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1989</v>
      </c>
      <c r="C20" s="11" t="s">
        <v>1974</v>
      </c>
      <c r="D20" s="11" t="s">
        <v>1633</v>
      </c>
      <c r="E20" s="11">
        <v>0</v>
      </c>
      <c r="F20" s="11">
        <v>1</v>
      </c>
      <c r="G20" s="57" t="s">
        <v>157</v>
      </c>
      <c r="H20" s="12" t="s">
        <v>1912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1990</v>
      </c>
      <c r="C21" s="11" t="s">
        <v>1975</v>
      </c>
      <c r="D21" s="11" t="s">
        <v>1635</v>
      </c>
      <c r="E21" s="11">
        <v>0</v>
      </c>
      <c r="F21" s="11">
        <v>1</v>
      </c>
      <c r="G21" s="57" t="s">
        <v>157</v>
      </c>
      <c r="H21" s="12" t="s">
        <v>1912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1991</v>
      </c>
      <c r="C22" s="11" t="s">
        <v>1976</v>
      </c>
      <c r="D22" s="11" t="s">
        <v>1637</v>
      </c>
      <c r="E22" s="11">
        <v>0</v>
      </c>
      <c r="F22" s="11">
        <v>1</v>
      </c>
      <c r="G22" s="57" t="s">
        <v>157</v>
      </c>
      <c r="H22" s="12" t="s">
        <v>1912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1987</v>
      </c>
      <c r="C23" s="11" t="s">
        <v>1977</v>
      </c>
      <c r="D23" s="11" t="s">
        <v>1639</v>
      </c>
      <c r="E23" s="11">
        <v>0</v>
      </c>
      <c r="F23" s="11">
        <v>1</v>
      </c>
      <c r="G23" s="57" t="s">
        <v>157</v>
      </c>
      <c r="H23" s="12" t="s">
        <v>1912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1993</v>
      </c>
      <c r="C24" s="11" t="s">
        <v>1978</v>
      </c>
      <c r="D24" s="12" t="s">
        <v>1641</v>
      </c>
      <c r="E24" s="11">
        <v>0</v>
      </c>
      <c r="F24" s="11">
        <v>1</v>
      </c>
      <c r="G24" s="57" t="s">
        <v>157</v>
      </c>
      <c r="H24" s="12" t="s">
        <v>1912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1994</v>
      </c>
      <c r="C25" s="11" t="s">
        <v>1979</v>
      </c>
      <c r="D25" s="12" t="s">
        <v>1643</v>
      </c>
      <c r="E25" s="11">
        <v>0</v>
      </c>
      <c r="F25" s="11">
        <v>1</v>
      </c>
      <c r="G25" s="57" t="s">
        <v>157</v>
      </c>
      <c r="H25" s="12" t="s">
        <v>1912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2002</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2015</v>
      </c>
      <c r="D3" s="62" t="s">
        <v>1791</v>
      </c>
      <c r="E3" s="118" t="str">
        <f>$C$1&amp;EpisodeEvent!B4</f>
        <v>http://hl7.eu/fhir/ig/idea4rc/StructureDefinition/EpisodeEventI4rc</v>
      </c>
    </row>
    <row r="4" spans="1:19">
      <c r="B4" s="62" t="s">
        <v>16</v>
      </c>
      <c r="C4" s="28" t="s">
        <v>2020</v>
      </c>
      <c r="D4" s="62" t="s">
        <v>1792</v>
      </c>
      <c r="E4" s="167" t="s">
        <v>1804</v>
      </c>
      <c r="F4" s="168"/>
      <c r="G4" s="168"/>
    </row>
    <row r="5" spans="1:19">
      <c r="B5" s="62" t="s">
        <v>10</v>
      </c>
      <c r="C5" s="7" t="s">
        <v>2016</v>
      </c>
      <c r="D5" s="62"/>
      <c r="E5" s="7"/>
    </row>
    <row r="6" spans="1:19">
      <c r="B6" s="62" t="s">
        <v>18</v>
      </c>
      <c r="C6" s="56"/>
      <c r="D6" s="62" t="s">
        <v>1793</v>
      </c>
      <c r="E6" s="167" t="str">
        <f>E3</f>
        <v>http://hl7.eu/fhir/ig/idea4rc/StructureDefinition/EpisodeEventI4rc</v>
      </c>
      <c r="F6" s="168"/>
      <c r="G6" s="168"/>
    </row>
    <row r="7" spans="1:19">
      <c r="B7" s="62" t="s">
        <v>15</v>
      </c>
      <c r="C7" s="119"/>
      <c r="D7" s="62" t="s">
        <v>1794</v>
      </c>
      <c r="E7" s="167" t="s">
        <v>1804</v>
      </c>
      <c r="F7" s="168"/>
      <c r="G7" s="168"/>
    </row>
    <row r="8" spans="1:19" ht="45" thickBot="1">
      <c r="B8" s="62" t="s">
        <v>1795</v>
      </c>
      <c r="C8" s="120" t="s">
        <v>2016</v>
      </c>
      <c r="D8" s="62"/>
      <c r="E8" s="7"/>
      <c r="I8" s="12" t="s">
        <v>1402</v>
      </c>
      <c r="J8" s="12" t="s">
        <v>1403</v>
      </c>
      <c r="K8" s="12" t="s">
        <v>1404</v>
      </c>
      <c r="L8" s="12" t="s">
        <v>1405</v>
      </c>
      <c r="M8" s="11" t="s">
        <v>1406</v>
      </c>
      <c r="P8" s="49" t="s">
        <v>1441</v>
      </c>
      <c r="Q8" s="49">
        <v>6</v>
      </c>
    </row>
    <row r="9" spans="1:19" ht="30.25" thickBot="1">
      <c r="B9" s="62" t="s">
        <v>1796</v>
      </c>
      <c r="C9" s="12" t="s">
        <v>2017</v>
      </c>
      <c r="D9" s="146"/>
      <c r="E9" s="169" t="s">
        <v>2026</v>
      </c>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2006</v>
      </c>
      <c r="E15" s="12"/>
      <c r="F15" s="64" t="s">
        <v>1429</v>
      </c>
      <c r="G15" s="124" t="s">
        <v>2024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2007</v>
      </c>
      <c r="E17" s="12"/>
      <c r="F17" s="64" t="s">
        <v>1407</v>
      </c>
      <c r="G17" s="124" t="s">
        <v>2008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2009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2011</v>
      </c>
      <c r="E20" s="12"/>
      <c r="F20" s="64" t="s">
        <v>1407</v>
      </c>
      <c r="G20" s="145" t="s">
        <v>2012</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2011</v>
      </c>
      <c r="E21" s="12"/>
      <c r="F21" s="64" t="s">
        <v>1407</v>
      </c>
      <c r="G21" s="145" t="s">
        <v>2012</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2011</v>
      </c>
      <c r="E22" s="12"/>
      <c r="F22" s="64" t="s">
        <v>1407</v>
      </c>
      <c r="G22" s="145" t="s">
        <v>2012</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2013</v>
      </c>
      <c r="E23" s="11"/>
      <c r="F23" s="64" t="s">
        <v>1407</v>
      </c>
      <c r="G23" s="124" t="s">
        <v>2014</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2013</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2013</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2013</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2013</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2013</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2013</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2013</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2013</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2013</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2013</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2018</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ClinicalStageI4rc</v>
      </c>
    </row>
    <row r="5" spans="1:12" ht="19.899999999999999" customHeight="1">
      <c r="A5" s="14" t="s">
        <v>16</v>
      </c>
      <c r="B5" s="46" t="s">
        <v>1919</v>
      </c>
      <c r="J5" s="16" t="str">
        <f>CONCATENATE("Id: ",B5)</f>
        <v>Id: ClinicalStage</v>
      </c>
    </row>
    <row r="6" spans="1:12" ht="19.899999999999999" customHeight="1">
      <c r="A6" s="14" t="s">
        <v>10</v>
      </c>
      <c r="B6" s="47" t="s">
        <v>1920</v>
      </c>
      <c r="J6" s="17" t="str">
        <f>CONCATENATE("Title: ##34#",B6,"##34#")</f>
        <v>Title: ##34#Clinical Stage##34#</v>
      </c>
    </row>
    <row r="7" spans="1:12" ht="19.899999999999999" customHeight="1">
      <c r="A7" s="26" t="s">
        <v>2</v>
      </c>
      <c r="B7" s="104" t="s">
        <v>1920</v>
      </c>
      <c r="C7" s="9" t="s">
        <v>3</v>
      </c>
      <c r="D7" s="1" t="s">
        <v>4</v>
      </c>
      <c r="E7" s="3" t="s">
        <v>5</v>
      </c>
      <c r="F7" s="3" t="s">
        <v>6</v>
      </c>
      <c r="G7" s="3" t="s">
        <v>7</v>
      </c>
      <c r="H7" s="105" t="s">
        <v>1610</v>
      </c>
      <c r="J7" s="17" t="str">
        <f>CONCATENATE("Description: "," ##334#",B7,"##334#",)</f>
        <v>Description:  ##334#Clinical Stage##334#</v>
      </c>
    </row>
    <row r="8" spans="1:12" ht="20.25" customHeight="1">
      <c r="A8" s="100">
        <v>0</v>
      </c>
      <c r="B8" s="57" t="s">
        <v>1922</v>
      </c>
      <c r="C8" s="11" t="s">
        <v>1923</v>
      </c>
      <c r="D8" s="11" t="s">
        <v>1908</v>
      </c>
      <c r="E8" s="11">
        <v>1</v>
      </c>
      <c r="F8" s="11">
        <v>1</v>
      </c>
      <c r="G8" t="s">
        <v>2005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1913</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1914</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1954</v>
      </c>
      <c r="C11" s="11" t="s">
        <v>1909</v>
      </c>
      <c r="D11" s="11" t="s">
        <v>1910</v>
      </c>
      <c r="E11" s="11">
        <v>1</v>
      </c>
      <c r="F11" s="11">
        <v>1</v>
      </c>
      <c r="G11" s="57" t="s">
        <v>1786</v>
      </c>
      <c r="H11" s="12" t="s">
        <v>1915</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1916</v>
      </c>
      <c r="I12" s="25"/>
      <c r="J12" s="12" t="str">
        <f t="shared" si="0"/>
        <v>* cM 1..1 CodeableConcept ##34#cM##34# ##334#Specifies the clinical M##334#</v>
      </c>
      <c r="L12" s="12" t="str">
        <f t="shared" si="1"/>
        <v>* cM ^comment = ##334#M0; M1;M0 -  4149726
M1 - 4205430##334#</v>
      </c>
    </row>
    <row r="13" spans="1:12" ht="45.25" customHeight="1">
      <c r="A13" s="100">
        <v>5</v>
      </c>
      <c r="B13" s="57" t="s">
        <v>1921</v>
      </c>
      <c r="C13" s="11" t="s">
        <v>1620</v>
      </c>
      <c r="D13" s="12" t="s">
        <v>1621</v>
      </c>
      <c r="E13" s="11">
        <v>1</v>
      </c>
      <c r="F13" s="11">
        <v>1</v>
      </c>
      <c r="G13" s="57" t="s">
        <v>1786</v>
      </c>
      <c r="H13" s="12" t="s">
        <v>1917</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1918</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1912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1912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1912</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1912</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1912</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1912</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1912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1912</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1912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1912</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2036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1924</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2027</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2027</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2029</v>
      </c>
      <c r="E16" s="12"/>
      <c r="F16" s="64" t="s">
        <v>1407</v>
      </c>
      <c r="G16" s="124" t="s">
        <v>2043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2030</v>
      </c>
      <c r="E17" s="12"/>
      <c r="F17" s="148" t="s">
        <v>1407</v>
      </c>
      <c r="G17" s="124" t="s">
        <v>2043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2031</v>
      </c>
      <c r="E19" s="12"/>
      <c r="F19" s="64" t="s">
        <v>1430</v>
      </c>
      <c r="G19" s="124" t="s">
        <v>2043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2032</v>
      </c>
      <c r="E20" s="12"/>
      <c r="F20" s="64" t="s">
        <v>1429</v>
      </c>
      <c r="G20" s="124" t="s">
        <v>2043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2033</v>
      </c>
      <c r="E21" s="12"/>
      <c r="F21" s="64" t="s">
        <v>1407</v>
      </c>
      <c r="G21" s="124" t="s">
        <v>2044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2037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2039</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2039</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2040</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2040</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2041</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2041</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2042</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PathologicalStageI4rc</v>
      </c>
    </row>
    <row r="5" spans="1:12" ht="19.899999999999999" customHeight="1">
      <c r="A5" s="14" t="s">
        <v>16</v>
      </c>
      <c r="B5" s="46" t="s">
        <v>1947</v>
      </c>
      <c r="J5" s="16" t="str">
        <f>CONCATENATE("Id: ",B5)</f>
        <v>Id: PathologicalStage</v>
      </c>
    </row>
    <row r="6" spans="1:12" ht="19.899999999999999" customHeight="1">
      <c r="A6" s="14" t="s">
        <v>10</v>
      </c>
      <c r="B6" s="47" t="s">
        <v>1948</v>
      </c>
      <c r="J6" s="17" t="str">
        <f>CONCATENATE("Title: ##34#",B6,"##34#")</f>
        <v>Title: ##34#Pathological Stage##34#</v>
      </c>
    </row>
    <row r="7" spans="1:12" ht="19.899999999999999" customHeight="1">
      <c r="A7" s="26" t="s">
        <v>2</v>
      </c>
      <c r="B7" s="104" t="s">
        <v>1947</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1949</v>
      </c>
      <c r="C8" s="11" t="s">
        <v>1907</v>
      </c>
      <c r="D8" s="11" t="s">
        <v>1908</v>
      </c>
      <c r="E8" s="11">
        <v>1</v>
      </c>
      <c r="F8" s="11">
        <v>1</v>
      </c>
      <c r="G8" s="57" t="s">
        <v>2005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1925</v>
      </c>
      <c r="C9" s="11" t="s">
        <v>1925</v>
      </c>
      <c r="D9" s="11" t="s">
        <v>1926</v>
      </c>
      <c r="E9" s="11">
        <v>0</v>
      </c>
      <c r="F9" s="11">
        <v>1</v>
      </c>
      <c r="G9" s="57" t="s">
        <v>1786</v>
      </c>
      <c r="H9" s="12" t="s">
        <v>1940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1927</v>
      </c>
      <c r="C10" s="11" t="s">
        <v>1927</v>
      </c>
      <c r="D10" s="11" t="s">
        <v>1928</v>
      </c>
      <c r="E10" s="11">
        <v>0</v>
      </c>
      <c r="F10" s="11">
        <v>1</v>
      </c>
      <c r="G10" s="57" t="s">
        <v>1786</v>
      </c>
      <c r="H10" s="12" t="s">
        <v>1941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1929</v>
      </c>
      <c r="C11" s="11" t="s">
        <v>1929</v>
      </c>
      <c r="D11" s="11" t="s">
        <v>1930</v>
      </c>
      <c r="E11" s="11">
        <v>0</v>
      </c>
      <c r="F11" s="11">
        <v>1</v>
      </c>
      <c r="G11" s="57" t="s">
        <v>1786</v>
      </c>
      <c r="H11" s="12" t="s">
        <v>1942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1953</v>
      </c>
      <c r="C12" s="11" t="s">
        <v>1931</v>
      </c>
      <c r="D12" s="11" t="s">
        <v>1932</v>
      </c>
      <c r="E12" s="11">
        <v>0</v>
      </c>
      <c r="F12" s="11">
        <v>1</v>
      </c>
      <c r="G12" s="57" t="s">
        <v>1786</v>
      </c>
      <c r="H12" s="12" t="s">
        <v>1943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1950</v>
      </c>
      <c r="C13" s="11" t="s">
        <v>1933</v>
      </c>
      <c r="D13" s="12" t="s">
        <v>1934</v>
      </c>
      <c r="E13" s="11">
        <v>0</v>
      </c>
      <c r="F13" s="11">
        <v>1</v>
      </c>
      <c r="G13" s="57" t="s">
        <v>1786</v>
      </c>
      <c r="H13" s="12" t="s">
        <v>1944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1951</v>
      </c>
      <c r="C14" s="11" t="s">
        <v>1935</v>
      </c>
      <c r="D14" s="12" t="s">
        <v>1646</v>
      </c>
      <c r="E14" s="11">
        <v>1</v>
      </c>
      <c r="F14" s="11">
        <v>1</v>
      </c>
      <c r="G14" s="57" t="s">
        <v>1786</v>
      </c>
      <c r="H14" s="12" t="s">
        <v>1945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1936</v>
      </c>
      <c r="E15" s="11">
        <v>0</v>
      </c>
      <c r="F15" s="11">
        <v>1</v>
      </c>
      <c r="G15" s="57" t="s">
        <v>1786</v>
      </c>
      <c r="H15" s="12" t="s">
        <v>1945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1952</v>
      </c>
      <c r="C16" s="11" t="s">
        <v>1937</v>
      </c>
      <c r="D16" s="12" t="s">
        <v>1938</v>
      </c>
      <c r="E16" s="11">
        <v>1</v>
      </c>
      <c r="F16" s="11">
        <v>1</v>
      </c>
      <c r="G16" s="57" t="s">
        <v>1786</v>
      </c>
      <c r="H16" s="12" t="s">
        <v>1946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1939</v>
      </c>
      <c r="D18" s="11" t="s">
        <v>1625</v>
      </c>
      <c r="E18" s="11">
        <v>0</v>
      </c>
      <c r="F18" s="11">
        <v>1</v>
      </c>
      <c r="G18" s="57" t="s">
        <v>157</v>
      </c>
      <c r="H18" s="12" t="s">
        <v>1912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2036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1955</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2048</v>
      </c>
      <c r="D4" s="62" t="s">
        <v>1792</v>
      </c>
      <c r="E4" s="167" t="s">
        <v>2027</v>
      </c>
      <c r="F4" s="168"/>
      <c r="G4" s="168"/>
    </row>
    <row r="5" spans="1:19">
      <c r="B5" s="62" t="s">
        <v>10</v>
      </c>
      <c r="C5" s="7" t="s">
        <v>2046</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2027</v>
      </c>
      <c r="F7" s="168"/>
      <c r="G7" s="168"/>
    </row>
    <row r="8" spans="1:19" ht="44.25">
      <c r="B8" s="62" t="s">
        <v>1795</v>
      </c>
      <c r="C8" s="120" t="s">
        <v>2046</v>
      </c>
      <c r="D8" s="62"/>
      <c r="E8" s="7"/>
      <c r="I8" s="12" t="s">
        <v>1402</v>
      </c>
      <c r="J8" s="12" t="s">
        <v>1403</v>
      </c>
      <c r="K8" s="12" t="s">
        <v>1404</v>
      </c>
      <c r="L8" s="12" t="s">
        <v>1405</v>
      </c>
      <c r="M8" s="11" t="s">
        <v>1406</v>
      </c>
      <c r="P8" s="49" t="s">
        <v>1441</v>
      </c>
      <c r="Q8" s="49">
        <v>6</v>
      </c>
    </row>
    <row r="9" spans="1:19" ht="29.5">
      <c r="B9" s="62" t="s">
        <v>1796</v>
      </c>
      <c r="C9" s="12" t="s">
        <v>2047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2029</v>
      </c>
      <c r="E16" s="12"/>
      <c r="F16" s="64" t="s">
        <v>1407</v>
      </c>
      <c r="G16" s="124" t="s">
        <v>2034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2030</v>
      </c>
      <c r="E17" s="12"/>
      <c r="F17" s="148" t="s">
        <v>1407</v>
      </c>
      <c r="G17" s="124" t="s">
        <v>2034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2031</v>
      </c>
      <c r="E18" s="12"/>
      <c r="F18" s="64" t="s">
        <v>1430</v>
      </c>
      <c r="G18" s="124" t="s">
        <v>2034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2032</v>
      </c>
      <c r="E23" s="12"/>
      <c r="F23" s="64" t="s">
        <v>1407</v>
      </c>
      <c r="G23" s="124" t="s">
        <v>2034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2033</v>
      </c>
      <c r="E24" s="12"/>
      <c r="F24" s="64" t="s">
        <v>1407</v>
      </c>
      <c r="G24" s="124" t="s">
        <v>2035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2045</v>
      </c>
      <c r="D4" s="62" t="s">
        <v>1792</v>
      </c>
      <c r="E4" s="167" t="s">
        <v>2039</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2039</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t="s">
        <v>2034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2040</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2040</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ClinicalStage!B10</f>
        <v>cN</v>
      </c>
      <c r="C15" s="11" t="str">
        <f>ClinicalStage!C10</f>
        <v>cN</v>
      </c>
      <c r="D15" s="12" t="s">
        <v>2032</v>
      </c>
      <c r="E15" s="12"/>
      <c r="F15" s="64" t="s">
        <v>1407</v>
      </c>
      <c r="G15" s="124" t="s">
        <v>2034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2041</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2041</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ClinicalStage!B12</f>
        <v>cM</v>
      </c>
      <c r="C15" s="11" t="str">
        <f>ClinicalStage!C12</f>
        <v>cM</v>
      </c>
      <c r="D15" s="12" t="s">
        <v>2032</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2049</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2389</v>
      </c>
      <c r="J4" s="16" t="str">
        <f>CONCATENATE("Logical: ",B4)</f>
        <v>Logical: SystemicTreatmentI4rc</v>
      </c>
    </row>
    <row r="5" spans="1:12" ht="15.5" thickBot="1">
      <c r="A5" s="14" t="s">
        <v>16</v>
      </c>
      <c r="B5" s="45" t="s">
        <v>2050</v>
      </c>
      <c r="J5" s="16" t="str">
        <f>CONCATENATE("Id: ",B5)</f>
        <v>Id: SystemicTreatment</v>
      </c>
    </row>
    <row r="6" spans="1:12" ht="15.5" thickBot="1">
      <c r="A6" s="14" t="s">
        <v>10</v>
      </c>
      <c r="B6" s="45" t="s">
        <v>2051</v>
      </c>
      <c r="J6" s="17" t="str">
        <f>CONCATENATE("Title: ##34#",B6,"##34#")</f>
        <v>Title: ##34#Systemic Treatment##34#</v>
      </c>
    </row>
    <row r="7" spans="1:12">
      <c r="A7" s="26" t="s">
        <v>2</v>
      </c>
      <c r="B7" s="45" t="s">
        <v>2051</v>
      </c>
      <c r="C7" s="9" t="s">
        <v>3</v>
      </c>
      <c r="D7" s="1" t="s">
        <v>4</v>
      </c>
      <c r="E7" s="3" t="s">
        <v>5</v>
      </c>
      <c r="F7" s="3" t="s">
        <v>6</v>
      </c>
      <c r="G7" s="3" t="s">
        <v>7</v>
      </c>
      <c r="H7" s="105" t="s">
        <v>1610</v>
      </c>
      <c r="J7" s="17" t="str">
        <f>CONCATENATE("Description: "," ##334#",B7,"##334#",)</f>
        <v>Description:  ##334#Systemic Treatment##334#</v>
      </c>
    </row>
    <row r="8" spans="1:12" ht="59">
      <c r="A8" s="100">
        <v>0</v>
      </c>
      <c r="B8" s="12" t="s">
        <v>1949</v>
      </c>
      <c r="C8" s="12" t="s">
        <v>2052</v>
      </c>
      <c r="D8" s="12" t="s">
        <v>1908</v>
      </c>
      <c r="E8" s="11">
        <v>1</v>
      </c>
      <c r="F8" s="11">
        <v>1</v>
      </c>
      <c r="G8" s="57" t="s">
        <v>2005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2053</v>
      </c>
      <c r="C9" s="12" t="s">
        <v>2054</v>
      </c>
      <c r="D9" s="12" t="s">
        <v>2055</v>
      </c>
      <c r="E9" s="11">
        <v>1</v>
      </c>
      <c r="F9" s="11">
        <v>1</v>
      </c>
      <c r="G9" s="11" t="s">
        <v>1786</v>
      </c>
      <c r="H9" s="12" t="s">
        <v>2056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2057</v>
      </c>
      <c r="E10" s="11">
        <v>1</v>
      </c>
      <c r="F10" s="11">
        <v>1</v>
      </c>
      <c r="G10" s="12" t="s">
        <v>1786</v>
      </c>
      <c r="H10" s="12" t="s">
        <v>2058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2059</v>
      </c>
      <c r="D11" s="12" t="s">
        <v>2060</v>
      </c>
      <c r="E11" s="11">
        <v>1</v>
      </c>
      <c r="F11" s="11">
        <v>1</v>
      </c>
      <c r="G11" s="12" t="s">
        <v>1786</v>
      </c>
      <c r="H11" s="12" t="s">
        <v>2061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2062</v>
      </c>
      <c r="D14" s="12" t="s">
        <v>2063</v>
      </c>
      <c r="E14" s="11">
        <v>0</v>
      </c>
      <c r="F14" s="12">
        <v>1</v>
      </c>
      <c r="G14" s="151" t="s">
        <v>2212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2204</v>
      </c>
      <c r="C16" s="12" t="s">
        <v>1660</v>
      </c>
      <c r="D16" s="13" t="s">
        <v>1660</v>
      </c>
      <c r="E16" s="11">
        <v>1</v>
      </c>
      <c r="F16" s="11">
        <v>1</v>
      </c>
      <c r="G16" s="11" t="s">
        <v>1786</v>
      </c>
      <c r="H16" s="12" t="s">
        <v>2064</v>
      </c>
      <c r="I16" s="25"/>
      <c r="J16" s="12" t="str">
        <f t="shared" si="0"/>
        <v>* regimen.drugs1 1..1 CodeableConcept ##34#Drugs 1##34# ##334#Drugs 1##334#</v>
      </c>
      <c r="L16" s="12" t="str">
        <f t="shared" si="1"/>
        <v>* regimen.drugs1 ^comment = ##334#ATC list
Athena vocabulary 
ATC##334#</v>
      </c>
    </row>
    <row r="17" spans="1:13" ht="44.25">
      <c r="A17" s="101">
        <v>9</v>
      </c>
      <c r="B17" s="13" t="s">
        <v>2205</v>
      </c>
      <c r="C17" s="12" t="s">
        <v>1661</v>
      </c>
      <c r="D17" s="13" t="s">
        <v>1661</v>
      </c>
      <c r="E17" s="11">
        <v>1</v>
      </c>
      <c r="F17" s="11">
        <v>1</v>
      </c>
      <c r="G17" s="11" t="s">
        <v>1786</v>
      </c>
      <c r="H17" s="12" t="s">
        <v>2064</v>
      </c>
      <c r="I17" s="25"/>
      <c r="J17" s="12" t="str">
        <f t="shared" si="0"/>
        <v>* regimen.drugs2 1..1 CodeableConcept ##34#Drugs 2##34# ##334#Drugs 2##334#</v>
      </c>
      <c r="L17" s="12" t="str">
        <f t="shared" si="1"/>
        <v>* regimen.drugs2 ^comment = ##334#ATC list
Athena vocabulary 
ATC##334#</v>
      </c>
    </row>
    <row r="18" spans="1:13" ht="44.25">
      <c r="A18" s="101">
        <v>10</v>
      </c>
      <c r="B18" s="13" t="s">
        <v>2206</v>
      </c>
      <c r="C18" s="12" t="s">
        <v>1662</v>
      </c>
      <c r="D18" s="13" t="s">
        <v>1662</v>
      </c>
      <c r="E18" s="11">
        <v>1</v>
      </c>
      <c r="F18" s="11">
        <v>1</v>
      </c>
      <c r="G18" s="11" t="s">
        <v>1786</v>
      </c>
      <c r="H18" s="12" t="s">
        <v>2064</v>
      </c>
      <c r="J18" s="12" t="str">
        <f t="shared" si="0"/>
        <v>* regimen.drugs3 1..1 CodeableConcept ##34#Drugs 3##34# ##334#Drugs 3##334#</v>
      </c>
      <c r="L18" s="12" t="str">
        <f t="shared" si="1"/>
        <v>* regimen.drugs3 ^comment = ##334#ATC list
Athena vocabulary 
ATC##334#</v>
      </c>
    </row>
    <row r="19" spans="1:13" ht="44.25">
      <c r="A19" s="101">
        <v>11</v>
      </c>
      <c r="B19" s="13" t="s">
        <v>2207</v>
      </c>
      <c r="C19" s="12" t="s">
        <v>1665</v>
      </c>
      <c r="D19" s="12" t="s">
        <v>2065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2208</v>
      </c>
      <c r="C20" s="12" t="s">
        <v>1666</v>
      </c>
      <c r="D20" s="12" t="s">
        <v>2066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2068</v>
      </c>
      <c r="D22" s="12" t="s">
        <v>2069</v>
      </c>
      <c r="E22" s="11">
        <v>1</v>
      </c>
      <c r="F22" s="11">
        <v>1</v>
      </c>
      <c r="G22" s="11" t="s">
        <v>1786</v>
      </c>
      <c r="H22" s="12" t="s">
        <v>2070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2264</v>
      </c>
      <c r="D3" s="62" t="s">
        <v>1791</v>
      </c>
      <c r="E3" s="118" t="str">
        <f>$C$1&amp;B14</f>
        <v>http://hl7.eu/fhir/ig/idea4rc/StructureDefinition/SystemicTreatment</v>
      </c>
    </row>
    <row r="4" spans="1:19">
      <c r="B4" s="62" t="s">
        <v>16</v>
      </c>
      <c r="C4" s="28" t="s">
        <v>2264</v>
      </c>
      <c r="D4" s="62" t="s">
        <v>1792</v>
      </c>
      <c r="E4" s="167" t="s">
        <v>2276</v>
      </c>
      <c r="F4" s="172"/>
      <c r="G4" s="172"/>
    </row>
    <row r="5" spans="1:19">
      <c r="B5" s="62" t="s">
        <v>10</v>
      </c>
      <c r="C5" s="7" t="s">
        <v>2265</v>
      </c>
      <c r="D5" s="62"/>
      <c r="E5" s="7"/>
    </row>
    <row r="6" spans="1:19">
      <c r="B6" s="62" t="s">
        <v>18</v>
      </c>
      <c r="C6" s="56"/>
      <c r="D6" s="62" t="s">
        <v>1793</v>
      </c>
      <c r="E6" s="167" t="str">
        <f>E3</f>
        <v>http://hl7.eu/fhir/ig/idea4rc/StructureDefinition/SystemicTreatment</v>
      </c>
      <c r="F6" s="168"/>
      <c r="G6" s="168"/>
    </row>
    <row r="7" spans="1:19">
      <c r="B7" s="62" t="s">
        <v>15</v>
      </c>
      <c r="C7" s="119"/>
      <c r="D7" s="62" t="s">
        <v>1794</v>
      </c>
      <c r="E7" s="167" t="str">
        <f>E4</f>
        <v>http://hl7.eu/fhir/ig/idea4rc/StructureDefinition/MedicationAdministration-eu-i4rc</v>
      </c>
      <c r="F7" s="168"/>
      <c r="G7" s="168"/>
    </row>
    <row r="8" spans="1:19" ht="45" thickBot="1">
      <c r="B8" s="62" t="s">
        <v>1795</v>
      </c>
      <c r="C8" s="7" t="s">
        <v>2265</v>
      </c>
      <c r="D8" s="62"/>
      <c r="E8" s="7"/>
      <c r="I8" s="12" t="s">
        <v>1402</v>
      </c>
      <c r="J8" s="12" t="s">
        <v>1403</v>
      </c>
      <c r="K8" s="12" t="s">
        <v>1404</v>
      </c>
      <c r="L8" s="12" t="s">
        <v>1405</v>
      </c>
      <c r="M8" s="11" t="s">
        <v>1406</v>
      </c>
      <c r="P8" s="49" t="s">
        <v>1441</v>
      </c>
      <c r="Q8" s="49">
        <v>6</v>
      </c>
    </row>
    <row r="9" spans="1:19" ht="30.25" thickBot="1">
      <c r="B9" s="62" t="s">
        <v>1796</v>
      </c>
      <c r="C9" s="12" t="s">
        <v>2266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2219</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2267</v>
      </c>
      <c r="E16" s="12"/>
      <c r="F16" s="64" t="s">
        <v>1429</v>
      </c>
      <c r="G16" s="124" t="s">
        <v>2275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2268</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2269</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2010</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2270</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2271</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2271</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2271</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2272</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2273</v>
      </c>
      <c r="E29" s="12"/>
      <c r="F29" s="64" t="s">
        <v>1407</v>
      </c>
      <c r="G29" s="123" t="s">
        <v>2274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2390</v>
      </c>
      <c r="J4" s="16" t="str">
        <f>CONCATENATE("Logical: ",B4)</f>
        <v>Logical: SurgeryI4rc</v>
      </c>
    </row>
    <row r="5" spans="1:12" ht="15.5" thickBot="1">
      <c r="A5" s="14" t="s">
        <v>16</v>
      </c>
      <c r="B5" s="45" t="s">
        <v>2073</v>
      </c>
      <c r="J5" s="16" t="str">
        <f>CONCATENATE("Id: ",B5)</f>
        <v>Id: Surgery</v>
      </c>
    </row>
    <row r="6" spans="1:12" ht="15.5" thickBot="1">
      <c r="A6" s="14" t="s">
        <v>10</v>
      </c>
      <c r="B6" s="45" t="s">
        <v>2073</v>
      </c>
      <c r="J6" s="17" t="str">
        <f>CONCATENATE("Title: ##34#",B6,"##34#")</f>
        <v>Title: ##34#Surgery##34#</v>
      </c>
    </row>
    <row r="7" spans="1:12">
      <c r="A7" s="26" t="s">
        <v>2</v>
      </c>
      <c r="B7" s="152" t="s">
        <v>2073</v>
      </c>
      <c r="C7" s="9" t="s">
        <v>3</v>
      </c>
      <c r="D7" s="1" t="s">
        <v>4</v>
      </c>
      <c r="E7" s="3" t="s">
        <v>5</v>
      </c>
      <c r="F7" s="3" t="s">
        <v>6</v>
      </c>
      <c r="G7" s="3" t="s">
        <v>7</v>
      </c>
      <c r="H7" s="105" t="s">
        <v>1610</v>
      </c>
      <c r="J7" s="17" t="str">
        <f>CONCATENATE("Description: "," ##334#",B7,"##334#",)</f>
        <v>Description:  ##334#Surgery##334#</v>
      </c>
    </row>
    <row r="8" spans="1:12" ht="59">
      <c r="A8" s="100">
        <v>0</v>
      </c>
      <c r="B8" s="11" t="s">
        <v>1949</v>
      </c>
      <c r="C8" s="11" t="s">
        <v>2052</v>
      </c>
      <c r="D8" s="11" t="s">
        <v>1908</v>
      </c>
      <c r="E8" s="11">
        <v>1</v>
      </c>
      <c r="F8" s="11">
        <v>1</v>
      </c>
      <c r="G8" s="57" t="s">
        <v>2005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2074</v>
      </c>
      <c r="C9" s="11" t="s">
        <v>2073</v>
      </c>
      <c r="D9" s="11" t="s">
        <v>2075</v>
      </c>
      <c r="E9" s="11">
        <v>1</v>
      </c>
      <c r="F9" s="11">
        <v>1</v>
      </c>
      <c r="G9" s="11" t="s">
        <v>1786</v>
      </c>
      <c r="H9" s="12" t="s">
        <v>2076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2077</v>
      </c>
      <c r="C10" s="11" t="s">
        <v>2078</v>
      </c>
      <c r="D10" s="11" t="s">
        <v>2079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2080</v>
      </c>
      <c r="C11" s="11" t="s">
        <v>2081</v>
      </c>
      <c r="D11" s="11" t="s">
        <v>2082</v>
      </c>
      <c r="E11" s="11">
        <v>1</v>
      </c>
      <c r="F11" s="11">
        <v>1</v>
      </c>
      <c r="G11" s="11" t="s">
        <v>1786</v>
      </c>
      <c r="H11" s="12" t="s">
        <v>2083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2084</v>
      </c>
      <c r="C12" s="11" t="s">
        <v>2085</v>
      </c>
      <c r="D12" s="11" t="s">
        <v>2086</v>
      </c>
      <c r="E12" s="11">
        <v>1</v>
      </c>
      <c r="F12" s="11">
        <v>1</v>
      </c>
      <c r="G12" s="11" t="s">
        <v>1786</v>
      </c>
      <c r="H12" s="12" t="s">
        <v>2087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2088</v>
      </c>
      <c r="C13" s="11" t="s">
        <v>2089</v>
      </c>
      <c r="D13" s="11" t="s">
        <v>2090</v>
      </c>
      <c r="E13" s="11">
        <v>1</v>
      </c>
      <c r="F13" s="11">
        <v>1</v>
      </c>
      <c r="G13" s="11" t="s">
        <v>1786</v>
      </c>
      <c r="H13" s="12" t="s">
        <v>2091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2092</v>
      </c>
      <c r="C14" s="11" t="s">
        <v>2093</v>
      </c>
      <c r="D14" s="11" t="s">
        <v>2094</v>
      </c>
      <c r="E14" s="11">
        <v>0</v>
      </c>
      <c r="F14" s="11">
        <v>1</v>
      </c>
      <c r="G14" s="11" t="s">
        <v>1786</v>
      </c>
      <c r="H14" s="12" t="s">
        <v>2095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2096</v>
      </c>
      <c r="C15" s="11" t="s">
        <v>2097</v>
      </c>
      <c r="D15" s="11" t="s">
        <v>2098</v>
      </c>
      <c r="E15" s="11">
        <v>1</v>
      </c>
      <c r="F15" s="11">
        <v>1</v>
      </c>
      <c r="G15" s="11" t="s">
        <v>1786</v>
      </c>
      <c r="H15" s="12" t="s">
        <v>2099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2100</v>
      </c>
      <c r="C16" s="11" t="s">
        <v>2101</v>
      </c>
      <c r="D16" s="11" t="s">
        <v>2102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2103</v>
      </c>
      <c r="C17" s="11" t="s">
        <v>2104</v>
      </c>
      <c r="D17" s="11" t="s">
        <v>2105</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2106</v>
      </c>
      <c r="C18" s="11" t="s">
        <v>2107</v>
      </c>
      <c r="D18" s="11" t="s">
        <v>2108</v>
      </c>
      <c r="E18" s="11">
        <v>1</v>
      </c>
      <c r="F18" s="11">
        <v>1</v>
      </c>
      <c r="G18" s="11" t="s">
        <v>1786</v>
      </c>
      <c r="H18" s="12" t="s">
        <v>2099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2109</v>
      </c>
      <c r="C19" s="11" t="s">
        <v>2110</v>
      </c>
      <c r="D19" s="11" t="s">
        <v>2111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2211</v>
      </c>
      <c r="C20" s="6" t="s">
        <v>2209</v>
      </c>
      <c r="D20" s="6" t="s">
        <v>2210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2240</v>
      </c>
      <c r="C21" s="11" t="s">
        <v>2112</v>
      </c>
      <c r="D21" s="11" t="s">
        <v>2113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2241</v>
      </c>
      <c r="C22" s="11" t="s">
        <v>2114</v>
      </c>
      <c r="D22" s="11" t="s">
        <v>2115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2242</v>
      </c>
      <c r="C23" s="11" t="s">
        <v>2116</v>
      </c>
      <c r="D23" s="11" t="s">
        <v>2117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2246</v>
      </c>
      <c r="C24" s="11" t="s">
        <v>2118</v>
      </c>
      <c r="D24" s="11" t="s">
        <v>2119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2243</v>
      </c>
      <c r="C25" s="11" t="s">
        <v>2120</v>
      </c>
      <c r="D25" s="11" t="s">
        <v>2121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2244</v>
      </c>
      <c r="C26" s="11" t="s">
        <v>2122</v>
      </c>
      <c r="D26" s="11" t="s">
        <v>2123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2245</v>
      </c>
      <c r="C27" s="11" t="s">
        <v>2124</v>
      </c>
      <c r="D27" s="11" t="s">
        <v>2125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2247</v>
      </c>
      <c r="C28" s="11" t="s">
        <v>2126</v>
      </c>
      <c r="D28" s="11" t="s">
        <v>2127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2249</v>
      </c>
      <c r="C29" s="11" t="s">
        <v>2128</v>
      </c>
      <c r="D29" s="11" t="s">
        <v>2129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2248</v>
      </c>
      <c r="C30" s="11" t="s">
        <v>2130</v>
      </c>
      <c r="D30" s="11" t="s">
        <v>2131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2132</v>
      </c>
      <c r="C31" s="11" t="s">
        <v>2133</v>
      </c>
      <c r="D31" s="11" t="s">
        <v>2134</v>
      </c>
      <c r="E31" s="11">
        <v>1</v>
      </c>
      <c r="F31" s="11">
        <v>1</v>
      </c>
      <c r="G31" s="11" t="s">
        <v>1786</v>
      </c>
      <c r="H31" s="12" t="s">
        <v>2135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2214</v>
      </c>
      <c r="D3" s="62" t="s">
        <v>1791</v>
      </c>
      <c r="E3" s="118" t="str">
        <f>$C$1&amp;B14</f>
        <v>http://hl7.eu/fhir/ig/idea4rc/StructureDefinition/SurgeryI4rc</v>
      </c>
    </row>
    <row r="4" spans="1:19">
      <c r="B4" s="62" t="s">
        <v>16</v>
      </c>
      <c r="C4" s="28" t="s">
        <v>2214</v>
      </c>
      <c r="D4" s="62" t="s">
        <v>1792</v>
      </c>
      <c r="E4" s="167" t="s">
        <v>2217</v>
      </c>
      <c r="F4" s="168"/>
      <c r="G4" s="168"/>
    </row>
    <row r="5" spans="1:19">
      <c r="B5" s="62" t="s">
        <v>10</v>
      </c>
      <c r="C5" s="7" t="s">
        <v>2215</v>
      </c>
      <c r="D5" s="62"/>
      <c r="E5" s="7"/>
    </row>
    <row r="6" spans="1:19">
      <c r="B6" s="62" t="s">
        <v>18</v>
      </c>
      <c r="C6" s="56"/>
      <c r="D6" s="62" t="s">
        <v>1793</v>
      </c>
      <c r="E6" s="167" t="str">
        <f>E3</f>
        <v>http://hl7.eu/fhir/ig/idea4rc/StructureDefinition/SurgeryI4rc</v>
      </c>
      <c r="F6" s="168"/>
      <c r="G6" s="168"/>
    </row>
    <row r="7" spans="1:19">
      <c r="B7" s="62" t="s">
        <v>15</v>
      </c>
      <c r="C7" s="119"/>
      <c r="D7" s="62" t="s">
        <v>1794</v>
      </c>
      <c r="E7" s="167" t="str">
        <f>E4</f>
        <v>http://hl7.eu/fhir/ig/idea4rc/StructureDefinition/Procedure-surgery-eu-i4rc</v>
      </c>
      <c r="F7" s="168"/>
      <c r="G7" s="168"/>
    </row>
    <row r="8" spans="1:19" ht="45" thickBot="1">
      <c r="B8" s="62" t="s">
        <v>1795</v>
      </c>
      <c r="C8" s="7" t="s">
        <v>2215</v>
      </c>
      <c r="D8" s="62"/>
      <c r="E8" s="7"/>
      <c r="I8" s="12" t="s">
        <v>1402</v>
      </c>
      <c r="J8" s="12" t="s">
        <v>1403</v>
      </c>
      <c r="K8" s="12" t="s">
        <v>1404</v>
      </c>
      <c r="L8" s="12" t="s">
        <v>1405</v>
      </c>
      <c r="M8" s="11" t="s">
        <v>1406</v>
      </c>
      <c r="P8" s="49" t="s">
        <v>1441</v>
      </c>
      <c r="Q8" s="49">
        <v>6</v>
      </c>
    </row>
    <row r="9" spans="1:19" ht="15.5" thickBot="1">
      <c r="B9" s="62" t="s">
        <v>1796</v>
      </c>
      <c r="C9" s="12" t="s">
        <v>2216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2218</v>
      </c>
      <c r="E14" s="6"/>
      <c r="F14" s="64"/>
      <c r="G14" s="64"/>
      <c r="I14" s="12"/>
      <c r="J14" s="11"/>
      <c r="K14" s="11"/>
      <c r="L14" s="11"/>
      <c r="M14" s="63"/>
      <c r="N14" s="66"/>
    </row>
    <row r="15" spans="1:19" ht="44.25">
      <c r="A15" s="59"/>
      <c r="B15" s="11" t="str">
        <f>Surgery!B8</f>
        <v>episodeEventReference</v>
      </c>
      <c r="C15" s="11" t="str">
        <f>Surgery!C8</f>
        <v>Episode Event reference</v>
      </c>
      <c r="D15" s="12" t="s">
        <v>2219</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2233</v>
      </c>
      <c r="E16" s="12"/>
      <c r="F16" s="64" t="s">
        <v>1407</v>
      </c>
      <c r="G16" s="123" t="s">
        <v>2221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2220</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2223</v>
      </c>
      <c r="E19" s="12"/>
      <c r="F19" s="64" t="s">
        <v>1407</v>
      </c>
      <c r="G19" s="123" t="s">
        <v>2224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2225</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2220</v>
      </c>
      <c r="E23" s="11"/>
      <c r="F23" s="64" t="s">
        <v>1430</v>
      </c>
      <c r="G23" s="123" t="s">
        <v>2228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2229</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2013</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2013</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2013</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2013</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2013</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2013</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2232</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RadiotherapyI4rc</v>
      </c>
    </row>
    <row r="5" spans="1:12" ht="15.5" thickBot="1">
      <c r="A5" s="14" t="s">
        <v>16</v>
      </c>
      <c r="B5" s="45" t="s">
        <v>2137</v>
      </c>
      <c r="J5" s="16" t="str">
        <f>CONCATENATE("Id: ",B5)</f>
        <v>Id: Radiotherapy</v>
      </c>
    </row>
    <row r="6" spans="1:12" ht="15.5" thickBot="1">
      <c r="A6" s="14" t="s">
        <v>10</v>
      </c>
      <c r="B6" s="45" t="s">
        <v>2137</v>
      </c>
      <c r="J6" s="17" t="str">
        <f>CONCATENATE("Title: ##34#",B6,"##34#")</f>
        <v>Title: ##34#Radiotherapy##34#</v>
      </c>
    </row>
    <row r="7" spans="1:12">
      <c r="A7" s="26" t="s">
        <v>2</v>
      </c>
      <c r="B7" s="45" t="s">
        <v>2137</v>
      </c>
      <c r="C7" s="9" t="s">
        <v>3</v>
      </c>
      <c r="D7" s="1" t="s">
        <v>4</v>
      </c>
      <c r="E7" s="3" t="s">
        <v>5</v>
      </c>
      <c r="F7" s="3" t="s">
        <v>6</v>
      </c>
      <c r="G7" s="3" t="s">
        <v>7</v>
      </c>
      <c r="H7" s="105" t="s">
        <v>1610</v>
      </c>
      <c r="J7" s="17" t="str">
        <f>CONCATENATE("Description: "," ##334#",B7,"##334#",)</f>
        <v>Description:  ##334#Radiotherapy##334#</v>
      </c>
    </row>
    <row r="8" spans="1:12" ht="59">
      <c r="A8" s="100">
        <v>0</v>
      </c>
      <c r="B8" s="11" t="s">
        <v>1949</v>
      </c>
      <c r="C8" s="11" t="s">
        <v>2052</v>
      </c>
      <c r="D8" s="11" t="s">
        <v>1908</v>
      </c>
      <c r="E8" s="11">
        <v>1</v>
      </c>
      <c r="F8" s="11">
        <v>1</v>
      </c>
      <c r="G8" s="57" t="s">
        <v>2005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2136</v>
      </c>
      <c r="C9" s="11" t="s">
        <v>2137</v>
      </c>
      <c r="D9" s="11" t="s">
        <v>2138</v>
      </c>
      <c r="E9" s="11">
        <v>1</v>
      </c>
      <c r="F9" s="11">
        <v>1</v>
      </c>
      <c r="G9" s="11" t="s">
        <v>1786</v>
      </c>
      <c r="H9" s="12" t="s">
        <v>2076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2139</v>
      </c>
      <c r="E10" s="11">
        <v>1</v>
      </c>
      <c r="F10" s="11">
        <v>1</v>
      </c>
      <c r="G10" s="11" t="s">
        <v>1786</v>
      </c>
      <c r="H10" s="12" t="s">
        <v>2058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2059</v>
      </c>
      <c r="D11" s="11" t="s">
        <v>2140</v>
      </c>
      <c r="E11" s="11">
        <v>0</v>
      </c>
      <c r="F11" s="11">
        <v>1</v>
      </c>
      <c r="G11" s="11" t="s">
        <v>1786</v>
      </c>
      <c r="H11" s="12" t="s">
        <v>2141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2142</v>
      </c>
      <c r="C12" s="11" t="s">
        <v>2143</v>
      </c>
      <c r="D12" s="11" t="s">
        <v>2144</v>
      </c>
      <c r="E12" s="11">
        <v>1</v>
      </c>
      <c r="F12" s="11">
        <v>1</v>
      </c>
      <c r="G12" s="11" t="s">
        <v>1786</v>
      </c>
      <c r="H12" s="12" t="s">
        <v>2145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2146</v>
      </c>
      <c r="C13" s="11" t="s">
        <v>2147</v>
      </c>
      <c r="D13" s="6" t="s">
        <v>2147</v>
      </c>
      <c r="E13" s="11">
        <v>0</v>
      </c>
      <c r="F13" s="11">
        <v>1</v>
      </c>
      <c r="G13" s="11" t="s">
        <v>0</v>
      </c>
      <c r="H13" s="12"/>
      <c r="I13" s="25"/>
      <c r="J13" s="12" t="str">
        <f t="shared" si="1"/>
        <v>* otherSpecify 0..1 string ##34#Other; specify##34# ##334#Other; specify##334#</v>
      </c>
      <c r="L13" s="12" t="str">
        <f t="shared" si="2"/>
        <v/>
      </c>
    </row>
    <row r="14" spans="1:12" ht="236">
      <c r="A14" s="101">
        <v>6</v>
      </c>
      <c r="B14" s="11" t="s">
        <v>2148</v>
      </c>
      <c r="C14" s="11" t="s">
        <v>2149</v>
      </c>
      <c r="D14" s="11" t="s">
        <v>2150</v>
      </c>
      <c r="E14" s="11">
        <v>1</v>
      </c>
      <c r="F14" s="11">
        <v>1</v>
      </c>
      <c r="G14" s="11" t="s">
        <v>1786</v>
      </c>
      <c r="H14" s="12" t="s">
        <v>2151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2152</v>
      </c>
      <c r="C15" s="11" t="s">
        <v>2153</v>
      </c>
      <c r="D15" s="11" t="s">
        <v>2154</v>
      </c>
      <c r="E15" s="11">
        <v>1</v>
      </c>
      <c r="F15" s="11">
        <v>1</v>
      </c>
      <c r="G15" s="57" t="s">
        <v>2212</v>
      </c>
      <c r="H15" s="12"/>
      <c r="I15" s="25"/>
      <c r="J15" s="12" t="str">
        <f t="shared" si="1"/>
        <v>* totalDoseTdGy 1..1 decimal ##34#Total Dose (TD) Gy##34# ##334#Refers to the total dose delivered to the patient in Gy##334#</v>
      </c>
      <c r="L15" s="12" t="str">
        <f t="shared" si="2"/>
        <v/>
      </c>
    </row>
    <row r="16" spans="1:12" ht="29.5">
      <c r="A16" s="101">
        <v>8</v>
      </c>
      <c r="B16" s="11" t="s">
        <v>2155</v>
      </c>
      <c r="C16" s="11" t="s">
        <v>2156</v>
      </c>
      <c r="D16" s="11" t="s">
        <v>2157</v>
      </c>
      <c r="E16" s="11">
        <v>1</v>
      </c>
      <c r="F16" s="11">
        <v>1</v>
      </c>
      <c r="G16" s="57" t="s">
        <v>2212</v>
      </c>
      <c r="H16" s="12"/>
      <c r="I16" s="25"/>
      <c r="J16" s="12" t="str">
        <f t="shared" si="1"/>
        <v>* fractionSizeFs 1..1 decimal ##34#Fraction Size (FS)##34# ##334#Refers to the Dose per fraction delivered to the patient.##334#</v>
      </c>
      <c r="L16" s="12" t="str">
        <f t="shared" si="2"/>
        <v/>
      </c>
    </row>
    <row r="17" spans="1:13" ht="29.5">
      <c r="A17" s="100">
        <v>9</v>
      </c>
      <c r="B17" s="11" t="s">
        <v>2158</v>
      </c>
      <c r="C17" s="11" t="s">
        <v>2159</v>
      </c>
      <c r="D17" s="11" t="s">
        <v>2160</v>
      </c>
      <c r="E17" s="11">
        <v>1</v>
      </c>
      <c r="F17" s="11">
        <v>1</v>
      </c>
      <c r="G17" s="57" t="s">
        <v>2212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2161</v>
      </c>
      <c r="C18" s="11" t="s">
        <v>2162</v>
      </c>
      <c r="D18" s="11" t="s">
        <v>2163</v>
      </c>
      <c r="E18" s="11">
        <v>0</v>
      </c>
      <c r="F18" s="11">
        <v>1</v>
      </c>
      <c r="G18" s="11" t="s">
        <v>1786</v>
      </c>
      <c r="H18" s="12" t="s">
        <v>2099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2164</v>
      </c>
      <c r="C19" s="11" t="s">
        <v>2165</v>
      </c>
      <c r="D19" s="11" t="s">
        <v>2166</v>
      </c>
      <c r="E19" s="11">
        <v>0</v>
      </c>
      <c r="F19" s="11">
        <v>1</v>
      </c>
      <c r="G19" s="11" t="s">
        <v>1786</v>
      </c>
      <c r="H19" s="12" t="s">
        <v>2099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2167</v>
      </c>
      <c r="C20" s="11" t="s">
        <v>2168</v>
      </c>
      <c r="D20" s="11" t="s">
        <v>2169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2170</v>
      </c>
      <c r="C21" s="11" t="s">
        <v>2171</v>
      </c>
      <c r="D21" s="11" t="s">
        <v>2172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2173</v>
      </c>
      <c r="C22" s="11" t="s">
        <v>2174</v>
      </c>
      <c r="D22" s="11" t="s">
        <v>2175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2194</v>
      </c>
      <c r="C23" s="11" t="s">
        <v>2176</v>
      </c>
      <c r="D23" s="150" t="s">
        <v>2176</v>
      </c>
      <c r="E23" s="11">
        <v>0</v>
      </c>
      <c r="F23" s="11">
        <v>1</v>
      </c>
      <c r="G23" s="11" t="s">
        <v>157</v>
      </c>
      <c r="H23" s="12"/>
      <c r="J23" s="12" t="str">
        <f t="shared" si="1"/>
        <v>* treatmentSites.primary 0..1 boolean ##34#Primary##34# ##334#Primary##334#</v>
      </c>
      <c r="L23" s="12" t="str">
        <f t="shared" si="2"/>
        <v/>
      </c>
      <c r="M23"/>
    </row>
    <row r="24" spans="1:13">
      <c r="A24" s="100">
        <v>16</v>
      </c>
      <c r="B24" s="57" t="s">
        <v>2195</v>
      </c>
      <c r="C24" s="11" t="s">
        <v>2177</v>
      </c>
      <c r="D24" s="150" t="s">
        <v>2177</v>
      </c>
      <c r="E24" s="11">
        <v>0</v>
      </c>
      <c r="F24" s="11">
        <v>1</v>
      </c>
      <c r="G24" s="11" t="s">
        <v>157</v>
      </c>
      <c r="H24" s="12"/>
      <c r="J24" s="12" t="str">
        <f t="shared" si="1"/>
        <v>* treatmentSites.neck 0..1 boolean ##34#Neck##34# ##334#Neck##334#</v>
      </c>
      <c r="L24" s="12" t="str">
        <f t="shared" si="2"/>
        <v/>
      </c>
      <c r="M24"/>
    </row>
    <row r="25" spans="1:13" ht="29.5">
      <c r="A25" s="101">
        <v>17</v>
      </c>
      <c r="B25" s="57" t="s">
        <v>2196</v>
      </c>
      <c r="C25" s="11" t="s">
        <v>2178</v>
      </c>
      <c r="D25" s="150" t="s">
        <v>2178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2197</v>
      </c>
      <c r="C26" s="11" t="s">
        <v>2179</v>
      </c>
      <c r="D26" s="150" t="s">
        <v>2179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2198</v>
      </c>
      <c r="C27" s="11" t="s">
        <v>2180</v>
      </c>
      <c r="D27" s="150" t="s">
        <v>2180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2181</v>
      </c>
      <c r="C28" s="11" t="s">
        <v>2182</v>
      </c>
      <c r="D28" s="11" t="s">
        <v>2183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2199</v>
      </c>
      <c r="C29" s="11" t="s">
        <v>2184</v>
      </c>
      <c r="D29" s="150" t="s">
        <v>2184</v>
      </c>
      <c r="E29" s="11">
        <v>0</v>
      </c>
      <c r="F29" s="11">
        <v>1</v>
      </c>
      <c r="G29" s="11" t="s">
        <v>157</v>
      </c>
      <c r="H29" s="12"/>
      <c r="J29" s="12" t="str">
        <f t="shared" si="1"/>
        <v>* metastaticTreatmentSites.lung 0..1 boolean ##34#Lung
##34# ##334#Lung
##334#</v>
      </c>
      <c r="L29" s="12" t="str">
        <f t="shared" si="2"/>
        <v/>
      </c>
    </row>
    <row r="30" spans="1:13" ht="44.25">
      <c r="A30" s="100">
        <v>22</v>
      </c>
      <c r="B30" s="57" t="s">
        <v>2200</v>
      </c>
      <c r="C30" s="11" t="s">
        <v>2186</v>
      </c>
      <c r="D30" s="150" t="s">
        <v>2186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2201</v>
      </c>
      <c r="C31" s="12" t="s">
        <v>2187</v>
      </c>
      <c r="D31" s="13" t="s">
        <v>2187</v>
      </c>
      <c r="E31" s="11">
        <v>0</v>
      </c>
      <c r="F31" s="11">
        <v>1</v>
      </c>
      <c r="G31" s="11" t="s">
        <v>157</v>
      </c>
      <c r="H31" s="12"/>
      <c r="J31" s="12" t="str">
        <f t="shared" si="1"/>
        <v>* metastaticTreatmentSites.bone 0..1 boolean ##34#Bone
##34# ##334#Bone
##334#</v>
      </c>
      <c r="L31" s="12" t="str">
        <f t="shared" si="2"/>
        <v/>
      </c>
    </row>
    <row r="32" spans="1:13" ht="44.25">
      <c r="A32" s="11">
        <v>24</v>
      </c>
      <c r="B32" s="57" t="s">
        <v>2202</v>
      </c>
      <c r="C32" s="12" t="s">
        <v>2188</v>
      </c>
      <c r="D32" s="13" t="s">
        <v>2188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2203</v>
      </c>
      <c r="C33" s="12" t="s">
        <v>2189</v>
      </c>
      <c r="D33" s="13" t="s">
        <v>2189</v>
      </c>
      <c r="E33" s="11">
        <v>0</v>
      </c>
      <c r="F33" s="11">
        <v>1</v>
      </c>
      <c r="G33" s="11" t="s">
        <v>157</v>
      </c>
      <c r="H33" s="12"/>
      <c r="J33" s="12" t="str">
        <f t="shared" si="1"/>
        <v>* metastaticTreatmentSites.liver 0..1 boolean ##34#Liver
##34# ##334#Liver
##334#</v>
      </c>
      <c r="L33" s="12" t="str">
        <f t="shared" si="2"/>
        <v/>
      </c>
    </row>
    <row r="34" spans="1:12" ht="147.5">
      <c r="A34" s="6">
        <v>26</v>
      </c>
      <c r="B34" s="11" t="s">
        <v>2190</v>
      </c>
      <c r="C34" s="12" t="s">
        <v>2191</v>
      </c>
      <c r="D34" s="11" t="s">
        <v>2192</v>
      </c>
      <c r="E34" s="11">
        <v>1</v>
      </c>
      <c r="F34" s="11">
        <v>1</v>
      </c>
      <c r="G34" s="11" t="s">
        <v>1786</v>
      </c>
      <c r="H34" s="12" t="s">
        <v>2193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http://hl7.eu/fhir/ig/idea4rc/StructureDefinition/RadiotherapyI4rc</v>
      </c>
    </row>
    <row r="4" spans="1:19">
      <c r="B4" s="62" t="s">
        <v>16</v>
      </c>
      <c r="C4" s="28" t="s">
        <v>2234</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http://hl7.eu/fhir/ig/idea4rc/StructureDefinition/RadiotherapyI4rc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2218</v>
      </c>
      <c r="E14" s="6"/>
      <c r="F14" s="64"/>
      <c r="G14" s="64"/>
      <c r="I14" s="12"/>
      <c r="J14" s="11"/>
      <c r="K14" s="11"/>
      <c r="L14" s="11"/>
      <c r="M14" s="63"/>
      <c r="N14" s="66"/>
    </row>
    <row r="15" spans="1:19" ht="44.25">
      <c r="A15" s="59"/>
      <c r="B15" s="11" t="str">
        <f>Radiotherapy!B8</f>
        <v>episodeEventReference</v>
      </c>
      <c r="C15" s="11" t="str">
        <f>Radiotherapy!C8</f>
        <v>Episode Event reference</v>
      </c>
      <c r="D15" s="12" t="s">
        <v>2219</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2262</v>
      </c>
      <c r="E16" s="12"/>
      <c r="F16" s="64" t="s">
        <v>1407</v>
      </c>
      <c r="G16" s="123" t="s">
        <v>2237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2250</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2262</v>
      </c>
      <c r="E18" s="12"/>
      <c r="F18" s="64" t="s">
        <v>1407</v>
      </c>
      <c r="G18" s="123" t="s">
        <v>2237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2257</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2258</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2251</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2252</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2253</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2255</v>
      </c>
      <c r="E25" s="11"/>
      <c r="F25" s="64" t="s">
        <v>1407</v>
      </c>
      <c r="G25" s="123" t="s">
        <v>2256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2251</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2259</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2260</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2013</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2013</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2013</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2013</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2013</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2013</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2013</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2013</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2013</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2013</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2013</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2013</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2255</v>
      </c>
      <c r="E41" s="11"/>
      <c r="F41" s="64" t="s">
        <v>1407</v>
      </c>
      <c r="G41" s="123" t="s">
        <v>2261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2263</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2381</v>
      </c>
      <c r="J4" s="16" t="str">
        <f>CONCATENATE("Logical: ",B4)</f>
        <v>Logical: HospitalPatientRecordsI4rc</v>
      </c>
    </row>
    <row r="5" spans="1:12" ht="15.5" thickBot="1">
      <c r="A5" s="14" t="s">
        <v>16</v>
      </c>
      <c r="B5" s="45" t="s">
        <v>2291</v>
      </c>
      <c r="J5" s="16" t="str">
        <f>CONCATENATE("Id: ",B5)</f>
        <v>Id: HospitalPatientRecords</v>
      </c>
    </row>
    <row r="6" spans="1:12" ht="15.5" thickBot="1">
      <c r="A6" s="14" t="s">
        <v>10</v>
      </c>
      <c r="B6" s="45" t="s">
        <v>2292</v>
      </c>
      <c r="J6" s="17" t="str">
        <f>CONCATENATE("Title: ##34#",B6,"##34#")</f>
        <v>Title: ##34#Hospital Patient Records##34#</v>
      </c>
    </row>
    <row r="7" spans="1:12">
      <c r="A7" s="26" t="s">
        <v>2</v>
      </c>
      <c r="B7" s="152" t="s">
        <v>2292</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2282</v>
      </c>
      <c r="C9" s="11" t="s">
        <v>2283</v>
      </c>
      <c r="D9" s="11" t="s">
        <v>2284</v>
      </c>
      <c r="E9" s="11">
        <v>1</v>
      </c>
      <c r="F9" s="11">
        <v>1</v>
      </c>
      <c r="G9" s="120" t="s">
        <v>1</v>
      </c>
      <c r="H9" s="11" t="s">
        <v>2285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2290</v>
      </c>
      <c r="C10" s="11" t="s">
        <v>2279</v>
      </c>
      <c r="D10" s="11" t="s">
        <v>2280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2286</v>
      </c>
      <c r="C11" s="11" t="s">
        <v>2287</v>
      </c>
      <c r="D11" s="11" t="s">
        <v>2288</v>
      </c>
      <c r="E11" s="11">
        <v>1</v>
      </c>
      <c r="F11" s="11">
        <v>1</v>
      </c>
      <c r="G11" s="11" t="s">
        <v>156</v>
      </c>
      <c r="H11" s="11" t="s">
        <v>2289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2293</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2392</v>
      </c>
      <c r="D3" s="62" t="s">
        <v>1791</v>
      </c>
      <c r="E3" s="118" t="str">
        <f>$C$1&amp;B14</f>
        <v>http://hl7.eu/fhir/ig/idea4rc/StructureDefinition/HospitalPatientRecords</v>
      </c>
    </row>
    <row r="4" spans="1:19">
      <c r="B4" s="62" t="s">
        <v>16</v>
      </c>
      <c r="C4" s="28" t="s">
        <v>2392</v>
      </c>
      <c r="D4" s="62" t="s">
        <v>1792</v>
      </c>
      <c r="E4" s="167" t="s">
        <v>2395</v>
      </c>
      <c r="F4" s="168"/>
      <c r="G4" s="168"/>
    </row>
    <row r="5" spans="1:19">
      <c r="B5" s="62" t="s">
        <v>10</v>
      </c>
      <c r="C5" s="7" t="s">
        <v>2393</v>
      </c>
      <c r="D5" s="62"/>
      <c r="E5" s="7"/>
    </row>
    <row r="6" spans="1:19">
      <c r="B6" s="62" t="s">
        <v>18</v>
      </c>
      <c r="C6" s="56"/>
      <c r="D6" s="62" t="s">
        <v>1793</v>
      </c>
      <c r="E6" s="167" t="str">
        <f>E3</f>
        <v>http://hl7.eu/fhir/ig/idea4rc/StructureDefinition/HospitalPatientRecords</v>
      </c>
      <c r="F6" s="168"/>
      <c r="G6" s="168"/>
    </row>
    <row r="7" spans="1:19">
      <c r="B7" s="62" t="s">
        <v>15</v>
      </c>
      <c r="C7" s="119"/>
      <c r="D7" s="62" t="s">
        <v>1794</v>
      </c>
      <c r="E7" s="167" t="str">
        <f>E4</f>
        <v>http://hl7.eu/fhir/ig/idea4rc/StructureDefinition/episodeOfCare-eu-i4rc</v>
      </c>
      <c r="F7" s="168"/>
      <c r="G7" s="168"/>
    </row>
    <row r="8" spans="1:19" ht="45" thickBot="1">
      <c r="B8" s="62" t="s">
        <v>1795</v>
      </c>
      <c r="C8" t="s">
        <v>2393</v>
      </c>
      <c r="D8" s="62"/>
      <c r="E8" s="7"/>
      <c r="I8" s="12" t="s">
        <v>1402</v>
      </c>
      <c r="J8" s="12" t="s">
        <v>1403</v>
      </c>
      <c r="K8" s="12" t="s">
        <v>1404</v>
      </c>
      <c r="L8" s="12" t="s">
        <v>1405</v>
      </c>
      <c r="M8" s="11" t="s">
        <v>1406</v>
      </c>
      <c r="P8" s="49" t="s">
        <v>1441</v>
      </c>
      <c r="Q8" s="49">
        <v>6</v>
      </c>
    </row>
    <row r="9" spans="1:19" ht="30.25" thickBot="1">
      <c r="B9" s="62" t="s">
        <v>1796</v>
      </c>
      <c r="C9" s="12" t="s">
        <v>2394</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2396</v>
      </c>
      <c r="E14" s="6"/>
      <c r="F14" s="64"/>
      <c r="G14" s="64"/>
      <c r="I14" s="12"/>
      <c r="J14" s="11"/>
      <c r="K14" s="11"/>
      <c r="L14" s="11"/>
      <c r="M14" s="63"/>
      <c r="N14" s="66"/>
    </row>
    <row r="15" spans="1:19" ht="44.25">
      <c r="A15" s="59"/>
      <c r="B15" s="11" t="str">
        <f>HospitalPatientRecords!B8</f>
        <v>patient</v>
      </c>
      <c r="C15" s="11" t="str">
        <f>HospitalPatientRecords!C8</f>
        <v>Patient</v>
      </c>
      <c r="D15" s="12" t="s">
        <v>1805</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2397</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2398</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2399</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1798</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PatientFollowUpI4rc</v>
      </c>
    </row>
    <row r="5" spans="1:12" ht="15.5" thickBot="1">
      <c r="A5" s="14" t="s">
        <v>16</v>
      </c>
      <c r="B5" s="45" t="s">
        <v>2310</v>
      </c>
      <c r="J5" s="16" t="str">
        <f>CONCATENATE("Id: ",B5)</f>
        <v>Id: PatientFollowUp</v>
      </c>
    </row>
    <row r="6" spans="1:12" ht="15.5" thickBot="1">
      <c r="A6" s="14" t="s">
        <v>10</v>
      </c>
      <c r="B6" s="45" t="s">
        <v>2311</v>
      </c>
      <c r="J6" s="17" t="str">
        <f>CONCATENATE("Title: ##34#",B6,"##34#")</f>
        <v>Title: ##34#Patient Follow Up##34#</v>
      </c>
    </row>
    <row r="7" spans="1:12">
      <c r="A7" s="26" t="s">
        <v>2</v>
      </c>
      <c r="B7" s="45" t="s">
        <v>2311</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2294</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2295</v>
      </c>
      <c r="C9" s="11" t="s">
        <v>2296</v>
      </c>
      <c r="D9" s="11" t="s">
        <v>2297</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2298</v>
      </c>
      <c r="C10" s="11" t="s">
        <v>2299</v>
      </c>
      <c r="D10" s="11" t="s">
        <v>2300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2301</v>
      </c>
      <c r="C11" s="11" t="s">
        <v>2302</v>
      </c>
      <c r="D11" s="11" t="s">
        <v>2303</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2304</v>
      </c>
      <c r="C12" s="11" t="s">
        <v>2305</v>
      </c>
      <c r="D12" s="11" t="s">
        <v>2306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2307</v>
      </c>
      <c r="C13" s="11" t="s">
        <v>2308</v>
      </c>
      <c r="D13" s="11" t="s">
        <v>2309</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7" t="s">
        <v>2401</v>
      </c>
      <c r="F4" s="168"/>
      <c r="G4" s="168"/>
    </row>
    <row r="5" spans="1:19">
      <c r="B5" s="62" t="s">
        <v>10</v>
      </c>
      <c r="C5" s="7" t="s">
        <v>2403</v>
      </c>
      <c r="D5" s="62"/>
      <c r="E5" s="7"/>
    </row>
    <row r="6" spans="1:19">
      <c r="B6" s="62" t="s">
        <v>18</v>
      </c>
      <c r="C6" s="56"/>
      <c r="D6" s="62" t="s">
        <v>1793</v>
      </c>
      <c r="E6" s="167" t="str">
        <f>E3</f>
        <v>http://hl7.eu/fhir/ig/idea4rc/StructureDefinition/PatientFollowUpI4rc</v>
      </c>
      <c r="F6" s="168"/>
      <c r="G6" s="168"/>
    </row>
    <row r="7" spans="1:19">
      <c r="B7" s="62" t="s">
        <v>15</v>
      </c>
      <c r="C7" s="119"/>
      <c r="D7" s="62" t="s">
        <v>1794</v>
      </c>
      <c r="E7" s="167" t="str">
        <f>C1&amp;"encounter-followup-eu-i4rc"</f>
        <v>http://hl7.eu/fhir/ig/idea4rc/StructureDefinition/encounter-followup-eu-i4rc</v>
      </c>
      <c r="F7" s="168"/>
      <c r="G7" s="168"/>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69"/>
      <c r="F9" s="170"/>
      <c r="G9" s="171"/>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1828</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2407</v>
      </c>
      <c r="E17" s="12"/>
      <c r="F17" s="64" t="s">
        <v>1407</v>
      </c>
      <c r="G17" s="123" t="s">
        <v>2408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7" t="s">
        <v>2401</v>
      </c>
      <c r="F4" s="168"/>
      <c r="G4" s="168"/>
    </row>
    <row r="5" spans="1:19">
      <c r="B5" s="62" t="s">
        <v>10</v>
      </c>
      <c r="C5" s="7" t="s">
        <v>2403</v>
      </c>
      <c r="D5" s="62"/>
      <c r="E5" s="7"/>
    </row>
    <row r="6" spans="1:19">
      <c r="B6" s="62" t="s">
        <v>18</v>
      </c>
      <c r="C6" s="56"/>
      <c r="D6" s="62" t="s">
        <v>1793</v>
      </c>
      <c r="E6" s="167" t="str">
        <f>E3</f>
        <v>http://hl7.eu/fhir/ig/idea4rc/StructureDefinition/PatientFollowUpI4rc</v>
      </c>
      <c r="F6" s="168"/>
      <c r="G6" s="168"/>
    </row>
    <row r="7" spans="1:19">
      <c r="B7" s="62" t="s">
        <v>15</v>
      </c>
      <c r="C7" s="119"/>
      <c r="D7" s="62" t="s">
        <v>1794</v>
      </c>
      <c r="E7" s="167" t="str">
        <f>C1&amp;"Condition-primaryCancer-eu-i4rc"</f>
        <v>http://hl7.eu/fhir/ig/idea4rc/StructureDefinition/Condition-primaryCancer-eu-i4rc</v>
      </c>
      <c r="F7" s="168"/>
      <c r="G7" s="168"/>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69"/>
      <c r="F9" s="170"/>
      <c r="G9" s="171"/>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1805</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2006</v>
      </c>
      <c r="E18" s="12"/>
      <c r="F18" s="64" t="s">
        <v>1407</v>
      </c>
      <c r="G18" s="124" t="s">
        <v>2409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2410</v>
      </c>
      <c r="E19" s="12"/>
      <c r="F19" s="64" t="s">
        <v>1407</v>
      </c>
      <c r="G19" s="123" t="s">
        <v>1797</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2013</v>
      </c>
      <c r="E20" s="12"/>
      <c r="F20" s="64" t="s">
        <v>1407</v>
      </c>
      <c r="G20" s="123" t="s">
        <v>1797</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"&amp;'PatientFollowUp-ConceptMap-1'!C4</f>
        <v>Instance: followup2FHIR</v>
      </c>
    </row>
    <row r="5" spans="2:7">
      <c r="B5" s="65" t="s">
        <v>1447</v>
      </c>
    </row>
    <row r="6" spans="2:7">
      <c r="B6" s="65" t="s">
        <v>1438</v>
      </c>
    </row>
    <row r="7" spans="2:7">
      <c r="B7" s="65" t="s">
        <v>1798</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TreatmentResponseI4rc</v>
      </c>
    </row>
    <row r="5" spans="1:12" ht="15.5" thickBot="1">
      <c r="A5" s="14" t="s">
        <v>16</v>
      </c>
      <c r="B5" s="45" t="s">
        <v>2315</v>
      </c>
      <c r="J5" s="16" t="str">
        <f>CONCATENATE("Id: ",B5)</f>
        <v>Id: TreatmentResponse</v>
      </c>
    </row>
    <row r="6" spans="1:12" ht="15.5" thickBot="1">
      <c r="A6" s="14" t="s">
        <v>10</v>
      </c>
      <c r="B6" s="45" t="s">
        <v>2317</v>
      </c>
      <c r="J6" s="17" t="str">
        <f>CONCATENATE("Title: ##34#",B6,"##34#")</f>
        <v>Title: ##34#Treatment Response##34#</v>
      </c>
    </row>
    <row r="7" spans="1:12">
      <c r="A7" s="26" t="s">
        <v>2</v>
      </c>
      <c r="B7" s="45" t="s">
        <v>2317</v>
      </c>
      <c r="C7" s="9" t="s">
        <v>3</v>
      </c>
      <c r="D7" s="1" t="s">
        <v>4</v>
      </c>
      <c r="E7" s="3" t="s">
        <v>5</v>
      </c>
      <c r="F7" s="3" t="s">
        <v>6</v>
      </c>
      <c r="G7" s="3" t="s">
        <v>7</v>
      </c>
      <c r="H7" s="105" t="s">
        <v>1610</v>
      </c>
      <c r="J7" s="17" t="str">
        <f>CONCATENATE("Description: "," ##334#",B7,"##334#",)</f>
        <v>Description:  ##334#Treatment Response##334#</v>
      </c>
    </row>
    <row r="8" spans="1:12" ht="59">
      <c r="A8" s="100">
        <v>0</v>
      </c>
      <c r="B8" s="11" t="s">
        <v>2318</v>
      </c>
      <c r="C8" s="11" t="s">
        <v>2319</v>
      </c>
      <c r="D8" s="11" t="s">
        <v>1957</v>
      </c>
      <c r="E8" s="11">
        <v>1</v>
      </c>
      <c r="F8" s="11">
        <v>1</v>
      </c>
      <c r="G8" s="119" t="s">
        <v>2001</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2316</v>
      </c>
      <c r="C9" s="11" t="s">
        <v>2068</v>
      </c>
      <c r="D9" s="11" t="s">
        <v>2320</v>
      </c>
      <c r="E9" s="11">
        <v>1</v>
      </c>
      <c r="F9" s="11">
        <v>1</v>
      </c>
      <c r="G9" s="120" t="s">
        <v>1786</v>
      </c>
      <c r="H9" s="12" t="s">
        <v>2321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2325</v>
      </c>
      <c r="C10" s="11" t="s">
        <v>2322</v>
      </c>
      <c r="D10" s="11" t="s">
        <v>2323</v>
      </c>
      <c r="E10" s="11">
        <v>1</v>
      </c>
      <c r="F10" s="11">
        <v>1</v>
      </c>
      <c r="G10" s="11" t="s">
        <v>1786</v>
      </c>
      <c r="H10" s="12" t="s">
        <v>2324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http://hl7.eu/fhir/ig/idea4rc/StructureDefinition/TreatmentResponseI4rc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http://hl7.eu/fhir/ig/idea4rc/StructureDefinition/TreatmentResponseI4rc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2328</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AdverseEventI4rc</v>
      </c>
    </row>
    <row r="5" spans="1:12" ht="15.5" thickBot="1">
      <c r="A5" s="14" t="s">
        <v>16</v>
      </c>
      <c r="B5" s="45" t="s">
        <v>553</v>
      </c>
      <c r="J5" s="16" t="str">
        <f>CONCATENATE("Id: ",B5)</f>
        <v>Id: AdverseEvent</v>
      </c>
    </row>
    <row r="6" spans="1:12" ht="15.5" thickBot="1">
      <c r="A6" s="14" t="s">
        <v>10</v>
      </c>
      <c r="B6" s="45" t="s">
        <v>2342</v>
      </c>
      <c r="J6" s="17" t="str">
        <f>CONCATENATE("Title: ##34#",B6,"##34#")</f>
        <v>Title: ##34#Adverse Event##34#</v>
      </c>
    </row>
    <row r="7" spans="1:12">
      <c r="A7" s="26" t="s">
        <v>2</v>
      </c>
      <c r="B7" s="45" t="s">
        <v>2342</v>
      </c>
      <c r="C7" s="9" t="s">
        <v>3</v>
      </c>
      <c r="D7" s="1" t="s">
        <v>4</v>
      </c>
      <c r="E7" s="3" t="s">
        <v>5</v>
      </c>
      <c r="F7" s="3" t="s">
        <v>6</v>
      </c>
      <c r="G7" s="3" t="s">
        <v>7</v>
      </c>
      <c r="H7" s="105" t="s">
        <v>1610</v>
      </c>
      <c r="J7" s="17" t="str">
        <f>CONCATENATE("Description: "," ##334#",B7,"##334#",)</f>
        <v>Description:  ##334#Adverse Event##334#</v>
      </c>
    </row>
    <row r="8" spans="1:12" ht="59">
      <c r="A8" s="100">
        <v>0</v>
      </c>
      <c r="B8" s="11" t="s">
        <v>1949</v>
      </c>
      <c r="C8" s="11" t="s">
        <v>2052</v>
      </c>
      <c r="D8" s="11" t="s">
        <v>1908</v>
      </c>
      <c r="E8" s="11">
        <v>1</v>
      </c>
      <c r="F8" s="11">
        <v>1</v>
      </c>
      <c r="G8" s="11" t="s">
        <v>2005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2343</v>
      </c>
      <c r="C9" s="11" t="s">
        <v>2329</v>
      </c>
      <c r="D9" s="11" t="s">
        <v>2330</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2331</v>
      </c>
      <c r="C10" s="11" t="s">
        <v>2332</v>
      </c>
      <c r="D10" s="11" t="s">
        <v>2333</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2344</v>
      </c>
      <c r="C11" s="11" t="s">
        <v>2334</v>
      </c>
      <c r="D11" s="11" t="s">
        <v>2335</v>
      </c>
      <c r="E11" s="11">
        <v>1</v>
      </c>
      <c r="F11" s="11">
        <v>1</v>
      </c>
      <c r="G11" s="6" t="s">
        <v>2347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2345</v>
      </c>
      <c r="C12" s="11" t="s">
        <v>2336</v>
      </c>
      <c r="D12" s="11" t="s">
        <v>2337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2346</v>
      </c>
      <c r="C13" s="11" t="s">
        <v>2338</v>
      </c>
      <c r="D13" s="11" t="s">
        <v>2339</v>
      </c>
      <c r="E13" s="11">
        <v>1</v>
      </c>
      <c r="F13" s="11">
        <v>1</v>
      </c>
      <c r="G13" s="11" t="s">
        <v>1786</v>
      </c>
      <c r="H13" s="103" t="s">
        <v>2340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2348</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http://hl7.eu/fhir/ig/idea4rc/StructureDefinition/AdverseEventI4rc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http://hl7.eu/fhir/ig/idea4rc/StructureDefinition/AdverseEventI4rc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GeneticTestExpressionI4rc</v>
      </c>
    </row>
    <row r="5" spans="1:12" ht="15.5" thickBot="1">
      <c r="A5" s="14" t="s">
        <v>16</v>
      </c>
      <c r="B5" s="45" t="s">
        <v>2350</v>
      </c>
      <c r="J5" s="16" t="str">
        <f>CONCATENATE("Id: ",B5)</f>
        <v>Id: GeneticTestExpression</v>
      </c>
    </row>
    <row r="6" spans="1:12" ht="15.5" thickBot="1">
      <c r="A6" s="14" t="s">
        <v>10</v>
      </c>
      <c r="B6" s="45" t="s">
        <v>2351</v>
      </c>
      <c r="J6" s="17" t="str">
        <f>CONCATENATE("Title: ##34#",B6,"##34#")</f>
        <v>Title: ##34#Genetic Test Expression##34#</v>
      </c>
    </row>
    <row r="7" spans="1:12">
      <c r="A7" s="26" t="s">
        <v>2</v>
      </c>
      <c r="B7" s="152" t="s">
        <v>2351</v>
      </c>
      <c r="C7" s="9" t="s">
        <v>3</v>
      </c>
      <c r="D7" s="1" t="s">
        <v>4</v>
      </c>
      <c r="E7" s="3" t="s">
        <v>5</v>
      </c>
      <c r="F7" s="3" t="s">
        <v>6</v>
      </c>
      <c r="G7" s="3" t="s">
        <v>7</v>
      </c>
      <c r="H7" s="105" t="s">
        <v>1610</v>
      </c>
      <c r="J7" s="17" t="str">
        <f>CONCATENATE("Description: "," ##334#",B7,"##334#",)</f>
        <v>Description:  ##334#Genetic Test Expression##334#</v>
      </c>
    </row>
    <row r="8" spans="1:12" ht="59">
      <c r="A8" s="100">
        <v>0</v>
      </c>
      <c r="B8" s="11" t="s">
        <v>1949</v>
      </c>
      <c r="C8" s="154" t="s">
        <v>1956</v>
      </c>
      <c r="D8" s="11" t="s">
        <v>1908</v>
      </c>
      <c r="E8" s="11">
        <v>1</v>
      </c>
      <c r="F8" s="11">
        <v>1</v>
      </c>
      <c r="G8" s="11" t="s">
        <v>2005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2352</v>
      </c>
      <c r="C9" s="154" t="s">
        <v>1956</v>
      </c>
      <c r="D9" s="11" t="s">
        <v>2353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2354</v>
      </c>
      <c r="C10" s="154" t="s">
        <v>1956</v>
      </c>
      <c r="D10" s="11" t="s">
        <v>2355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2356</v>
      </c>
      <c r="C11" s="154" t="s">
        <v>1956</v>
      </c>
      <c r="D11" s="11" t="s">
        <v>2357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2358</v>
      </c>
      <c r="C12" s="154" t="s">
        <v>1956</v>
      </c>
      <c r="D12" s="11" t="s">
        <v>2359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2360</v>
      </c>
      <c r="C13" s="154" t="s">
        <v>1956</v>
      </c>
      <c r="D13" s="11" t="s">
        <v>2361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2362</v>
      </c>
      <c r="C14" s="154" t="s">
        <v>1956</v>
      </c>
      <c r="D14" s="11" t="s">
        <v>2363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2364</v>
      </c>
      <c r="C15" s="154" t="s">
        <v>1956</v>
      </c>
      <c r="D15" s="11" t="s">
        <v>2365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2366</v>
      </c>
      <c r="C16" s="154" t="s">
        <v>1956</v>
      </c>
      <c r="D16" s="11" t="s">
        <v>2367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2368</v>
      </c>
      <c r="C17" s="154" t="s">
        <v>1956</v>
      </c>
      <c r="D17" s="11" t="s">
        <v>2369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2370</v>
      </c>
      <c r="C18" s="154" t="s">
        <v>1956</v>
      </c>
      <c r="D18" s="11" t="s">
        <v>2371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2372</v>
      </c>
      <c r="C19" s="154" t="s">
        <v>1956</v>
      </c>
      <c r="D19" s="11" t="s">
        <v>2373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2374</v>
      </c>
      <c r="C20" s="154" t="s">
        <v>1956</v>
      </c>
      <c r="D20" s="11" t="s">
        <v>2375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2376</v>
      </c>
      <c r="C21" s="154" t="s">
        <v>1956</v>
      </c>
      <c r="D21" s="11" t="s">
        <v>2377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2378</v>
      </c>
      <c r="C22" s="154" t="s">
        <v>1956</v>
      </c>
      <c r="D22" s="11" t="s">
        <v>2379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2380</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http://hl7.eu/fhir/ig/idea4rc/StructureDefinition/GeneticTestExpressionI4rc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http://hl7.eu/fhir/ig/idea4rc/StructureDefinition/GeneticTestExpressionI4rc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4"/>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4"/>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4"/>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4"/>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4"/>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4"/>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4"/>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4"/>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4"/>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4"/>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4"/>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4"/>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4"/>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4"/>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4"/>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4"/>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4"/>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4"/>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4"/>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4"/>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4"/>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4"/>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4"/>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4"/>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4"/>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4"/>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4"/>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4"/>
      <c r="P46" s="11">
        <v>32</v>
      </c>
      <c r="Q46" s="11">
        <f t="shared" si="5"/>
        <v>5</v>
      </c>
      <c r="R46" s="11">
        <f t="shared" si="6"/>
        <v>2</v>
      </c>
      <c r="S46" s="12" t="str" cm="1">
        <f t="array" ref="S46">INDEX('GeneticTestExp-ConceptMap-1'!$I$15:$N$124,Q46+1,R46)</f>
        <v>* group[=].element[=].display = ##34###34#</v>
      </c>
    </row>
    <row r="47" spans="1:19">
      <c r="B47" s="11"/>
      <c r="C47" s="11"/>
      <c r="D47" s="12"/>
      <c r="E47" s="12"/>
      <c r="F47" s="64"/>
      <c r="G47" s="124"/>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4"/>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4"/>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4"/>
      <c r="P50" s="11">
        <v>36</v>
      </c>
      <c r="Q50" s="11">
        <f t="shared" si="5"/>
        <v>5</v>
      </c>
      <c r="R50" s="11">
        <f t="shared" si="6"/>
        <v>6</v>
      </c>
      <c r="S50" s="12" t="str" cm="1">
        <f t="array" ref="S50">INDEX('GeneticTestExp-ConceptMap-1'!$I$15:$N$124,Q50+1,R50)</f>
        <v/>
      </c>
    </row>
    <row r="51" spans="2:19">
      <c r="B51" s="11"/>
      <c r="C51" s="11"/>
      <c r="D51" s="12"/>
      <c r="E51" s="12"/>
      <c r="F51" s="64"/>
      <c r="G51" s="124"/>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4"/>
      <c r="P52" s="11">
        <v>38</v>
      </c>
      <c r="Q52" s="11">
        <f t="shared" si="5"/>
        <v>6</v>
      </c>
      <c r="R52" s="11">
        <f t="shared" si="6"/>
        <v>2</v>
      </c>
      <c r="S52" s="12" t="str" cm="1">
        <f t="array" ref="S52">INDEX('GeneticTestExp-ConceptMap-1'!$I$15:$N$124,Q52+1,R52)</f>
        <v>* group[=].element[=].display = ##34###34#</v>
      </c>
    </row>
    <row r="53" spans="2:19">
      <c r="B53" s="11"/>
      <c r="C53" s="11"/>
      <c r="D53" s="12"/>
      <c r="E53" s="12"/>
      <c r="F53" s="64"/>
      <c r="G53" s="124"/>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4"/>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4"/>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4"/>
      <c r="P56" s="11">
        <v>42</v>
      </c>
      <c r="Q56" s="11">
        <f t="shared" si="5"/>
        <v>6</v>
      </c>
      <c r="R56" s="11">
        <f t="shared" si="6"/>
        <v>6</v>
      </c>
      <c r="S56" s="12" t="str" cm="1">
        <f t="array" ref="S56">INDEX('GeneticTestExp-ConceptMap-1'!$I$15:$N$124,Q56+1,R56)</f>
        <v/>
      </c>
    </row>
    <row r="57" spans="2:19">
      <c r="B57" s="11"/>
      <c r="C57" s="11"/>
      <c r="D57" s="12"/>
      <c r="E57" s="12"/>
      <c r="F57" s="64"/>
      <c r="G57" s="124"/>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4"/>
      <c r="P58" s="11">
        <v>44</v>
      </c>
      <c r="Q58" s="11">
        <f t="shared" si="5"/>
        <v>7</v>
      </c>
      <c r="R58" s="11">
        <f t="shared" si="6"/>
        <v>2</v>
      </c>
      <c r="S58" s="12" t="str" cm="1">
        <f t="array" ref="S58">INDEX('GeneticTestExp-ConceptMap-1'!$I$15:$N$124,Q58+1,R58)</f>
        <v>* group[=].element[=].display = ##34###34#</v>
      </c>
    </row>
    <row r="59" spans="2:19">
      <c r="B59" s="11"/>
      <c r="C59" s="11"/>
      <c r="D59" s="12"/>
      <c r="E59" s="12"/>
      <c r="F59" s="64"/>
      <c r="G59" s="124"/>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4"/>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4"/>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4"/>
      <c r="P62" s="11">
        <v>48</v>
      </c>
      <c r="Q62" s="11">
        <f t="shared" si="5"/>
        <v>7</v>
      </c>
      <c r="R62" s="11">
        <f t="shared" si="6"/>
        <v>6</v>
      </c>
      <c r="S62" s="12" t="str" cm="1">
        <f t="array" ref="S62">INDEX('GeneticTestExp-ConceptMap-1'!$I$15:$N$124,Q62+1,R62)</f>
        <v/>
      </c>
    </row>
    <row r="63" spans="2:19">
      <c r="B63" s="11"/>
      <c r="C63" s="11"/>
      <c r="D63" s="12"/>
      <c r="E63" s="12"/>
      <c r="F63" s="64"/>
      <c r="G63" s="124"/>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4"/>
      <c r="P64" s="11">
        <v>50</v>
      </c>
      <c r="Q64" s="11">
        <f t="shared" si="5"/>
        <v>8</v>
      </c>
      <c r="R64" s="11">
        <f t="shared" si="6"/>
        <v>2</v>
      </c>
      <c r="S64" s="12" t="str" cm="1">
        <f t="array" ref="S64">INDEX('GeneticTestExp-ConceptMap-1'!$I$15:$N$124,Q64+1,R64)</f>
        <v>* group[=].element[=].display = ##34###34#</v>
      </c>
    </row>
    <row r="65" spans="2:19">
      <c r="B65" s="11"/>
      <c r="C65" s="11"/>
      <c r="D65" s="12"/>
      <c r="E65" s="12"/>
      <c r="F65" s="64"/>
      <c r="G65" s="124"/>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4"/>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4"/>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4"/>
      <c r="P68" s="11">
        <v>54</v>
      </c>
      <c r="Q68" s="11">
        <f t="shared" si="5"/>
        <v>8</v>
      </c>
      <c r="R68" s="11">
        <f t="shared" si="6"/>
        <v>6</v>
      </c>
      <c r="S68" s="12" t="str" cm="1">
        <f t="array" ref="S68">INDEX('GeneticTestExp-ConceptMap-1'!$I$15:$N$124,Q68+1,R68)</f>
        <v/>
      </c>
    </row>
    <row r="69" spans="2:19">
      <c r="B69" s="11"/>
      <c r="C69" s="11"/>
      <c r="D69" s="12"/>
      <c r="E69" s="12"/>
      <c r="F69" s="64"/>
      <c r="G69" s="124"/>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4"/>
      <c r="P70" s="11">
        <v>56</v>
      </c>
      <c r="Q70" s="11">
        <f t="shared" si="5"/>
        <v>9</v>
      </c>
      <c r="R70" s="11">
        <f t="shared" si="6"/>
        <v>2</v>
      </c>
      <c r="S70" s="12" t="str" cm="1">
        <f t="array" ref="S70">INDEX('GeneticTestExp-ConceptMap-1'!$I$15:$N$124,Q70+1,R70)</f>
        <v>* group[=].element[=].display = ##34###34#</v>
      </c>
    </row>
    <row r="71" spans="2:19">
      <c r="B71" s="11"/>
      <c r="C71" s="11"/>
      <c r="D71" s="12"/>
      <c r="E71" s="12"/>
      <c r="F71" s="64"/>
      <c r="G71" s="124"/>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4"/>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4"/>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4"/>
      <c r="P74" s="11">
        <v>60</v>
      </c>
      <c r="Q74" s="11">
        <f t="shared" si="5"/>
        <v>9</v>
      </c>
      <c r="R74" s="11">
        <f t="shared" si="6"/>
        <v>6</v>
      </c>
      <c r="S74" s="12" t="str" cm="1">
        <f t="array" ref="S74">INDEX('GeneticTestExp-ConceptMap-1'!$I$15:$N$124,Q74+1,R74)</f>
        <v/>
      </c>
    </row>
    <row r="75" spans="2:19">
      <c r="B75" s="11"/>
      <c r="C75" s="11"/>
      <c r="D75" s="12"/>
      <c r="E75" s="12"/>
      <c r="F75" s="64"/>
      <c r="G75" s="124"/>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4"/>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4"/>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4"/>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4"/>
      <c r="P80" s="11">
        <v>66</v>
      </c>
      <c r="Q80" s="11">
        <f t="shared" si="9"/>
        <v>10</v>
      </c>
      <c r="R80" s="11">
        <f t="shared" si="10"/>
        <v>6</v>
      </c>
      <c r="S80" s="12" t="str" cm="1">
        <f t="array" ref="S80">INDEX('GeneticTestExp-ConceptMap-1'!$I$15:$N$124,Q80+1,R80)</f>
        <v/>
      </c>
    </row>
    <row r="81" spans="2:19">
      <c r="B81" s="11"/>
      <c r="C81" s="11"/>
      <c r="D81" s="12"/>
      <c r="E81" s="12"/>
      <c r="F81" s="64"/>
      <c r="G81" s="124"/>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4"/>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4"/>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4"/>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4"/>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4"/>
      <c r="P86" s="11">
        <v>72</v>
      </c>
      <c r="Q86" s="11">
        <f t="shared" si="9"/>
        <v>11</v>
      </c>
      <c r="R86" s="11">
        <f t="shared" si="10"/>
        <v>6</v>
      </c>
      <c r="S86" s="12" t="str" cm="1">
        <f t="array" ref="S86">INDEX('GeneticTestExp-ConceptMap-1'!$I$15:$N$124,Q86+1,R86)</f>
        <v/>
      </c>
    </row>
    <row r="87" spans="2:19">
      <c r="B87" s="11"/>
      <c r="C87" s="11"/>
      <c r="D87" s="12"/>
      <c r="E87" s="12"/>
      <c r="F87" s="64"/>
      <c r="G87" s="124"/>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4"/>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4"/>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4"/>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4"/>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4"/>
      <c r="P92" s="11">
        <v>78</v>
      </c>
      <c r="Q92" s="11">
        <f t="shared" si="9"/>
        <v>12</v>
      </c>
      <c r="R92" s="11">
        <f t="shared" si="10"/>
        <v>6</v>
      </c>
      <c r="S92" s="12" t="str" cm="1">
        <f t="array" ref="S92">INDEX('GeneticTestExp-ConceptMap-1'!$I$15:$N$124,Q92+1,R92)</f>
        <v/>
      </c>
    </row>
    <row r="93" spans="2:19">
      <c r="B93" s="11"/>
      <c r="C93" s="11"/>
      <c r="D93" s="12"/>
      <c r="E93" s="12"/>
      <c r="F93" s="64"/>
      <c r="G93" s="124"/>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4"/>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4"/>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4"/>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4"/>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4"/>
      <c r="P98" s="11">
        <v>84</v>
      </c>
      <c r="Q98" s="11">
        <f t="shared" si="9"/>
        <v>13</v>
      </c>
      <c r="R98" s="11">
        <f t="shared" si="10"/>
        <v>6</v>
      </c>
      <c r="S98" s="12" t="str" cm="1">
        <f t="array" ref="S98">INDEX('GeneticTestExp-ConceptMap-1'!$I$15:$N$124,Q98+1,R98)</f>
        <v/>
      </c>
    </row>
    <row r="99" spans="2:19">
      <c r="B99" s="11"/>
      <c r="C99" s="11"/>
      <c r="D99" s="12"/>
      <c r="E99" s="12"/>
      <c r="F99" s="64"/>
      <c r="G99" s="124"/>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4"/>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INDEX('GeneticTestExp-ConceptMap-1'!$I$15:$N$124,Q104+1,R104)</f>
        <v/>
      </c>
    </row>
    <row r="105" spans="2:19">
      <c r="B105" s="11"/>
      <c r="C105" s="11"/>
      <c r="D105" s="12"/>
      <c r="E105" s="12"/>
      <c r="F105" s="64"/>
      <c r="G105" s="124"/>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4"/>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INDEX('GeneticTestExp-ConceptMap-1'!$I$15:$N$124,Q110+1,R110)</f>
        <v/>
      </c>
    </row>
    <row r="111" spans="2:19">
      <c r="B111" s="11"/>
      <c r="C111" s="11"/>
      <c r="D111" s="12"/>
      <c r="E111" s="12"/>
      <c r="F111" s="64"/>
      <c r="G111" s="124"/>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4"/>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"&amp;'GeneticTestExp-ConceptMap-1'!C4</f>
        <v>Instance: treatmentResponse2FHIR</v>
      </c>
    </row>
    <row r="5" spans="2:7">
      <c r="B5" s="65" t="s">
        <v>1447</v>
      </c>
    </row>
    <row r="6" spans="2:7">
      <c r="B6" s="65" t="s">
        <v>1438</v>
      </c>
    </row>
    <row r="7" spans="2:7">
      <c r="B7" s="65" t="s">
        <v>1798</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2"/>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2023-10-25T20:46:54Z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