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18441FBC-AD87-4F15-BCFB-4A37632D7158}" xr6:coauthVersionLast="47" xr6:coauthVersionMax="47" xr10:uidLastSave="{00000000-0000-0000-0000-000000000000}"/>
  <bookViews>
    <workbookView xWindow="-90" yWindow="-21710" windowWidth="38620" windowHeight="21100" tabRatio="819" firstSheet="8" activeTab="18"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8" sheetId="185" r:id="rId17"/>
    <sheet name="Subject-ConceptMap-9" sheetId="246" r:id="rId18"/>
    <sheet name="Subject-CM-fsh" sheetId="181" r:id="rId19"/>
    <sheet name="EpisodeEvent" sheetId="193" r:id="rId20"/>
    <sheet name="EpisodeEvent-Map-1" sheetId="194" r:id="rId21"/>
    <sheet name="EpisodeEvent-fsh" sheetId="195" r:id="rId22"/>
    <sheet name="EpisodeEvent-ConceptMap-1" sheetId="196" r:id="rId23"/>
    <sheet name="EpisodeEvent-CM-fsh" sheetId="198" r:id="rId24"/>
    <sheet name="ClinicalStage" sheetId="159" r:id="rId25"/>
    <sheet name="ClinicalStage-Map-1" sheetId="160" r:id="rId26"/>
    <sheet name="ClinicalStage-fsh" sheetId="161" r:id="rId27"/>
    <sheet name="ClinicalStage-ConceptMap-1" sheetId="199" r:id="rId28"/>
    <sheet name="ClinicalStage-ConceptMap-2" sheetId="201" r:id="rId29"/>
    <sheet name="ClinicalStage-ConceptMap-3" sheetId="202" r:id="rId30"/>
    <sheet name="ClinicalStage-ConceptMap-4" sheetId="203" r:id="rId31"/>
    <sheet name="ClinicalStage-CM-fsh" sheetId="200" r:id="rId32"/>
    <sheet name="PathologicalStage" sheetId="189" r:id="rId33"/>
    <sheet name="PathologicalStage-fsh" sheetId="191" r:id="rId34"/>
    <sheet name="PathStage-ConceptMap-1" sheetId="204" r:id="rId35"/>
    <sheet name="PathStage-ConceptMap-2" sheetId="205" r:id="rId36"/>
    <sheet name="PathStage-ConceptMap-3" sheetId="206" r:id="rId37"/>
    <sheet name="PathStage-ConceptMap-4" sheetId="207" r:id="rId38"/>
    <sheet name="PathStage-CM-fsh" sheetId="208" r:id="rId39"/>
    <sheet name="SystemicTreatment" sheetId="164" r:id="rId40"/>
    <sheet name="SystemicTreatment-fsh" sheetId="166" r:id="rId41"/>
    <sheet name="SystemicTreatm-ConceptMap-1" sheetId="217" r:id="rId42"/>
    <sheet name="SystemicTreatment-CM-fsh" sheetId="218" r:id="rId43"/>
    <sheet name="Surgery" sheetId="209" r:id="rId44"/>
    <sheet name="Surgery-fsh" sheetId="210" r:id="rId45"/>
    <sheet name="Surgery-ConceptMap-1" sheetId="213" r:id="rId46"/>
    <sheet name="Surgery-CM-fsh" sheetId="214" r:id="rId47"/>
    <sheet name="Radiotherapy" sheetId="211" r:id="rId48"/>
    <sheet name="Radiotherapy-fsh" sheetId="212" r:id="rId49"/>
    <sheet name="Radiotherapy-ConceptMap-1" sheetId="215" r:id="rId50"/>
    <sheet name="Radiotherapy-CM-fsh" sheetId="216" r:id="rId51"/>
    <sheet name="ConvertOsiris" sheetId="138" r:id="rId52"/>
    <sheet name="HospitalPatientRecords" sheetId="225" r:id="rId53"/>
    <sheet name="HospitalPatientRecords-fsh" sheetId="226" r:id="rId54"/>
    <sheet name="HospitalPatientRec-ConceptMap-1" sheetId="227" r:id="rId55"/>
    <sheet name="HospitalPatientRecor-CM-fsh" sheetId="228" r:id="rId56"/>
    <sheet name="PatientFollowUp" sheetId="229" r:id="rId57"/>
    <sheet name="PatientFollowUp-fsh" sheetId="230" r:id="rId58"/>
    <sheet name="PatientFollowUp-ConceptMap-1" sheetId="231" r:id="rId59"/>
    <sheet name="PatientFollowUp-ConceptMap-2" sheetId="245" r:id="rId60"/>
    <sheet name="PatientFollowUp-CM-fsh" sheetId="232"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GeneticTestExpression" sheetId="241" r:id="rId70"/>
    <sheet name="GeneticTestExpression-fsh" sheetId="242" r:id="rId71"/>
    <sheet name="GeneticTestExp-ConceptMap-1" sheetId="243" r:id="rId72"/>
    <sheet name="GeneticTestExpressio-CM-fsh" sheetId="244" r:id="rId73"/>
    <sheet name="Osiris" sheetId="141" r:id="rId74"/>
    <sheet name="Osiris-Map" sheetId="142" r:id="rId75"/>
    <sheet name="Osiris-fsh-noMap" sheetId="144" r:id="rId76"/>
    <sheet name="Osiris-fsh" sheetId="143" r:id="rId77"/>
    <sheet name="Osiris-ConceptMap" sheetId="145" r:id="rId78"/>
    <sheet name="Osiris-CM-fsh" sheetId="147" r:id="rId79"/>
    <sheet name="equivalence" sheetId="146" r:id="rId80"/>
  </sheets>
  <externalReferences>
    <externalReference r:id="rId81"/>
  </externalReferences>
  <definedNames>
    <definedName name="_xlnm._FilterDatabase" localSheetId="1" hidden="1">'2.Demographic &amp; life style'!$A$2:$S$47</definedName>
    <definedName name="_xlnm._FilterDatabase" localSheetId="65" hidden="1">AdverseEvent!$A$7:$M$35</definedName>
    <definedName name="_xlnm._FilterDatabase" localSheetId="4" hidden="1">CancerEpisode!$A$7:$M$39</definedName>
    <definedName name="_xlnm._FilterDatabase" localSheetId="51" hidden="1">ConvertOsiris!$D$2:$U$232</definedName>
    <definedName name="_xlnm._FilterDatabase" localSheetId="69" hidden="1">GeneticTestExpression!$A$7:$M$35</definedName>
    <definedName name="_xlnm._FilterDatabase" localSheetId="52" hidden="1">HospitalPatientRecords!$A$7:$M$35</definedName>
    <definedName name="_xlnm._FilterDatabase" localSheetId="56" hidden="1">PatientFollowUp!$A$7:$M$35</definedName>
    <definedName name="_xlnm._FilterDatabase" localSheetId="47" hidden="1">Radiotherapy!$A$7:$M$34</definedName>
    <definedName name="_xlnm._FilterDatabase" localSheetId="9" hidden="1">Subject!$A$7:$M$40</definedName>
    <definedName name="_xlnm._FilterDatabase" localSheetId="61"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61" i="185" l="1" a="1"/>
  <c r="S61" i="185" s="1"/>
  <c r="S62" i="185" a="1"/>
  <c r="S62" i="185" s="1"/>
  <c r="S63" i="185" a="1"/>
  <c r="S63" i="185" s="1"/>
  <c r="S64" i="185" a="1"/>
  <c r="S64" i="185"/>
  <c r="S65" i="185" a="1"/>
  <c r="S65" i="185" s="1"/>
  <c r="S66" i="185" a="1"/>
  <c r="S66" i="185" s="1"/>
  <c r="S67" i="185" a="1"/>
  <c r="S67" i="185" s="1"/>
  <c r="S68" i="185" a="1"/>
  <c r="S68" i="185"/>
  <c r="S69" i="185" a="1"/>
  <c r="S69" i="185" s="1"/>
  <c r="S70" i="185" a="1"/>
  <c r="S70" i="185" s="1"/>
  <c r="S71" i="185" a="1"/>
  <c r="S71" i="185" s="1"/>
  <c r="S60" i="185" a="1"/>
  <c r="S60" i="185" s="1"/>
  <c r="S44" i="185" a="1"/>
  <c r="S44" i="185" s="1"/>
  <c r="S45" i="185" a="1"/>
  <c r="S45" i="185"/>
  <c r="S46" i="185" a="1"/>
  <c r="S46" i="185" s="1"/>
  <c r="S47" i="185" a="1"/>
  <c r="S47" i="185"/>
  <c r="S48" i="185" a="1"/>
  <c r="S48" i="185" s="1"/>
  <c r="S49" i="185" a="1"/>
  <c r="S49" i="185"/>
  <c r="S50" i="185" a="1"/>
  <c r="S50" i="185" s="1"/>
  <c r="S51" i="185" a="1"/>
  <c r="S51" i="185"/>
  <c r="S52" i="185" a="1"/>
  <c r="S52" i="185" s="1"/>
  <c r="S53" i="185" a="1"/>
  <c r="S53" i="185"/>
  <c r="S54" i="185" a="1"/>
  <c r="S54" i="185" s="1"/>
  <c r="S43" i="185" a="1"/>
  <c r="S43" i="185" s="1"/>
  <c r="B377" i="181"/>
  <c r="S23" i="185" a="1"/>
  <c r="S23" i="185"/>
  <c r="S24" i="185" a="1"/>
  <c r="S24" i="185" s="1"/>
  <c r="S25" i="185" a="1"/>
  <c r="S25" i="185"/>
  <c r="S26" i="185" a="1"/>
  <c r="S26" i="185"/>
  <c r="S27" i="185" a="1"/>
  <c r="S27" i="185"/>
  <c r="S28" i="185" a="1"/>
  <c r="S28" i="185" s="1"/>
  <c r="S29" i="185" a="1"/>
  <c r="S29" i="185"/>
  <c r="S30" i="185" a="1"/>
  <c r="S30" i="185"/>
  <c r="S31" i="185" a="1"/>
  <c r="S31" i="185"/>
  <c r="S32" i="185" a="1"/>
  <c r="S32" i="185" s="1"/>
  <c r="S33" i="185" a="1"/>
  <c r="S33" i="185"/>
  <c r="S34" i="185" a="1"/>
  <c r="S34" i="185"/>
  <c r="S35" i="185" a="1"/>
  <c r="S35" i="185"/>
  <c r="S36" i="185" a="1"/>
  <c r="S36" i="185" s="1"/>
  <c r="S22" i="185" a="1"/>
  <c r="S22"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I60" i="185"/>
  <c r="N58" i="185"/>
  <c r="N57" i="185"/>
  <c r="E57" i="185"/>
  <c r="B372" i="181"/>
  <c r="B371"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J43" i="185"/>
  <c r="I43" i="185"/>
  <c r="C43" i="185"/>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I19" i="246" s="1"/>
  <c r="E3" i="246"/>
  <c r="E6" i="246" s="1"/>
  <c r="B352"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B323" i="181"/>
  <c r="B324" i="181"/>
  <c r="B325" i="181"/>
  <c r="B326" i="181"/>
  <c r="B327" i="181"/>
  <c r="B328" i="181"/>
  <c r="B329" i="181"/>
  <c r="B330" i="181"/>
  <c r="B331" i="181"/>
  <c r="B332" i="181"/>
  <c r="B333" i="181"/>
  <c r="B334" i="181"/>
  <c r="B335" i="181"/>
  <c r="B336" i="181"/>
  <c r="B337" i="181"/>
  <c r="B338" i="181"/>
  <c r="B339" i="181"/>
  <c r="B340" i="181"/>
  <c r="B187" i="181"/>
  <c r="B188" i="181"/>
  <c r="B189" i="181"/>
  <c r="B190" i="181"/>
  <c r="B191" i="181"/>
  <c r="B192" i="181"/>
  <c r="B193" i="181"/>
  <c r="B194" i="181"/>
  <c r="B195" i="181"/>
  <c r="B196" i="181"/>
  <c r="B197" i="181"/>
  <c r="B198" i="181"/>
  <c r="B199" i="181"/>
  <c r="B200" i="181"/>
  <c r="B201" i="181"/>
  <c r="B202" i="181"/>
  <c r="B203"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126" i="181"/>
  <c r="B127" i="181"/>
  <c r="B128" i="181"/>
  <c r="B129" i="181"/>
  <c r="B130" i="181"/>
  <c r="B131" i="181"/>
  <c r="B132" i="181"/>
  <c r="B133" i="181"/>
  <c r="C9" i="171"/>
  <c r="C10" i="171"/>
  <c r="C11" i="171"/>
  <c r="C12" i="171"/>
  <c r="C13" i="171"/>
  <c r="C14" i="171"/>
  <c r="C15" i="171"/>
  <c r="C18" i="171"/>
  <c r="C19" i="171"/>
  <c r="C20" i="171"/>
  <c r="C21" i="171"/>
  <c r="C22" i="171"/>
  <c r="C23" i="171"/>
  <c r="C24" i="171"/>
  <c r="C25" i="171"/>
  <c r="C26" i="171"/>
  <c r="C27" i="171"/>
  <c r="C28" i="171"/>
  <c r="C29" i="171"/>
  <c r="C30" i="171"/>
  <c r="C31" i="171"/>
  <c r="C32" i="171"/>
  <c r="C33" i="171"/>
  <c r="C34" i="171"/>
  <c r="C35" i="171"/>
  <c r="C36" i="171"/>
  <c r="C38" i="171"/>
  <c r="C39" i="171"/>
  <c r="C40" i="171"/>
  <c r="C46" i="171"/>
  <c r="C47" i="171"/>
  <c r="C48" i="171"/>
  <c r="C56" i="171"/>
  <c r="C57" i="171"/>
  <c r="C58" i="171"/>
  <c r="Q16" i="184"/>
  <c r="S16" i="184" s="1" a="1"/>
  <c r="S16" i="184" s="1"/>
  <c r="R16" i="184"/>
  <c r="Q17" i="184"/>
  <c r="R17" i="184"/>
  <c r="S17" i="184" a="1"/>
  <c r="S17" i="184"/>
  <c r="Q18" i="184"/>
  <c r="S18" i="184" s="1" a="1"/>
  <c r="S18" i="184" s="1"/>
  <c r="R18" i="184"/>
  <c r="Q19" i="184"/>
  <c r="R19" i="184"/>
  <c r="S19" i="184" a="1"/>
  <c r="S19" i="184"/>
  <c r="Q20" i="184"/>
  <c r="S20" i="184" s="1" a="1"/>
  <c r="S20" i="184" s="1"/>
  <c r="R20" i="184"/>
  <c r="Q21" i="184"/>
  <c r="R21" i="184"/>
  <c r="S21" i="184" a="1"/>
  <c r="S21" i="184"/>
  <c r="Q22" i="184"/>
  <c r="S22" i="184" s="1" a="1"/>
  <c r="S22" i="184" s="1"/>
  <c r="R22" i="184"/>
  <c r="Q23" i="184"/>
  <c r="R23" i="184"/>
  <c r="S23" i="184" a="1"/>
  <c r="S23" i="184"/>
  <c r="Q24" i="184"/>
  <c r="S24" i="184" s="1" a="1"/>
  <c r="S24" i="184" s="1"/>
  <c r="R24" i="184"/>
  <c r="Q25" i="184"/>
  <c r="R25" i="184"/>
  <c r="S25" i="184" a="1"/>
  <c r="S25" i="184"/>
  <c r="Q26" i="184"/>
  <c r="S26" i="184" s="1" a="1"/>
  <c r="S26" i="184" s="1"/>
  <c r="R26" i="184"/>
  <c r="Q27" i="184"/>
  <c r="R27" i="184"/>
  <c r="S27" i="184" a="1"/>
  <c r="S27" i="184"/>
  <c r="Q28" i="184"/>
  <c r="S28" i="184" s="1" a="1"/>
  <c r="S28" i="184" s="1"/>
  <c r="R28" i="184"/>
  <c r="Q29" i="184"/>
  <c r="R29" i="184"/>
  <c r="S29" i="184" a="1"/>
  <c r="S29" i="184"/>
  <c r="Q30" i="184"/>
  <c r="S30" i="184" s="1" a="1"/>
  <c r="S30" i="184" s="1"/>
  <c r="R30" i="184"/>
  <c r="Q31" i="184"/>
  <c r="R31" i="184"/>
  <c r="S31" i="184" a="1"/>
  <c r="S31" i="184"/>
  <c r="Q32" i="184"/>
  <c r="S32" i="184" s="1" a="1"/>
  <c r="S32" i="184" s="1"/>
  <c r="R32" i="184"/>
  <c r="Q33" i="184"/>
  <c r="R33" i="184"/>
  <c r="S33" i="184" a="1"/>
  <c r="S33" i="184"/>
  <c r="Q34" i="184"/>
  <c r="S34" i="184" s="1" a="1"/>
  <c r="S34" i="184" s="1"/>
  <c r="R34" i="184"/>
  <c r="Q35" i="184"/>
  <c r="R35" i="184"/>
  <c r="S35" i="184" a="1"/>
  <c r="S35" i="184"/>
  <c r="Q36" i="184"/>
  <c r="S36" i="184" s="1" a="1"/>
  <c r="S36" i="184" s="1"/>
  <c r="R36" i="184"/>
  <c r="Q37" i="184"/>
  <c r="R37" i="184"/>
  <c r="S37" i="184" a="1"/>
  <c r="S37" i="184"/>
  <c r="Q38" i="184"/>
  <c r="S38" i="184" s="1" a="1"/>
  <c r="S38" i="184" s="1"/>
  <c r="R38" i="184"/>
  <c r="Q39" i="184"/>
  <c r="R39" i="184"/>
  <c r="S39" i="184" a="1"/>
  <c r="S39" i="184"/>
  <c r="Q40" i="184"/>
  <c r="S40" i="184" s="1" a="1"/>
  <c r="S40" i="184" s="1"/>
  <c r="R40" i="184"/>
  <c r="Q41" i="184"/>
  <c r="R41" i="184"/>
  <c r="S41" i="184" a="1"/>
  <c r="S41" i="184"/>
  <c r="Q42" i="184"/>
  <c r="S42" i="184" s="1" a="1"/>
  <c r="S42" i="184" s="1"/>
  <c r="R42" i="184"/>
  <c r="Q43" i="184"/>
  <c r="R43" i="184"/>
  <c r="S43" i="184" a="1"/>
  <c r="S43" i="184"/>
  <c r="Q44" i="184"/>
  <c r="S44" i="184" s="1" a="1"/>
  <c r="S44" i="184" s="1"/>
  <c r="R44" i="184"/>
  <c r="Q45" i="184"/>
  <c r="R45" i="184"/>
  <c r="S45" i="184" a="1"/>
  <c r="S45" i="184"/>
  <c r="Q46" i="184"/>
  <c r="S46" i="184" s="1" a="1"/>
  <c r="S46" i="184" s="1"/>
  <c r="R46" i="184"/>
  <c r="Q47" i="184"/>
  <c r="R47" i="184"/>
  <c r="S47" i="184" a="1"/>
  <c r="S47" i="184"/>
  <c r="Q48" i="184"/>
  <c r="S48" i="184" s="1" a="1"/>
  <c r="S48" i="184" s="1"/>
  <c r="R48" i="184"/>
  <c r="Q49" i="184"/>
  <c r="R49" i="184"/>
  <c r="S49" i="184" a="1"/>
  <c r="S49" i="184"/>
  <c r="Q50" i="184"/>
  <c r="S50" i="184" s="1" a="1"/>
  <c r="S50" i="184" s="1"/>
  <c r="R50" i="184"/>
  <c r="Q51" i="184"/>
  <c r="R51" i="184"/>
  <c r="S51" i="184" a="1"/>
  <c r="S51" i="184"/>
  <c r="Q52" i="184"/>
  <c r="S52" i="184" s="1" a="1"/>
  <c r="S52" i="184" s="1"/>
  <c r="R52" i="184"/>
  <c r="Q53" i="184"/>
  <c r="R53" i="184"/>
  <c r="S53" i="184" a="1"/>
  <c r="S53" i="184"/>
  <c r="Q54" i="184"/>
  <c r="S54" i="184" s="1" a="1"/>
  <c r="S54" i="184" s="1"/>
  <c r="R54" i="184"/>
  <c r="Q55" i="184"/>
  <c r="R55" i="184"/>
  <c r="S55" i="184" a="1"/>
  <c r="S55" i="184"/>
  <c r="Q56" i="184"/>
  <c r="S56" i="184" s="1" a="1"/>
  <c r="S56" i="184" s="1"/>
  <c r="R56" i="184"/>
  <c r="Q57" i="184"/>
  <c r="R57" i="184"/>
  <c r="S57" i="184" a="1"/>
  <c r="S57" i="184"/>
  <c r="Q58" i="184"/>
  <c r="S58" i="184" s="1" a="1"/>
  <c r="S58" i="184" s="1"/>
  <c r="R58" i="184"/>
  <c r="Q59" i="184"/>
  <c r="R59" i="184"/>
  <c r="S59" i="184" a="1"/>
  <c r="S59" i="184"/>
  <c r="Q60" i="184"/>
  <c r="S60" i="184" s="1" a="1"/>
  <c r="S60" i="184" s="1"/>
  <c r="R60" i="184"/>
  <c r="Q61" i="184"/>
  <c r="R61" i="184"/>
  <c r="S61" i="184" a="1"/>
  <c r="S61" i="184"/>
  <c r="Q62" i="184"/>
  <c r="S62" i="184" s="1" a="1"/>
  <c r="S62" i="184" s="1"/>
  <c r="R62" i="184"/>
  <c r="Q63" i="184"/>
  <c r="R63" i="184"/>
  <c r="S63" i="184" a="1"/>
  <c r="S63" i="184"/>
  <c r="Q64" i="184"/>
  <c r="S64" i="184" s="1" a="1"/>
  <c r="S64" i="184" s="1"/>
  <c r="R64" i="184"/>
  <c r="Q65" i="184"/>
  <c r="R65" i="184"/>
  <c r="S65" i="184" a="1"/>
  <c r="S65" i="184"/>
  <c r="Q66" i="184"/>
  <c r="S66" i="184" s="1" a="1"/>
  <c r="S66" i="184" s="1"/>
  <c r="R66" i="184"/>
  <c r="Q67" i="184"/>
  <c r="R67" i="184"/>
  <c r="S67" i="184" a="1"/>
  <c r="S67" i="184"/>
  <c r="Q68" i="184"/>
  <c r="S68" i="184" s="1" a="1"/>
  <c r="S68" i="184" s="1"/>
  <c r="R68" i="184"/>
  <c r="Q69" i="184"/>
  <c r="R69" i="184"/>
  <c r="S69" i="184" a="1"/>
  <c r="S69" i="184"/>
  <c r="Q70" i="184"/>
  <c r="S70" i="184" s="1" a="1"/>
  <c r="S70" i="184" s="1"/>
  <c r="R70" i="184"/>
  <c r="Q71" i="184"/>
  <c r="R71" i="184"/>
  <c r="S71" i="184" a="1"/>
  <c r="S71" i="184"/>
  <c r="Q72" i="184"/>
  <c r="S72" i="184" s="1" a="1"/>
  <c r="S72" i="184" s="1"/>
  <c r="R72" i="184"/>
  <c r="Q73" i="184"/>
  <c r="R73" i="184"/>
  <c r="S73" i="184" a="1"/>
  <c r="S73" i="184"/>
  <c r="Q74" i="184"/>
  <c r="S74" i="184" s="1" a="1"/>
  <c r="S74" i="184" s="1"/>
  <c r="R74" i="184"/>
  <c r="Q75" i="184"/>
  <c r="R75" i="184"/>
  <c r="S75" i="184" a="1"/>
  <c r="S75" i="184"/>
  <c r="Q76" i="184"/>
  <c r="S76" i="184" s="1" a="1"/>
  <c r="S76" i="184" s="1"/>
  <c r="R76" i="184"/>
  <c r="Q77" i="184"/>
  <c r="R77" i="184"/>
  <c r="S77" i="184" a="1"/>
  <c r="S77" i="184"/>
  <c r="Q78" i="184"/>
  <c r="S78" i="184" s="1" a="1"/>
  <c r="S78" i="184" s="1"/>
  <c r="R78" i="184"/>
  <c r="Q79" i="184"/>
  <c r="R79" i="184"/>
  <c r="S79" i="184" a="1"/>
  <c r="S79" i="184"/>
  <c r="Q80" i="184"/>
  <c r="S80" i="184" s="1" a="1"/>
  <c r="S80" i="184" s="1"/>
  <c r="R80" i="184"/>
  <c r="Q81" i="184"/>
  <c r="R81" i="184"/>
  <c r="S81" i="184" a="1"/>
  <c r="S81" i="184"/>
  <c r="Q82" i="184"/>
  <c r="S82" i="184" s="1" a="1"/>
  <c r="S82" i="184" s="1"/>
  <c r="R82" i="184"/>
  <c r="Q83" i="184"/>
  <c r="R83" i="184"/>
  <c r="S83" i="184" a="1"/>
  <c r="S83" i="184"/>
  <c r="Q84" i="184"/>
  <c r="S84" i="184" s="1" a="1"/>
  <c r="S84" i="184" s="1"/>
  <c r="R84" i="184"/>
  <c r="Q85" i="184"/>
  <c r="R85" i="184"/>
  <c r="S85" i="184" a="1"/>
  <c r="S85" i="184"/>
  <c r="Q86" i="184"/>
  <c r="S86" i="184" s="1" a="1"/>
  <c r="S86" i="184" s="1"/>
  <c r="R86" i="184"/>
  <c r="Q87" i="184"/>
  <c r="R87" i="184"/>
  <c r="S87" i="184" a="1"/>
  <c r="S87" i="184"/>
  <c r="Q88" i="184"/>
  <c r="S88" i="184" s="1" a="1"/>
  <c r="S88" i="184" s="1"/>
  <c r="R88" i="184"/>
  <c r="Q89" i="184"/>
  <c r="R89" i="184"/>
  <c r="S89" i="184" a="1"/>
  <c r="S89" i="184"/>
  <c r="Q90" i="184"/>
  <c r="S90" i="184" s="1" a="1"/>
  <c r="S90" i="184" s="1"/>
  <c r="R90" i="184"/>
  <c r="Q91" i="184"/>
  <c r="R91" i="184"/>
  <c r="S91" i="184" a="1"/>
  <c r="S91" i="184"/>
  <c r="Q92" i="184"/>
  <c r="S92" i="184" s="1" a="1"/>
  <c r="S92" i="184" s="1"/>
  <c r="R92" i="184"/>
  <c r="Q93" i="184"/>
  <c r="R93" i="184"/>
  <c r="S93" i="184" a="1"/>
  <c r="S93" i="184"/>
  <c r="Q94" i="184"/>
  <c r="S94" i="184" s="1" a="1"/>
  <c r="S94" i="184" s="1"/>
  <c r="R94" i="184"/>
  <c r="Q95" i="184"/>
  <c r="R95" i="184"/>
  <c r="S95" i="184" a="1"/>
  <c r="S95" i="184"/>
  <c r="Q96" i="184"/>
  <c r="S96" i="184" s="1" a="1"/>
  <c r="S96" i="184" s="1"/>
  <c r="R96" i="184"/>
  <c r="Q97" i="184"/>
  <c r="R97" i="184"/>
  <c r="S97" i="184" a="1"/>
  <c r="S97" i="184"/>
  <c r="Q98" i="184"/>
  <c r="S98" i="184" s="1" a="1"/>
  <c r="S98" i="184" s="1"/>
  <c r="R98" i="184"/>
  <c r="Q99" i="184"/>
  <c r="R99" i="184"/>
  <c r="S99" i="184" a="1"/>
  <c r="S99" i="184"/>
  <c r="Q100" i="184"/>
  <c r="S100" i="184" s="1" a="1"/>
  <c r="S100" i="184" s="1"/>
  <c r="R100" i="184"/>
  <c r="Q101" i="184"/>
  <c r="R101" i="184"/>
  <c r="S101" i="184" a="1"/>
  <c r="S101" i="184"/>
  <c r="Q102" i="184"/>
  <c r="S102" i="184" s="1" a="1"/>
  <c r="S102" i="184" s="1"/>
  <c r="R102" i="184"/>
  <c r="Q103" i="184"/>
  <c r="R103" i="184"/>
  <c r="S103" i="184" a="1"/>
  <c r="S103" i="184"/>
  <c r="Q104" i="184"/>
  <c r="S104" i="184" s="1" a="1"/>
  <c r="S104" i="184" s="1"/>
  <c r="R104" i="184"/>
  <c r="Q105" i="184"/>
  <c r="R105" i="184"/>
  <c r="S105" i="184" a="1"/>
  <c r="S105" i="184"/>
  <c r="Q106" i="184"/>
  <c r="S106" i="184" s="1" a="1"/>
  <c r="S106" i="184" s="1"/>
  <c r="R106" i="184"/>
  <c r="Q107" i="184"/>
  <c r="R107" i="184"/>
  <c r="S107" i="184" a="1"/>
  <c r="S107" i="184"/>
  <c r="Q108" i="184"/>
  <c r="S108" i="184" s="1" a="1"/>
  <c r="S108" i="184" s="1"/>
  <c r="R108" i="184"/>
  <c r="Q109" i="184"/>
  <c r="R109" i="184"/>
  <c r="S109" i="184" a="1"/>
  <c r="S109" i="184"/>
  <c r="Q110" i="184"/>
  <c r="S110" i="184" s="1" a="1"/>
  <c r="S110" i="184" s="1"/>
  <c r="R110" i="184"/>
  <c r="Q111" i="184"/>
  <c r="R111" i="184"/>
  <c r="S111" i="184" a="1"/>
  <c r="S111" i="184"/>
  <c r="Q112" i="184"/>
  <c r="S112" i="184" s="1" a="1"/>
  <c r="S112" i="184" s="1"/>
  <c r="R112" i="184"/>
  <c r="Q113" i="184"/>
  <c r="R113" i="184"/>
  <c r="S113" i="184" a="1"/>
  <c r="S113" i="184"/>
  <c r="Q114" i="184"/>
  <c r="S114" i="184" s="1" a="1"/>
  <c r="S114" i="184" s="1"/>
  <c r="R114" i="184"/>
  <c r="Q115" i="184"/>
  <c r="R115" i="184"/>
  <c r="S115" i="184" a="1"/>
  <c r="S115" i="184"/>
  <c r="Q116" i="184"/>
  <c r="S116" i="184" s="1" a="1"/>
  <c r="S116" i="184" s="1"/>
  <c r="R116" i="184"/>
  <c r="Q117" i="184"/>
  <c r="R117" i="184"/>
  <c r="S117" i="184" a="1"/>
  <c r="S117" i="184"/>
  <c r="Q118" i="184"/>
  <c r="S118" i="184" s="1" a="1"/>
  <c r="S118" i="184" s="1"/>
  <c r="R118" i="184"/>
  <c r="Q119" i="184"/>
  <c r="R119" i="184"/>
  <c r="S119" i="184" a="1"/>
  <c r="S119" i="184"/>
  <c r="Q120" i="184"/>
  <c r="S120" i="184" s="1" a="1"/>
  <c r="S120" i="184" s="1"/>
  <c r="R120" i="184"/>
  <c r="Q121" i="184"/>
  <c r="R121" i="184"/>
  <c r="S121" i="184" a="1"/>
  <c r="S121" i="184"/>
  <c r="Q122" i="184"/>
  <c r="S122" i="184" s="1" a="1"/>
  <c r="S122" i="184" s="1"/>
  <c r="R122" i="184"/>
  <c r="Q123" i="184"/>
  <c r="R123" i="184"/>
  <c r="S123" i="184" a="1"/>
  <c r="S123" i="184"/>
  <c r="Q124" i="184"/>
  <c r="S124" i="184" s="1" a="1"/>
  <c r="S124" i="184" s="1"/>
  <c r="R124" i="184"/>
  <c r="Q125" i="184"/>
  <c r="R125" i="184"/>
  <c r="S125" i="184" a="1"/>
  <c r="S125" i="184"/>
  <c r="Q126" i="184"/>
  <c r="S126" i="184" s="1" a="1"/>
  <c r="S126" i="184" s="1"/>
  <c r="R126" i="184"/>
  <c r="Q127" i="184"/>
  <c r="R127" i="184"/>
  <c r="S127" i="184" a="1"/>
  <c r="S127" i="184"/>
  <c r="Q128" i="184"/>
  <c r="S128" i="184" s="1" a="1"/>
  <c r="S128" i="184" s="1"/>
  <c r="R128" i="184"/>
  <c r="Q129" i="184"/>
  <c r="R129" i="184"/>
  <c r="S129" i="184" a="1"/>
  <c r="S129" i="184"/>
  <c r="Q130" i="184"/>
  <c r="S130" i="184" s="1" a="1"/>
  <c r="S130" i="184" s="1"/>
  <c r="R130" i="184"/>
  <c r="Q131" i="184"/>
  <c r="R131" i="184"/>
  <c r="S131" i="184" a="1"/>
  <c r="S131" i="184"/>
  <c r="Q132" i="184"/>
  <c r="S132" i="184" s="1" a="1"/>
  <c r="S132" i="184" s="1"/>
  <c r="R132" i="184"/>
  <c r="Q133" i="184"/>
  <c r="R133" i="184"/>
  <c r="S133" i="184" a="1"/>
  <c r="S133" i="184"/>
  <c r="Q134" i="184"/>
  <c r="S134" i="184" s="1" a="1"/>
  <c r="S134" i="184" s="1"/>
  <c r="R134" i="184"/>
  <c r="Q135" i="184"/>
  <c r="R135" i="184"/>
  <c r="S135" i="184" a="1"/>
  <c r="S135" i="184"/>
  <c r="Q136" i="184"/>
  <c r="S136" i="184" s="1" a="1"/>
  <c r="S136" i="184" s="1"/>
  <c r="R136" i="184"/>
  <c r="Q137" i="184"/>
  <c r="R137" i="184"/>
  <c r="S137" i="184" a="1"/>
  <c r="S137" i="184"/>
  <c r="Q138" i="184"/>
  <c r="S138" i="184" s="1" a="1"/>
  <c r="S138" i="184" s="1"/>
  <c r="R138" i="184"/>
  <c r="Q139" i="184"/>
  <c r="R139" i="184"/>
  <c r="S139" i="184" a="1"/>
  <c r="S139" i="184"/>
  <c r="Q140" i="184"/>
  <c r="S140" i="184" s="1" a="1"/>
  <c r="S140" i="184" s="1"/>
  <c r="R140" i="184"/>
  <c r="Q141" i="184"/>
  <c r="R141" i="184"/>
  <c r="S141" i="184" a="1"/>
  <c r="S141" i="184"/>
  <c r="Q142" i="184"/>
  <c r="S142" i="184" s="1" a="1"/>
  <c r="S142" i="184" s="1"/>
  <c r="R142" i="184"/>
  <c r="Q143" i="184"/>
  <c r="R143" i="184"/>
  <c r="S143" i="184" a="1"/>
  <c r="S143" i="184"/>
  <c r="Q144" i="184"/>
  <c r="S144" i="184" s="1" a="1"/>
  <c r="S144" i="184" s="1"/>
  <c r="R144" i="184"/>
  <c r="Q145" i="184"/>
  <c r="R145" i="184"/>
  <c r="S145" i="184" a="1"/>
  <c r="S145" i="184"/>
  <c r="Q146" i="184"/>
  <c r="S146" i="184" s="1" a="1"/>
  <c r="S146" i="184" s="1"/>
  <c r="R146" i="184"/>
  <c r="Q147" i="184"/>
  <c r="R147" i="184"/>
  <c r="S147" i="184" a="1"/>
  <c r="S147" i="184"/>
  <c r="Q148" i="184"/>
  <c r="S148" i="184" s="1" a="1"/>
  <c r="S148" i="184" s="1"/>
  <c r="R148" i="184"/>
  <c r="Q149" i="184"/>
  <c r="R149" i="184"/>
  <c r="S149" i="184" a="1"/>
  <c r="S149" i="184"/>
  <c r="Q150" i="184"/>
  <c r="S150" i="184" s="1" a="1"/>
  <c r="S150" i="184" s="1"/>
  <c r="R150" i="184"/>
  <c r="Q151" i="184"/>
  <c r="R151" i="184"/>
  <c r="S151" i="184" a="1"/>
  <c r="S151" i="184"/>
  <c r="Q152" i="184"/>
  <c r="S152" i="184" s="1" a="1"/>
  <c r="S152" i="184" s="1"/>
  <c r="R152" i="184"/>
  <c r="Q153" i="184"/>
  <c r="R153" i="184"/>
  <c r="S153" i="184" a="1"/>
  <c r="S153" i="184"/>
  <c r="Q154" i="184"/>
  <c r="S154" i="184" s="1" a="1"/>
  <c r="S154" i="184" s="1"/>
  <c r="R154" i="184"/>
  <c r="Q155" i="184"/>
  <c r="R155" i="184"/>
  <c r="S155" i="184" a="1"/>
  <c r="S155" i="184"/>
  <c r="Q156" i="184"/>
  <c r="S156" i="184" s="1" a="1"/>
  <c r="S156" i="184" s="1"/>
  <c r="R156" i="184"/>
  <c r="Q157" i="184"/>
  <c r="R157" i="184"/>
  <c r="S157" i="184" a="1"/>
  <c r="S157" i="184"/>
  <c r="Q158" i="184"/>
  <c r="S158" i="184" s="1" a="1"/>
  <c r="S158" i="184" s="1"/>
  <c r="R158" i="184"/>
  <c r="Q159" i="184"/>
  <c r="R159" i="184"/>
  <c r="S159" i="184" a="1"/>
  <c r="S159" i="184"/>
  <c r="Q160" i="184"/>
  <c r="S160" i="184" s="1" a="1"/>
  <c r="S160" i="184" s="1"/>
  <c r="R160" i="184"/>
  <c r="Q161" i="184"/>
  <c r="R161" i="184"/>
  <c r="S161" i="184" a="1"/>
  <c r="S161" i="184"/>
  <c r="B16" i="184"/>
  <c r="C16" i="184"/>
  <c r="B17" i="184"/>
  <c r="C17" i="184"/>
  <c r="B18" i="184"/>
  <c r="C18" i="184"/>
  <c r="J18" i="184" s="1"/>
  <c r="B19" i="184"/>
  <c r="C19" i="184"/>
  <c r="B20" i="184"/>
  <c r="C20" i="184"/>
  <c r="B21" i="184"/>
  <c r="C21" i="184"/>
  <c r="B22" i="184"/>
  <c r="C22" i="184"/>
  <c r="J22" i="184" s="1"/>
  <c r="B23" i="184"/>
  <c r="C23" i="184"/>
  <c r="B24" i="184"/>
  <c r="C24" i="184"/>
  <c r="B25" i="184"/>
  <c r="C25" i="184"/>
  <c r="B26" i="184"/>
  <c r="C26" i="184"/>
  <c r="J26" i="184" s="1"/>
  <c r="B27" i="184"/>
  <c r="C27" i="184"/>
  <c r="B28" i="184"/>
  <c r="C28" i="184"/>
  <c r="B29" i="184"/>
  <c r="C29" i="184"/>
  <c r="B30" i="184"/>
  <c r="C30" i="184"/>
  <c r="J30" i="184" s="1"/>
  <c r="B31" i="184"/>
  <c r="C31" i="184"/>
  <c r="B32" i="184"/>
  <c r="C32" i="184"/>
  <c r="B33" i="184"/>
  <c r="C33" i="184"/>
  <c r="B34" i="184"/>
  <c r="C34" i="184"/>
  <c r="J34" i="184" s="1"/>
  <c r="B35" i="184"/>
  <c r="C35" i="184"/>
  <c r="Q120" i="180"/>
  <c r="R120" i="180"/>
  <c r="Q121" i="180"/>
  <c r="R121" i="180"/>
  <c r="S121" i="180" s="1" a="1"/>
  <c r="S121" i="180" s="1"/>
  <c r="B125" i="181" s="1"/>
  <c r="Q105" i="180"/>
  <c r="S105" i="180" s="1" a="1"/>
  <c r="S105" i="180" s="1"/>
  <c r="B109" i="181" s="1"/>
  <c r="R105" i="180"/>
  <c r="Q106" i="180"/>
  <c r="R106" i="180"/>
  <c r="S106" i="180" a="1"/>
  <c r="S106" i="180" s="1"/>
  <c r="B110" i="181" s="1"/>
  <c r="Q107" i="180"/>
  <c r="R107" i="180"/>
  <c r="Q108" i="180"/>
  <c r="R108" i="180"/>
  <c r="S108" i="180" a="1"/>
  <c r="S108" i="180" s="1"/>
  <c r="B112" i="181" s="1"/>
  <c r="Q109" i="180"/>
  <c r="R109" i="180"/>
  <c r="Q110" i="180"/>
  <c r="R110" i="180"/>
  <c r="Q111" i="180"/>
  <c r="S111" i="180" s="1" a="1"/>
  <c r="S111" i="180" s="1"/>
  <c r="B115" i="181" s="1"/>
  <c r="R111" i="180"/>
  <c r="Q112" i="180"/>
  <c r="R112" i="180"/>
  <c r="S112" i="180" a="1"/>
  <c r="S112" i="180" s="1"/>
  <c r="B116" i="181" s="1"/>
  <c r="Q113" i="180"/>
  <c r="R113" i="180"/>
  <c r="Q114" i="180"/>
  <c r="R114" i="180"/>
  <c r="S114" i="180" a="1"/>
  <c r="S114" i="180" s="1"/>
  <c r="B118" i="181" s="1"/>
  <c r="Q115" i="180"/>
  <c r="R115" i="180"/>
  <c r="Q116" i="180"/>
  <c r="R116" i="180"/>
  <c r="Q117" i="180"/>
  <c r="S117" i="180" s="1" a="1"/>
  <c r="S117" i="180" s="1"/>
  <c r="B121" i="181" s="1"/>
  <c r="R117" i="180"/>
  <c r="Q118" i="180"/>
  <c r="R118" i="180"/>
  <c r="S118" i="180" a="1"/>
  <c r="S118" i="180"/>
  <c r="B122" i="181" s="1"/>
  <c r="Q119" i="180"/>
  <c r="R119" i="180"/>
  <c r="Q85" i="180"/>
  <c r="S85" i="180" s="1" a="1"/>
  <c r="S85" i="180" s="1"/>
  <c r="B89" i="181" s="1"/>
  <c r="R85" i="180"/>
  <c r="Q86" i="180"/>
  <c r="S86" i="180" s="1" a="1"/>
  <c r="S86" i="180" s="1"/>
  <c r="B90" i="181" s="1"/>
  <c r="R86" i="180"/>
  <c r="Q87" i="180"/>
  <c r="S87" i="180" s="1" a="1"/>
  <c r="S87" i="180" s="1"/>
  <c r="B91" i="181" s="1"/>
  <c r="R87" i="180"/>
  <c r="Q88" i="180"/>
  <c r="S88" i="180" s="1" a="1"/>
  <c r="S88" i="180" s="1"/>
  <c r="B92" i="181" s="1"/>
  <c r="R88" i="180"/>
  <c r="Q89" i="180"/>
  <c r="S89" i="180" s="1" a="1"/>
  <c r="S89" i="180" s="1"/>
  <c r="B93" i="181" s="1"/>
  <c r="R89" i="180"/>
  <c r="Q90" i="180"/>
  <c r="S90" i="180" s="1" a="1"/>
  <c r="S90" i="180" s="1"/>
  <c r="B94" i="181" s="1"/>
  <c r="R90" i="180"/>
  <c r="Q91" i="180"/>
  <c r="S91" i="180" s="1" a="1"/>
  <c r="S91" i="180" s="1"/>
  <c r="B95" i="181" s="1"/>
  <c r="R91" i="180"/>
  <c r="Q92" i="180"/>
  <c r="S92" i="180" s="1" a="1"/>
  <c r="S92" i="180" s="1"/>
  <c r="B96" i="181" s="1"/>
  <c r="R92" i="180"/>
  <c r="Q93" i="180"/>
  <c r="S93" i="180" s="1" a="1"/>
  <c r="S93" i="180" s="1"/>
  <c r="B97" i="181" s="1"/>
  <c r="R93" i="180"/>
  <c r="Q94" i="180"/>
  <c r="R94" i="180"/>
  <c r="Q95" i="180"/>
  <c r="S95" i="180" s="1" a="1"/>
  <c r="S95" i="180" s="1"/>
  <c r="B99" i="181" s="1"/>
  <c r="R95" i="180"/>
  <c r="Q96" i="180"/>
  <c r="R96" i="180"/>
  <c r="Q97" i="180"/>
  <c r="S97" i="180" s="1" a="1"/>
  <c r="S97" i="180" s="1"/>
  <c r="B101" i="181" s="1"/>
  <c r="R97" i="180"/>
  <c r="Q98" i="180"/>
  <c r="R98" i="180"/>
  <c r="Q99" i="180"/>
  <c r="S99" i="180" s="1" a="1"/>
  <c r="S99" i="180" s="1"/>
  <c r="B103" i="181" s="1"/>
  <c r="R99" i="180"/>
  <c r="Q100" i="180"/>
  <c r="S100" i="180" s="1" a="1"/>
  <c r="S100" i="180" s="1"/>
  <c r="B104" i="181" s="1"/>
  <c r="R100" i="180"/>
  <c r="Q101" i="180"/>
  <c r="S101" i="180" s="1" a="1"/>
  <c r="S101" i="180" s="1"/>
  <c r="B105" i="181" s="1"/>
  <c r="R101" i="180"/>
  <c r="Q102" i="180"/>
  <c r="S102" i="180" s="1" a="1"/>
  <c r="S102" i="180" s="1"/>
  <c r="B106" i="181" s="1"/>
  <c r="R102" i="180"/>
  <c r="Q103" i="180"/>
  <c r="S103" i="180" s="1" a="1"/>
  <c r="S103" i="180" s="1"/>
  <c r="B107" i="181" s="1"/>
  <c r="R103" i="180"/>
  <c r="Q104" i="180"/>
  <c r="R104" i="180"/>
  <c r="Q60" i="180"/>
  <c r="S60" i="180" s="1" a="1"/>
  <c r="S60" i="180" s="1"/>
  <c r="B64" i="181" s="1"/>
  <c r="R60" i="180"/>
  <c r="Q61" i="180"/>
  <c r="R61" i="180"/>
  <c r="S61" i="180" s="1" a="1"/>
  <c r="S61" i="180" s="1"/>
  <c r="B65" i="181" s="1"/>
  <c r="Q62" i="180"/>
  <c r="S62" i="180" s="1" a="1"/>
  <c r="S62" i="180" s="1"/>
  <c r="B66" i="181" s="1"/>
  <c r="R62" i="180"/>
  <c r="Q63" i="180"/>
  <c r="R63" i="180"/>
  <c r="S63" i="180" s="1" a="1"/>
  <c r="S63" i="180" s="1"/>
  <c r="B67" i="181" s="1"/>
  <c r="Q64" i="180"/>
  <c r="S64" i="180" s="1" a="1"/>
  <c r="S64" i="180" s="1"/>
  <c r="B68" i="181" s="1"/>
  <c r="R64" i="180"/>
  <c r="Q65" i="180"/>
  <c r="R65" i="180"/>
  <c r="S65" i="180" s="1" a="1"/>
  <c r="S65" i="180" s="1"/>
  <c r="B69" i="181" s="1"/>
  <c r="Q66" i="180"/>
  <c r="S66" i="180" s="1" a="1"/>
  <c r="S66" i="180" s="1"/>
  <c r="B70" i="181" s="1"/>
  <c r="R66" i="180"/>
  <c r="Q67" i="180"/>
  <c r="R67" i="180"/>
  <c r="S67" i="180" s="1" a="1"/>
  <c r="S67" i="180" s="1"/>
  <c r="B71" i="181" s="1"/>
  <c r="Q68" i="180"/>
  <c r="S68" i="180" s="1" a="1"/>
  <c r="S68" i="180" s="1"/>
  <c r="B72" i="181" s="1"/>
  <c r="R68" i="180"/>
  <c r="Q69" i="180"/>
  <c r="R69" i="180"/>
  <c r="S69" i="180" s="1" a="1"/>
  <c r="S69" i="180" s="1"/>
  <c r="B73" i="181" s="1"/>
  <c r="Q70" i="180"/>
  <c r="S70" i="180" s="1" a="1"/>
  <c r="S70" i="180" s="1"/>
  <c r="B74" i="181" s="1"/>
  <c r="R70" i="180"/>
  <c r="Q71" i="180"/>
  <c r="R71" i="180"/>
  <c r="S71" i="180" s="1" a="1"/>
  <c r="S71" i="180" s="1"/>
  <c r="B75" i="181" s="1"/>
  <c r="Q72" i="180"/>
  <c r="S72" i="180" s="1" a="1"/>
  <c r="S72" i="180" s="1"/>
  <c r="B76" i="181" s="1"/>
  <c r="R72" i="180"/>
  <c r="Q73" i="180"/>
  <c r="R73" i="180"/>
  <c r="S73" i="180" s="1" a="1"/>
  <c r="S73" i="180" s="1"/>
  <c r="B77" i="181" s="1"/>
  <c r="Q74" i="180"/>
  <c r="S74" i="180" s="1" a="1"/>
  <c r="S74" i="180" s="1"/>
  <c r="B78" i="181" s="1"/>
  <c r="R74" i="180"/>
  <c r="Q75" i="180"/>
  <c r="R75" i="180"/>
  <c r="S75" i="180" s="1" a="1"/>
  <c r="S75" i="180" s="1"/>
  <c r="B79" i="181" s="1"/>
  <c r="Q76" i="180"/>
  <c r="S76" i="180" s="1" a="1"/>
  <c r="S76" i="180" s="1"/>
  <c r="B80" i="181" s="1"/>
  <c r="R76" i="180"/>
  <c r="Q77" i="180"/>
  <c r="R77" i="180"/>
  <c r="S77" i="180" s="1" a="1"/>
  <c r="S77" i="180" s="1"/>
  <c r="B81" i="181" s="1"/>
  <c r="Q78" i="180"/>
  <c r="S78" i="180" s="1" a="1"/>
  <c r="S78" i="180" s="1"/>
  <c r="B82" i="181" s="1"/>
  <c r="R78" i="180"/>
  <c r="Q79" i="180"/>
  <c r="R79" i="180"/>
  <c r="S79" i="180" s="1" a="1"/>
  <c r="S79" i="180" s="1"/>
  <c r="B83" i="181" s="1"/>
  <c r="Q80" i="180"/>
  <c r="S80" i="180" s="1" a="1"/>
  <c r="S80" i="180" s="1"/>
  <c r="B84" i="181" s="1"/>
  <c r="R80" i="180"/>
  <c r="Q81" i="180"/>
  <c r="R81" i="180"/>
  <c r="S81" i="180" s="1" a="1"/>
  <c r="S81" i="180" s="1"/>
  <c r="B85" i="181" s="1"/>
  <c r="Q82" i="180"/>
  <c r="S82" i="180" s="1" a="1"/>
  <c r="S82" i="180" s="1"/>
  <c r="B86" i="181" s="1"/>
  <c r="R82" i="180"/>
  <c r="Q83" i="180"/>
  <c r="R83" i="180"/>
  <c r="S83" i="180" s="1" a="1"/>
  <c r="S83" i="180" s="1"/>
  <c r="B87" i="181" s="1"/>
  <c r="Q84" i="180"/>
  <c r="S84" i="180" s="1" a="1"/>
  <c r="S84" i="180" s="1"/>
  <c r="B88" i="181" s="1"/>
  <c r="R84" i="180"/>
  <c r="Q38" i="180"/>
  <c r="S38" i="180" s="1" a="1"/>
  <c r="S38" i="180" s="1"/>
  <c r="B42" i="181" s="1"/>
  <c r="R38" i="180"/>
  <c r="Q39" i="180"/>
  <c r="S39" i="180" s="1" a="1"/>
  <c r="S39" i="180" s="1"/>
  <c r="B43" i="181" s="1"/>
  <c r="R39" i="180"/>
  <c r="Q40" i="180"/>
  <c r="S40" i="180" s="1" a="1"/>
  <c r="S40" i="180" s="1"/>
  <c r="B44" i="181" s="1"/>
  <c r="R40" i="180"/>
  <c r="Q41" i="180"/>
  <c r="S41" i="180" s="1" a="1"/>
  <c r="S41" i="180" s="1"/>
  <c r="B45" i="181" s="1"/>
  <c r="R41" i="180"/>
  <c r="Q42" i="180"/>
  <c r="S42" i="180" s="1" a="1"/>
  <c r="S42" i="180" s="1"/>
  <c r="B46" i="181" s="1"/>
  <c r="R42" i="180"/>
  <c r="Q43" i="180"/>
  <c r="S43" i="180" s="1" a="1"/>
  <c r="S43" i="180" s="1"/>
  <c r="B47" i="181" s="1"/>
  <c r="R43" i="180"/>
  <c r="Q44" i="180"/>
  <c r="S44" i="180" s="1" a="1"/>
  <c r="S44" i="180" s="1"/>
  <c r="B48" i="181" s="1"/>
  <c r="R44" i="180"/>
  <c r="Q45" i="180"/>
  <c r="S45" i="180" s="1" a="1"/>
  <c r="S45" i="180" s="1"/>
  <c r="B49" i="181" s="1"/>
  <c r="R45" i="180"/>
  <c r="Q46" i="180"/>
  <c r="S46" i="180" s="1" a="1"/>
  <c r="S46" i="180" s="1"/>
  <c r="B50" i="181" s="1"/>
  <c r="R46" i="180"/>
  <c r="Q47" i="180"/>
  <c r="S47" i="180" s="1" a="1"/>
  <c r="S47" i="180" s="1"/>
  <c r="B51" i="181" s="1"/>
  <c r="R47" i="180"/>
  <c r="Q48" i="180"/>
  <c r="S48" i="180" s="1" a="1"/>
  <c r="S48" i="180" s="1"/>
  <c r="B52" i="181" s="1"/>
  <c r="R48" i="180"/>
  <c r="Q49" i="180"/>
  <c r="S49" i="180" s="1" a="1"/>
  <c r="S49" i="180" s="1"/>
  <c r="B53" i="181" s="1"/>
  <c r="R49" i="180"/>
  <c r="Q50" i="180"/>
  <c r="S50" i="180" s="1" a="1"/>
  <c r="S50" i="180" s="1"/>
  <c r="B54" i="181" s="1"/>
  <c r="R50" i="180"/>
  <c r="Q51" i="180"/>
  <c r="S51" i="180" s="1" a="1"/>
  <c r="S51" i="180" s="1"/>
  <c r="B55" i="181" s="1"/>
  <c r="R51" i="180"/>
  <c r="Q52" i="180"/>
  <c r="S52" i="180" s="1" a="1"/>
  <c r="S52" i="180" s="1"/>
  <c r="B56" i="181" s="1"/>
  <c r="R52" i="180"/>
  <c r="Q53" i="180"/>
  <c r="S53" i="180" s="1" a="1"/>
  <c r="S53" i="180" s="1"/>
  <c r="B57" i="181" s="1"/>
  <c r="R53" i="180"/>
  <c r="Q54" i="180"/>
  <c r="S54" i="180" s="1" a="1"/>
  <c r="S54" i="180" s="1"/>
  <c r="B58" i="181" s="1"/>
  <c r="R54" i="180"/>
  <c r="Q55" i="180"/>
  <c r="S55" i="180" s="1" a="1"/>
  <c r="S55" i="180" s="1"/>
  <c r="B59" i="181" s="1"/>
  <c r="R55" i="180"/>
  <c r="Q56" i="180"/>
  <c r="S56" i="180" s="1" a="1"/>
  <c r="S56" i="180" s="1"/>
  <c r="B60" i="181" s="1"/>
  <c r="R56" i="180"/>
  <c r="Q57" i="180"/>
  <c r="S57" i="180" s="1" a="1"/>
  <c r="S57" i="180" s="1"/>
  <c r="B61" i="181" s="1"/>
  <c r="R57" i="180"/>
  <c r="Q58" i="180"/>
  <c r="S58" i="180" s="1" a="1"/>
  <c r="S58" i="180" s="1"/>
  <c r="B62" i="181" s="1"/>
  <c r="R58" i="180"/>
  <c r="Q59" i="180"/>
  <c r="S59" i="180" s="1" a="1"/>
  <c r="S59" i="180" s="1"/>
  <c r="B63" i="181" s="1"/>
  <c r="R59"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B25" i="181" s="1"/>
  <c r="R21" i="180"/>
  <c r="Q22" i="180"/>
  <c r="S22" i="180" s="1" a="1"/>
  <c r="S22" i="180" s="1"/>
  <c r="B26" i="181"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Q27" i="180"/>
  <c r="S27" i="180" s="1" a="1"/>
  <c r="S27" i="180" s="1"/>
  <c r="B31" i="181" s="1"/>
  <c r="R27" i="180"/>
  <c r="Q28" i="180"/>
  <c r="S28" i="180" s="1" a="1"/>
  <c r="S28" i="180" s="1"/>
  <c r="B32" i="181" s="1"/>
  <c r="R28" i="180"/>
  <c r="Q29" i="180"/>
  <c r="S29" i="180" s="1" a="1"/>
  <c r="S29" i="180" s="1"/>
  <c r="B33" i="181" s="1"/>
  <c r="R29" i="180"/>
  <c r="Q30" i="180"/>
  <c r="S30" i="180" s="1" a="1"/>
  <c r="S30" i="180" s="1"/>
  <c r="B34" i="181" s="1"/>
  <c r="R30" i="180"/>
  <c r="Q31" i="180"/>
  <c r="S31" i="180" s="1" a="1"/>
  <c r="S31" i="180" s="1"/>
  <c r="B35" i="181" s="1"/>
  <c r="R31" i="180"/>
  <c r="Q32" i="180"/>
  <c r="S32" i="180" s="1" a="1"/>
  <c r="S32" i="180" s="1"/>
  <c r="B36" i="181" s="1"/>
  <c r="R32" i="180"/>
  <c r="Q33" i="180"/>
  <c r="S33" i="180" s="1" a="1"/>
  <c r="S33" i="180" s="1"/>
  <c r="B37" i="181" s="1"/>
  <c r="R33" i="180"/>
  <c r="Q34" i="180"/>
  <c r="S34" i="180" s="1" a="1"/>
  <c r="S34" i="180" s="1"/>
  <c r="B38" i="181" s="1"/>
  <c r="R34" i="180"/>
  <c r="Q35" i="180"/>
  <c r="S35" i="180" s="1" a="1"/>
  <c r="S35" i="180" s="1"/>
  <c r="B39" i="181" s="1"/>
  <c r="R35" i="180"/>
  <c r="Q36" i="180"/>
  <c r="S36" i="180" s="1" a="1"/>
  <c r="S36" i="180" s="1"/>
  <c r="B40" i="181" s="1"/>
  <c r="R36" i="180"/>
  <c r="Q37" i="180"/>
  <c r="S37" i="180" s="1" a="1"/>
  <c r="S37" i="180" s="1"/>
  <c r="B41" i="181" s="1"/>
  <c r="R37"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I27" i="180"/>
  <c r="J27" i="180"/>
  <c r="K27" i="180"/>
  <c r="L27" i="180"/>
  <c r="M27" i="180"/>
  <c r="N27" i="180"/>
  <c r="I28" i="180"/>
  <c r="K28" i="180"/>
  <c r="L28" i="180"/>
  <c r="M28" i="180"/>
  <c r="N28" i="180"/>
  <c r="I29" i="180"/>
  <c r="J29" i="180"/>
  <c r="K29" i="180"/>
  <c r="L29" i="180"/>
  <c r="M29" i="180"/>
  <c r="N29" i="180"/>
  <c r="I30" i="180"/>
  <c r="J30" i="180"/>
  <c r="K30" i="180"/>
  <c r="L30" i="180"/>
  <c r="M30" i="180"/>
  <c r="N30" i="180"/>
  <c r="S110" i="180" s="1" a="1"/>
  <c r="S110" i="180" s="1"/>
  <c r="B114" i="181" s="1"/>
  <c r="I31" i="180"/>
  <c r="J31" i="180"/>
  <c r="K31" i="180"/>
  <c r="L31" i="180"/>
  <c r="M31" i="180"/>
  <c r="N31" i="180"/>
  <c r="S116" i="180" s="1" a="1"/>
  <c r="S116" i="180" s="1"/>
  <c r="B120" i="181" s="1"/>
  <c r="I32" i="180"/>
  <c r="J32" i="180"/>
  <c r="K32" i="180"/>
  <c r="L32" i="180"/>
  <c r="M32" i="180"/>
  <c r="N32" i="180"/>
  <c r="N33" i="180"/>
  <c r="N34" i="180"/>
  <c r="N35" i="180"/>
  <c r="N36" i="180"/>
  <c r="N37" i="180"/>
  <c r="N38" i="180"/>
  <c r="N39" i="180"/>
  <c r="N40" i="180"/>
  <c r="N41" i="180"/>
  <c r="N42" i="180"/>
  <c r="B29" i="180"/>
  <c r="C29" i="180"/>
  <c r="B30" i="180"/>
  <c r="C30" i="180"/>
  <c r="B31" i="180"/>
  <c r="C31" i="180"/>
  <c r="B32" i="180"/>
  <c r="C32" i="180"/>
  <c r="B26" i="180"/>
  <c r="C26" i="180"/>
  <c r="B27" i="180"/>
  <c r="C27" i="180"/>
  <c r="B28" i="180"/>
  <c r="C28" i="180"/>
  <c r="J28" i="180" s="1"/>
  <c r="B16" i="180"/>
  <c r="C16" i="180"/>
  <c r="J16" i="180" s="1"/>
  <c r="B17" i="180"/>
  <c r="C17" i="180"/>
  <c r="B18" i="180"/>
  <c r="C18" i="180"/>
  <c r="J18" i="180" s="1"/>
  <c r="B19" i="180"/>
  <c r="C19" i="180"/>
  <c r="J19" i="180" s="1"/>
  <c r="B20" i="180"/>
  <c r="C20" i="180"/>
  <c r="J20" i="180" s="1"/>
  <c r="B21" i="180"/>
  <c r="C21" i="180"/>
  <c r="B22" i="180"/>
  <c r="C22" i="180"/>
  <c r="J22" i="180" s="1"/>
  <c r="B23" i="180"/>
  <c r="C23" i="180"/>
  <c r="B24" i="180"/>
  <c r="C24" i="180"/>
  <c r="B25" i="180"/>
  <c r="C25" i="180"/>
  <c r="C64" i="171"/>
  <c r="C65" i="171"/>
  <c r="C66" i="171"/>
  <c r="C67" i="171"/>
  <c r="C68" i="171"/>
  <c r="C69" i="171"/>
  <c r="C70" i="171"/>
  <c r="C73" i="171"/>
  <c r="C74" i="171"/>
  <c r="C75" i="171"/>
  <c r="C76" i="171"/>
  <c r="C77" i="171"/>
  <c r="C78" i="171"/>
  <c r="C79" i="171"/>
  <c r="C80" i="171"/>
  <c r="C81" i="171"/>
  <c r="C82" i="171"/>
  <c r="C83" i="171"/>
  <c r="C84" i="171"/>
  <c r="C85" i="171"/>
  <c r="C86" i="171"/>
  <c r="C87" i="171"/>
  <c r="C88" i="171"/>
  <c r="C89" i="171"/>
  <c r="C90" i="171"/>
  <c r="C91" i="171"/>
  <c r="C93" i="171"/>
  <c r="C94" i="171"/>
  <c r="C95" i="171"/>
  <c r="C111" i="171"/>
  <c r="C112" i="171"/>
  <c r="C113" i="171"/>
  <c r="L56" i="169"/>
  <c r="L57" i="169"/>
  <c r="L58" i="169"/>
  <c r="L59" i="169"/>
  <c r="J56" i="169"/>
  <c r="J57" i="169"/>
  <c r="J58" i="169"/>
  <c r="J59" i="169"/>
  <c r="L9" i="169"/>
  <c r="L10" i="169"/>
  <c r="L11" i="169"/>
  <c r="L12" i="169"/>
  <c r="L13" i="169"/>
  <c r="L14" i="169"/>
  <c r="L15" i="169"/>
  <c r="L18" i="169"/>
  <c r="L19" i="169"/>
  <c r="L20" i="169"/>
  <c r="L21" i="169"/>
  <c r="L22" i="169"/>
  <c r="L23" i="169"/>
  <c r="L24" i="169"/>
  <c r="L25" i="169"/>
  <c r="L26" i="169"/>
  <c r="L27" i="169"/>
  <c r="L28" i="169"/>
  <c r="L29" i="169"/>
  <c r="L30" i="169"/>
  <c r="L31" i="169"/>
  <c r="L32" i="169"/>
  <c r="L33" i="169"/>
  <c r="L34" i="169"/>
  <c r="L35" i="169"/>
  <c r="L36" i="169"/>
  <c r="L38" i="169"/>
  <c r="L39" i="169"/>
  <c r="L40" i="169"/>
  <c r="L48" i="169"/>
  <c r="C103" i="171" s="1"/>
  <c r="L49" i="169"/>
  <c r="C104" i="171" s="1"/>
  <c r="L50" i="169"/>
  <c r="C105" i="171" s="1"/>
  <c r="J16" i="169"/>
  <c r="C16" i="171" s="1"/>
  <c r="J17" i="169"/>
  <c r="C17" i="171" s="1"/>
  <c r="J18" i="169"/>
  <c r="J19" i="169"/>
  <c r="J20" i="169"/>
  <c r="J21" i="169"/>
  <c r="J22" i="169"/>
  <c r="J23" i="169"/>
  <c r="J24" i="169"/>
  <c r="J25" i="169"/>
  <c r="J26" i="169"/>
  <c r="J27" i="169"/>
  <c r="J28" i="169"/>
  <c r="J29" i="169"/>
  <c r="J30" i="169"/>
  <c r="J31" i="169"/>
  <c r="J32" i="169"/>
  <c r="J33" i="169"/>
  <c r="J34" i="169"/>
  <c r="J35" i="169"/>
  <c r="J36" i="169"/>
  <c r="J37" i="169"/>
  <c r="L37" i="169" s="1"/>
  <c r="C92" i="171" s="1"/>
  <c r="J38" i="169"/>
  <c r="J39" i="169"/>
  <c r="J40" i="169"/>
  <c r="J41" i="169"/>
  <c r="L41" i="169" s="1"/>
  <c r="C96" i="171" s="1"/>
  <c r="J42" i="169"/>
  <c r="C42" i="171" s="1"/>
  <c r="J43" i="169"/>
  <c r="L43" i="169" s="1"/>
  <c r="C98" i="171" s="1"/>
  <c r="J44" i="169"/>
  <c r="L44" i="169" s="1"/>
  <c r="C99" i="171" s="1"/>
  <c r="J45" i="169"/>
  <c r="L45" i="169" s="1"/>
  <c r="C100" i="171" s="1"/>
  <c r="J46" i="169"/>
  <c r="L46" i="169" s="1"/>
  <c r="C101" i="171" s="1"/>
  <c r="J47" i="169"/>
  <c r="L47" i="169" s="1"/>
  <c r="C102" i="171" s="1"/>
  <c r="J48" i="169"/>
  <c r="J49" i="169"/>
  <c r="C49" i="171" s="1"/>
  <c r="J50" i="169"/>
  <c r="C50" i="171" s="1"/>
  <c r="J51" i="169"/>
  <c r="L51" i="169" s="1"/>
  <c r="C106" i="171" s="1"/>
  <c r="J52" i="169"/>
  <c r="C52" i="171" s="1"/>
  <c r="J53" i="169"/>
  <c r="L53" i="169" s="1"/>
  <c r="C108" i="171" s="1"/>
  <c r="J54" i="169"/>
  <c r="L54" i="169" s="1"/>
  <c r="C109" i="171" s="1"/>
  <c r="J55" i="169"/>
  <c r="C55" i="171" s="1"/>
  <c r="J9" i="169"/>
  <c r="J10" i="169"/>
  <c r="J11" i="169"/>
  <c r="J12" i="169"/>
  <c r="J13" i="169"/>
  <c r="J14" i="169"/>
  <c r="J15" i="169"/>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B358" i="181"/>
  <c r="B344" i="181"/>
  <c r="Q23" i="185"/>
  <c r="R23" i="185"/>
  <c r="Q24" i="185"/>
  <c r="R24" i="185"/>
  <c r="Q25" i="185"/>
  <c r="R25" i="185"/>
  <c r="Q26" i="185"/>
  <c r="R26" i="185"/>
  <c r="B365" i="181"/>
  <c r="Q27" i="185"/>
  <c r="R27" i="185"/>
  <c r="Q28" i="185"/>
  <c r="R28" i="185"/>
  <c r="Q29" i="185"/>
  <c r="B368" i="181" s="1"/>
  <c r="R29" i="185"/>
  <c r="Q30" i="185"/>
  <c r="R30" i="185"/>
  <c r="B369" i="181"/>
  <c r="Q31" i="185"/>
  <c r="R31" i="185"/>
  <c r="Q32" i="185"/>
  <c r="R32" i="185"/>
  <c r="Q33" i="185"/>
  <c r="R33" i="185"/>
  <c r="Q34" i="185"/>
  <c r="R34" i="185"/>
  <c r="Q35" i="185"/>
  <c r="R35" i="185"/>
  <c r="Q36" i="185"/>
  <c r="R36" i="185"/>
  <c r="R22" i="185"/>
  <c r="Q22" i="185"/>
  <c r="C22" i="185"/>
  <c r="C15" i="185"/>
  <c r="J15" i="185" s="1"/>
  <c r="B15" i="185"/>
  <c r="B22" i="185"/>
  <c r="N22" i="185"/>
  <c r="M22" i="185"/>
  <c r="L22" i="185"/>
  <c r="K22" i="185"/>
  <c r="J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E3" i="185"/>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35" i="184"/>
  <c r="J29" i="184"/>
  <c r="J31" i="184"/>
  <c r="J32" i="184"/>
  <c r="J33" i="184"/>
  <c r="J24" i="184"/>
  <c r="J25" i="184"/>
  <c r="J27" i="184"/>
  <c r="J28" i="184"/>
  <c r="J16" i="184"/>
  <c r="J17" i="184"/>
  <c r="J19" i="184"/>
  <c r="J20" i="184"/>
  <c r="J21" i="184"/>
  <c r="J23" i="184"/>
  <c r="C15" i="184"/>
  <c r="B15" i="184"/>
  <c r="B207" i="181"/>
  <c r="R15" i="184"/>
  <c r="Q15" i="184"/>
  <c r="N15" i="184"/>
  <c r="M15" i="184"/>
  <c r="L15" i="184"/>
  <c r="K15" i="184"/>
  <c r="J15" i="184"/>
  <c r="B14" i="184"/>
  <c r="I21" i="184" s="1"/>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82" i="181" s="1"/>
  <c r="B137"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J21" i="180"/>
  <c r="J17" i="180"/>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R119" i="178"/>
  <c r="Q120" i="178"/>
  <c r="S120" i="178" s="1" a="1"/>
  <c r="S120" i="178" s="1"/>
  <c r="B124" i="179" s="1"/>
  <c r="R120" i="178"/>
  <c r="Q121" i="178"/>
  <c r="S121" i="178" s="1" a="1"/>
  <c r="S121" i="178" s="1"/>
  <c r="B125" i="179" s="1"/>
  <c r="R121" i="178"/>
  <c r="Q122" i="178"/>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R101" i="178"/>
  <c r="Q102" i="178"/>
  <c r="R102" i="178"/>
  <c r="S102" i="178" a="1"/>
  <c r="S102" i="178" s="1"/>
  <c r="B106" i="179" s="1"/>
  <c r="Q103" i="178"/>
  <c r="S103" i="178" s="1" a="1"/>
  <c r="S103" i="178" s="1"/>
  <c r="B107" i="179" s="1"/>
  <c r="R103" i="178"/>
  <c r="Q104" i="178"/>
  <c r="R104" i="178"/>
  <c r="Q105" i="178"/>
  <c r="S105" i="178" s="1" a="1"/>
  <c r="S105" i="178" s="1"/>
  <c r="B109" i="179" s="1"/>
  <c r="R105" i="178"/>
  <c r="Q106" i="178"/>
  <c r="R106" i="178"/>
  <c r="S106" i="178" a="1"/>
  <c r="S106" i="178" s="1"/>
  <c r="B110" i="179" s="1"/>
  <c r="Q107" i="178"/>
  <c r="R107" i="178"/>
  <c r="Q108" i="178"/>
  <c r="R108" i="178"/>
  <c r="S108" i="178" a="1"/>
  <c r="S108" i="178" s="1"/>
  <c r="B112" i="179" s="1"/>
  <c r="Q109" i="178"/>
  <c r="S109" i="178" s="1" a="1"/>
  <c r="S109" i="178" s="1"/>
  <c r="B113" i="179" s="1"/>
  <c r="R109" i="178"/>
  <c r="Q110" i="178"/>
  <c r="R110" i="178"/>
  <c r="Q111" i="178"/>
  <c r="S111" i="178" s="1" a="1"/>
  <c r="S111" i="178" s="1"/>
  <c r="B115" i="179" s="1"/>
  <c r="R111" i="178"/>
  <c r="Q112" i="178"/>
  <c r="R112" i="178"/>
  <c r="S112" i="178" a="1"/>
  <c r="S112" i="178" s="1"/>
  <c r="B116" i="179" s="1"/>
  <c r="Q113" i="178"/>
  <c r="R113" i="178"/>
  <c r="Q114" i="178"/>
  <c r="R114" i="178"/>
  <c r="S114" i="178" a="1"/>
  <c r="S114" i="178" s="1"/>
  <c r="B118" i="179" s="1"/>
  <c r="Q115" i="178"/>
  <c r="S115" i="178" s="1" a="1"/>
  <c r="S115" i="178" s="1"/>
  <c r="B119" i="179" s="1"/>
  <c r="R115" i="178"/>
  <c r="Q116" i="178"/>
  <c r="R116" i="178"/>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R95" i="178"/>
  <c r="Q96" i="178"/>
  <c r="S96" i="178" s="1" a="1"/>
  <c r="S96" i="178" s="1"/>
  <c r="B100" i="179" s="1"/>
  <c r="R96" i="178"/>
  <c r="Q97" i="178"/>
  <c r="S97" i="178" s="1" a="1"/>
  <c r="S97" i="178" s="1"/>
  <c r="B101" i="179" s="1"/>
  <c r="R97" i="178"/>
  <c r="Q98" i="178"/>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R74" i="178"/>
  <c r="Q75" i="178"/>
  <c r="S75" i="178" s="1" a="1"/>
  <c r="S75" i="178" s="1"/>
  <c r="B79" i="179" s="1"/>
  <c r="R75" i="178"/>
  <c r="Q76" i="178"/>
  <c r="S76" i="178" s="1" a="1"/>
  <c r="S76" i="178" s="1"/>
  <c r="B80" i="179" s="1"/>
  <c r="R76" i="178"/>
  <c r="Q77" i="178"/>
  <c r="R77" i="178"/>
  <c r="Q78" i="178"/>
  <c r="S78" i="178" s="1" a="1"/>
  <c r="S78" i="178" s="1"/>
  <c r="B82" i="179" s="1"/>
  <c r="R78" i="178"/>
  <c r="Q79" i="178"/>
  <c r="S79" i="178" s="1" a="1"/>
  <c r="S79" i="178" s="1"/>
  <c r="B83" i="179" s="1"/>
  <c r="R79" i="178"/>
  <c r="Q80" i="178"/>
  <c r="R80" i="178"/>
  <c r="Q81" i="178"/>
  <c r="S81" i="178" s="1" a="1"/>
  <c r="S81" i="178" s="1"/>
  <c r="B85" i="179" s="1"/>
  <c r="R81" i="178"/>
  <c r="Q82" i="178"/>
  <c r="S82" i="178" s="1" a="1"/>
  <c r="S82" i="178" s="1"/>
  <c r="B86" i="179" s="1"/>
  <c r="R82" i="178"/>
  <c r="Q83" i="178"/>
  <c r="R83" i="178"/>
  <c r="Q84" i="178"/>
  <c r="S84" i="178" s="1" a="1"/>
  <c r="S84" i="178" s="1"/>
  <c r="B88" i="179" s="1"/>
  <c r="R84" i="178"/>
  <c r="Q85" i="178"/>
  <c r="S85" i="178" s="1" a="1"/>
  <c r="S85" i="178" s="1"/>
  <c r="B89" i="179" s="1"/>
  <c r="R85" i="178"/>
  <c r="Q86" i="178"/>
  <c r="R86" i="178"/>
  <c r="Q87" i="178"/>
  <c r="S87" i="178" s="1" a="1"/>
  <c r="S87" i="178" s="1"/>
  <c r="B91" i="179" s="1"/>
  <c r="R87" i="178"/>
  <c r="Q88" i="178"/>
  <c r="S88" i="178" s="1" a="1"/>
  <c r="S88" i="178" s="1"/>
  <c r="B92" i="179" s="1"/>
  <c r="R88" i="178"/>
  <c r="Q89" i="178"/>
  <c r="R89" i="178"/>
  <c r="Q90" i="178"/>
  <c r="S90" i="178" s="1" a="1"/>
  <c r="S90" i="178" s="1"/>
  <c r="B94" i="179" s="1"/>
  <c r="R90" i="178"/>
  <c r="Q62" i="178"/>
  <c r="R62" i="178"/>
  <c r="Q63" i="178"/>
  <c r="S63" i="178" s="1" a="1"/>
  <c r="S63" i="178" s="1"/>
  <c r="B67" i="179" s="1"/>
  <c r="R63" i="178"/>
  <c r="Q64" i="178"/>
  <c r="S64" i="178" s="1" a="1"/>
  <c r="S64" i="178" s="1"/>
  <c r="B68" i="179" s="1"/>
  <c r="R64" i="178"/>
  <c r="Q65" i="178"/>
  <c r="R65" i="178"/>
  <c r="Q66" i="178"/>
  <c r="S66" i="178" s="1" a="1"/>
  <c r="S66" i="178" s="1"/>
  <c r="B70" i="179" s="1"/>
  <c r="R66" i="178"/>
  <c r="Q67" i="178"/>
  <c r="S67" i="178" s="1" a="1"/>
  <c r="S67" i="178" s="1"/>
  <c r="B71" i="179" s="1"/>
  <c r="R67" i="178"/>
  <c r="Q68" i="178"/>
  <c r="R68" i="178"/>
  <c r="Q69" i="178"/>
  <c r="S69" i="178" s="1" a="1"/>
  <c r="S69" i="178" s="1"/>
  <c r="B73" i="179" s="1"/>
  <c r="R69" i="178"/>
  <c r="Q70" i="178"/>
  <c r="S70" i="178" s="1" a="1"/>
  <c r="S70" i="178" s="1"/>
  <c r="B74" i="179" s="1"/>
  <c r="R70" i="178"/>
  <c r="Q71" i="178"/>
  <c r="R71" i="178"/>
  <c r="Q53" i="178"/>
  <c r="R53" i="178"/>
  <c r="Q54" i="178"/>
  <c r="R54" i="178"/>
  <c r="S54" i="178" a="1"/>
  <c r="S54" i="178" s="1"/>
  <c r="B58" i="179" s="1"/>
  <c r="Q55" i="178"/>
  <c r="S55" i="178" s="1" a="1"/>
  <c r="S55" i="178" s="1"/>
  <c r="B59" i="179" s="1"/>
  <c r="R55" i="178"/>
  <c r="Q56" i="178"/>
  <c r="R56" i="178"/>
  <c r="Q57" i="178"/>
  <c r="S57" i="178" s="1" a="1"/>
  <c r="S57" i="178" s="1"/>
  <c r="B61" i="179" s="1"/>
  <c r="R57" i="178"/>
  <c r="Q58" i="178"/>
  <c r="R58" i="178"/>
  <c r="Q59" i="178"/>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S104" i="178" s="1" a="1"/>
  <c r="S104" i="178" s="1"/>
  <c r="B108" i="179" s="1"/>
  <c r="I30" i="178"/>
  <c r="J30" i="178"/>
  <c r="K30" i="178"/>
  <c r="L30" i="178"/>
  <c r="M30" i="178"/>
  <c r="N30" i="178"/>
  <c r="S110" i="178" s="1" a="1"/>
  <c r="S110" i="178" s="1"/>
  <c r="B114" i="179" s="1"/>
  <c r="I31" i="178"/>
  <c r="J31" i="178"/>
  <c r="K31" i="178"/>
  <c r="L31" i="178"/>
  <c r="M31" i="178"/>
  <c r="N31" i="178"/>
  <c r="S116" i="178" s="1" a="1"/>
  <c r="S116" i="178" s="1"/>
  <c r="B120" i="179" s="1"/>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S56" i="178" s="1" a="1"/>
  <c r="S56" i="178" s="1"/>
  <c r="B60" i="179" s="1"/>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104" i="180" l="1" a="1"/>
  <c r="S104" i="180" s="1"/>
  <c r="B108" i="181" s="1"/>
  <c r="S98" i="180" a="1"/>
  <c r="S98" i="180" s="1"/>
  <c r="B102" i="181" s="1"/>
  <c r="S119" i="180" a="1"/>
  <c r="S119" i="180" s="1"/>
  <c r="B123" i="181" s="1"/>
  <c r="S113" i="180" a="1"/>
  <c r="S113" i="180" s="1"/>
  <c r="B117" i="181" s="1"/>
  <c r="S107" i="180" a="1"/>
  <c r="S107" i="180" s="1"/>
  <c r="B111" i="181" s="1"/>
  <c r="S120" i="180" a="1"/>
  <c r="S120" i="180" s="1"/>
  <c r="B124" i="181" s="1"/>
  <c r="S115" i="180" a="1"/>
  <c r="S115" i="180" s="1"/>
  <c r="B119" i="181" s="1"/>
  <c r="S109" i="180" a="1"/>
  <c r="S109" i="180" s="1"/>
  <c r="B113" i="181" s="1"/>
  <c r="S96" i="180" a="1"/>
  <c r="S96"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L52" i="169"/>
  <c r="C107" i="171" s="1"/>
  <c r="L42" i="169"/>
  <c r="C97" i="171" s="1"/>
  <c r="C41" i="171"/>
  <c r="C54" i="171"/>
  <c r="L55" i="169"/>
  <c r="C110" i="171" s="1"/>
  <c r="S94" i="180" a="1"/>
  <c r="S94" i="180" s="1"/>
  <c r="B98" i="181" s="1"/>
  <c r="L17" i="169"/>
  <c r="C72" i="171" s="1"/>
  <c r="L16" i="169"/>
  <c r="C71" i="171" s="1"/>
  <c r="I16" i="182"/>
  <c r="I18" i="182"/>
  <c r="B362" i="181"/>
  <c r="S21" i="183" a="1"/>
  <c r="S21" i="183" s="1"/>
  <c r="I25" i="184"/>
  <c r="I33" i="184"/>
  <c r="I29" i="184"/>
  <c r="I17" i="180"/>
  <c r="I19" i="184"/>
  <c r="I20" i="180"/>
  <c r="I17" i="184"/>
  <c r="I19" i="180"/>
  <c r="I16" i="180"/>
  <c r="S45" i="182" a="1"/>
  <c r="S45" i="182" s="1"/>
  <c r="I17" i="182"/>
  <c r="S27" i="182" a="1"/>
  <c r="S27" i="182" s="1"/>
  <c r="I15" i="184"/>
  <c r="S15" i="184" s="1" a="1"/>
  <c r="S15" i="184" s="1"/>
  <c r="B210" i="181" s="1"/>
  <c r="I32" i="184"/>
  <c r="I28" i="184"/>
  <c r="I24" i="184"/>
  <c r="I20" i="184"/>
  <c r="I16" i="184"/>
  <c r="S16" i="183" a="1"/>
  <c r="S16" i="183" s="1"/>
  <c r="S33" i="182" a="1"/>
  <c r="S33" i="182" s="1"/>
  <c r="S21" i="182" a="1"/>
  <c r="S21" i="182" s="1"/>
  <c r="I21" i="180"/>
  <c r="I18" i="180"/>
  <c r="I34" i="184"/>
  <c r="I30" i="184"/>
  <c r="I26" i="184"/>
  <c r="I22" i="184"/>
  <c r="I18" i="184"/>
  <c r="S46" i="182" a="1"/>
  <c r="S46" i="182" s="1"/>
  <c r="I35" i="184"/>
  <c r="I31" i="184"/>
  <c r="I27" i="184"/>
  <c r="I23" i="184"/>
  <c r="S40" i="182" a="1"/>
  <c r="S40" i="182" s="1"/>
  <c r="S34" i="182" a="1"/>
  <c r="S34" i="182" s="1"/>
  <c r="S22" i="182" a="1"/>
  <c r="S22" i="182" s="1"/>
  <c r="S28" i="182" a="1"/>
  <c r="S28" i="182" s="1"/>
  <c r="S16" i="182" a="1"/>
  <c r="S16" i="18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0" i="178" a="1"/>
  <c r="S80" i="178" s="1"/>
  <c r="B84" i="179" s="1"/>
  <c r="S122" i="178" a="1"/>
  <c r="S122" i="178" s="1"/>
  <c r="B126" i="179" s="1"/>
  <c r="S62" i="178" a="1"/>
  <c r="S62" i="178" s="1"/>
  <c r="B66" i="179" s="1"/>
  <c r="S86" i="178" a="1"/>
  <c r="S86" i="178" s="1"/>
  <c r="B90" i="179" s="1"/>
  <c r="S74" i="178" a="1"/>
  <c r="S74" i="178" s="1"/>
  <c r="B78" i="179" s="1"/>
  <c r="S128" i="178" a="1"/>
  <c r="S128" i="178" s="1"/>
  <c r="B132" i="179" s="1"/>
  <c r="S68" i="178" a="1"/>
  <c r="S68" i="178" s="1"/>
  <c r="B72" i="179" s="1"/>
  <c r="S98" i="178" a="1"/>
  <c r="S98" i="178" s="1"/>
  <c r="B102" i="179" s="1"/>
  <c r="S59" i="178" a="1"/>
  <c r="S59" i="178" s="1"/>
  <c r="B63" i="179" s="1"/>
  <c r="S71" i="178" a="1"/>
  <c r="S71" i="178" s="1"/>
  <c r="B75" i="179" s="1"/>
  <c r="S83" i="178" a="1"/>
  <c r="S83" i="178" s="1"/>
  <c r="B87" i="179" s="1"/>
  <c r="S65" i="178" a="1"/>
  <c r="S65" i="178" s="1"/>
  <c r="B69" i="179" s="1"/>
  <c r="S95" i="178" a="1"/>
  <c r="S95" i="178" s="1"/>
  <c r="B99" i="179" s="1"/>
  <c r="S101" i="178" a="1"/>
  <c r="S101" i="178" s="1"/>
  <c r="B105" i="179" s="1"/>
  <c r="S107" i="178" a="1"/>
  <c r="S107" i="178" s="1"/>
  <c r="B111" i="179" s="1"/>
  <c r="S89" i="178" a="1"/>
  <c r="S89" i="178" s="1"/>
  <c r="B93" i="179" s="1"/>
  <c r="S77" i="178" a="1"/>
  <c r="S77" i="178" s="1"/>
  <c r="B81" i="179" s="1"/>
  <c r="S113" i="178" a="1"/>
  <c r="S113" i="178" s="1"/>
  <c r="B117" i="179" s="1"/>
  <c r="S119" i="178" a="1"/>
  <c r="S119" i="178" s="1"/>
  <c r="B123" i="179" s="1"/>
  <c r="S53" i="178" a="1"/>
  <c r="S53"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E6" i="185"/>
  <c r="B343" i="181" s="1"/>
  <c r="I22" i="185"/>
  <c r="B361" i="181" s="1"/>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39" i="181" s="1"/>
  <c r="E6" i="180"/>
  <c r="B16" i="181" s="1"/>
  <c r="I15" i="180"/>
  <c r="S15" i="180" s="1" a="1"/>
  <c r="S15" i="180" s="1"/>
  <c r="B19" i="181" s="1"/>
  <c r="B21" i="179"/>
  <c r="B20" i="179"/>
  <c r="S15" i="178" a="1"/>
  <c r="S15" i="178" s="1"/>
  <c r="B19" i="179" s="1"/>
  <c r="B14" i="179"/>
  <c r="S45" i="246" l="1" a="1"/>
  <c r="S45" i="246" s="1"/>
  <c r="S21" i="246" a="1"/>
  <c r="S21" i="246" s="1"/>
  <c r="S33" i="246" a="1"/>
  <c r="S33" i="246" s="1"/>
  <c r="B14" i="244"/>
  <c r="E6" i="243"/>
  <c r="B16" i="244" s="1"/>
  <c r="B14" i="236"/>
  <c r="E6" i="235"/>
  <c r="B16" i="236" s="1"/>
  <c r="B14" i="232"/>
  <c r="E6" i="231"/>
  <c r="S32" i="20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E21" i="170" s="1"/>
  <c r="B22" i="170"/>
  <c r="E22" i="170" s="1"/>
  <c r="B23" i="170"/>
  <c r="E23" i="170" s="1"/>
  <c r="B24" i="170"/>
  <c r="E24" i="170" s="1"/>
  <c r="B25" i="170"/>
  <c r="E25" i="170" s="1"/>
  <c r="B26" i="170"/>
  <c r="E26" i="170" s="1"/>
  <c r="B27" i="170"/>
  <c r="E27" i="170" s="1"/>
  <c r="B28" i="170"/>
  <c r="E28" i="170" s="1"/>
  <c r="B29" i="170"/>
  <c r="E29" i="170" s="1"/>
  <c r="B30" i="170"/>
  <c r="E30" i="170" s="1"/>
  <c r="B31" i="170"/>
  <c r="E31" i="170" s="1"/>
  <c r="B32" i="170"/>
  <c r="E32" i="170" s="1"/>
  <c r="B33" i="170"/>
  <c r="E33" i="170" s="1"/>
  <c r="B34" i="170"/>
  <c r="E34" i="170" s="1"/>
  <c r="B35" i="170"/>
  <c r="E35" i="170" s="1"/>
  <c r="B36" i="170"/>
  <c r="E36" i="170" s="1"/>
  <c r="B37" i="170"/>
  <c r="E37" i="170" s="1"/>
  <c r="B38" i="170"/>
  <c r="E38" i="170" s="1"/>
  <c r="B39" i="170"/>
  <c r="E39" i="170" s="1"/>
  <c r="B40" i="170"/>
  <c r="E40" i="170" s="1"/>
  <c r="C2" i="171"/>
  <c r="C1" i="171"/>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8" i="172"/>
  <c r="C48" i="174" s="1"/>
  <c r="L8" i="169"/>
  <c r="C63"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0"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<sst xmlns="http://schemas.openxmlformats.org/spreadsheetml/2006/main" count="7359" uniqueCount="2473">
  <si>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</si>
  <si>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</si>
  <si>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</si>
  <si>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</si>
  <si>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</si>
  <si>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</si>
  <si>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</si>
  <si>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</si>
  <si>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</si>
  <si>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</si>
  <si>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</si>
  <si>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</si>
  <si>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</si>
  <si>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</si>
  <si>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</si>
  <si>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</si>
  <si>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</si>
  <si>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</si>
  <si>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</si>
  <si>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</si>
  <si>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</si>
  <si>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</si>
  <si>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</si>
  <si>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</si>
  <si>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</si>
  <si>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</si>
  <si>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</si>
  <si>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</si>
  <si>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</si>
  <si>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</si>
  <si>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</si>
  <si>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</si>
  <si>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</si>
  <si>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</si>
  <si>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</si>
  <si>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</si>
  <si>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</si>
  <si>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</si>
  <si>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</si>
  <si>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</si>
  <si>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</si>
  <si>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</si>
  <si>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</si>
  <si>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</si>
  <si>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</si>
  <si>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</si>
  <si>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</si>
  <si>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</si>
  <si>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</si>
  <si>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</si>
  <si>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</si>
  <si>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</si>
  <si>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</si>
  <si>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</si>
  <si>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</si>
  <si>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</si>
  <si>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</si>
  <si>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</si>
  <si>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</si>
  <si>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</si>
  <si>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</si>
  <si>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</si>
  <si>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</si>
  <si>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</si>
  <si>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</si>
  <si>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</si>
  <si>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</si>
  <si>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</si>
  <si>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</si>
  <si>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</si>
  <si>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</si>
  <si>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</si>
  <si>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</si>
  <si>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</si>
  <si>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</si>
  <si>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</si>
  <si>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</si>
  <si>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</si>
  <si>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</si>
  <si>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</si>
  <si>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</si>
  <si>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</si>
  <si>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</si>
  <si>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</si>
  <si>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</si>
  <si>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</si>
  <si>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</si>
  <si>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</si>
  <si>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</si>
  <si>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</si>
  <si>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</si>
  <si>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</si>
  <si>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</si>
  <si>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</si>
  <si>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</si>
  <si>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</si>
  <si>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</si>
  <si>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</si>
  <si>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</si>
  <si>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</si>
  <si>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</si>
  <si>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</si>
  <si>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</si>
  <si>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</si>
  <si>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</si>
  <si>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</si>
  <si>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</si>
  <si>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</si>
  <si>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</si>
  <si>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</si>
  <si>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</si>
  <si>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</si>
  <si>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</si>
  <si>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</si>
  <si>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</si>
  <si>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</si>
  <si>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</si>
  <si>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</si>
  <si>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</si>
  <si>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</si>
  <si>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</si>
  <si>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</si>
  <si>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</si>
  <si>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</si>
  <si>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</si>
  <si>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</si>
  <si>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</si>
  <si>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</si>
  <si>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</si>
  <si>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</si>
  <si>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</si>
  <si>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</si>
  <si>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</si>
  <si>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</si>
  <si>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</si>
  <si>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</si>
  <si>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</si>
  <si>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</si>
  <si>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</si>
  <si>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</si>
  <si>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</si>
  <si>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</si>
  <si>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</si>
  <si>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</si>
  <si>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</si>
  <si>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</si>
  <si>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</si>
  <si>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</si>
  <si>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</si>
  <si>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</si>
  <si>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</si>
  <si>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</si>
  <si>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</si>
  <si>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</si>
  <si>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</si>
  <si>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</si>
  <si>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</si>
  <si>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</si>
  <si>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</si>
  <si>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</si>
  <si>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</si>
  <si>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</si>
  <si>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</si>
  <si>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</si>
  <si>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</si>
  <si>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</si>
  <si>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</si>
  <si>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</si>
  <si>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</si>
  <si>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</si>
  <si>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</si>
  <si>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</si>
  <si>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</si>
  <si>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</si>
  <si>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</si>
  <si>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</si>
  <si>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</si>
  <si>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</si>
  <si>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</si>
  <si>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</si>
  <si>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</si>
  <si>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</si>
  <si>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</si>
  <si>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</si>
  <si>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</si>
  <si>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</si>
  <si>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</si>
  <si>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</si>
  <si>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</si>
  <si>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</si>
  <si>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</si>
  <si>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</si>
  <si>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</si>
  <si>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</si>
  <si>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</si>
  <si>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</si>
  <si>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</si>
  <si>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</si>
  <si>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</si>
  <si>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</si>
  <si>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</si>
  <si>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</si>
  <si>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</si>
  <si>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</si>
  <si>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</si>
  <si>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</si>
  <si>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</si>
  <si>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</si>
  <si>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</si>
  <si>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</si>
  <si>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</si>
  <si>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</si>
  <si>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</si>
  <si>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</si>
  <si>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</si>
  <si>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</si>
  <si>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</si>
  <si>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</si>
  <si>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</si>
  <si>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</si>
  <si>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</si>
  <si>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</si>
  <si>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</si>
  <si>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</si>
  <si>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</si>
  <si>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</si>
  <si>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</si>
  <si>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</si>
  <si>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</si>
  <si>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</si>
  <si>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</si>
  <si>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</si>
  <si>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</si>
  <si>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</si>
  <si>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</si>
  <si>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</si>
  <si>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</si>
  <si>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</si>
  <si>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</si>
  <si>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</si>
  <si>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</si>
  <si>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</si>
  <si>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</si>
  <si>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</si>
  <si>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</si>
  <si>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</si>
  <si>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</si>
  <si>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</si>
  <si>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</si>
  <si>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</si>
  <si>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</si>
  <si>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</si>
  <si>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</si>
  <si>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</si>
  <si>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</si>
  <si>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</si>
  <si>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</si>
  <si>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</si>
  <si>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</si>
  <si>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</si>
  <si>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</si>
  <si>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</si>
  <si>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</si>
  <si>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</si>
  <si>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</si>
  <si>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</si>
  <si>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</si>
  <si>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</si>
  <si>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</si>
  <si>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</si>
  <si>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</si>
  <si>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</si>
  <si>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</si>
  <si>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</si>
  <si>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</si>
  <si>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</si>
  <si>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</si>
  <si>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</si>
  <si>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</si>
  <si>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</si>
  <si>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</si>
  <si>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</si>
  <si>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</si>
  <si>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</si>
  <si>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</si>
  <si>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</si>
  <si>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</si>
  <si>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</si>
  <si>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</si>
  <si>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</si>
  <si>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</si>
  <si>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</si>
  <si>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</si>
  <si>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</si>
  <si>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</si>
  <si>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</si>
  <si>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</si>
  <si>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</si>
  <si>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</si>
  <si>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</si>
  <si>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</si>
  <si>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</si>
  <si>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</si>
  <si>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</si>
  <si>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</si>
  <si>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</si>
  <si>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</si>
  <si>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</si>
  <si>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</si>
  <si>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</si>
  <si>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</si>
  <si>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</si>
  <si>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</si>
  <si>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</si>
  <si>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</si>
  <si>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</si>
  <si>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</si>
  <si>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</si>
  <si>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</si>
  <si>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</si>
  <si>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</si>
  <si>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</si>
  <si>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</si>
  <si>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</si>
  <si>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</si>
  <si>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</si>
  <si>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</si>
  <si>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</si>
  <si>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</si>
  <si>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</si>
  <si>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</si>
  <si>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</si>
  <si>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</si>
  <si>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</si>
  <si>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</si>
  <si>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</si>
  <si>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</si>
  <si>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</si>
  <si>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</si>
  <si>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</si>
  <si>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</si>
  <si>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</si>
  <si>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</si>
  <si>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</si>
  <si>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</si>
  <si>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</si>
  <si>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</si>
  <si>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</si>
  <si>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</si>
  <si>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</si>
  <si>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</si>
  <si>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</si>
  <si>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</si>
  <si>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</si>
  <si>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</si>
  <si>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</si>
  <si>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</si>
  <si>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</si>
  <si>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</si>
  <si>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</si>
  <si>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</si>
  <si>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</si>
  <si>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</si>
  <si>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</si>
  <si>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</si>
  <si>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</si>
  <si>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</si>
  <si>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</si>
  <si>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</si>
  <si>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</si>
  <si>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</si>
  <si>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</si>
  <si>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</si>
  <si>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</si>
  <si>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</si>
  <si>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</si>
  <si>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</si>
  <si>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</si>
  <si>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</si>
  <si>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</si>
  <si>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</si>
  <si>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</si>
  <si>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</si>
  <si>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</si>
  <si>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</si>
  <si>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</si>
  <si>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</si>
  <si>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</si>
  <si>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</si>
  <si>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</si>
  <si>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</si>
  <si>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</si>
  <si>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</si>
  <si>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</si>
  <si>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</si>
  <si>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</si>
  <si>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</si>
  <si>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</si>
  <si>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</si>
  <si>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</si>
  <si>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</si>
  <si>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</si>
  <si>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</si>
  <si>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</si>
  <si>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</si>
  <si>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</si>
  <si>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</si>
  <si>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</si>
  <si>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</si>
  <si>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</si>
  <si>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</si>
  <si>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</si>
  <si>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</si>
  <si>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</si>
  <si>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</si>
  <si>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</si>
  <si>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</si>
  <si>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</si>
  <si>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</si>
  <si>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</si>
  <si>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</si>
  <si>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</si>
  <si>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</si>
  <si>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</si>
  <si>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</si>
  <si>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</si>
  <si>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</si>
  <si>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</si>
  <si>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</si>
  <si>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</si>
  <si>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</si>
  <si>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</si>
  <si>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</si>
  <si>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</si>
  <si>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</si>
  <si>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</si>
  <si>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</si>
  <si>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</si>
  <si>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</si>
  <si>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</si>
  <si>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</si>
  <si>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</si>
  <si>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</si>
  <si>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</si>
  <si>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</si>
  <si>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</si>
  <si>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</si>
  <si>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</si>
  <si>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</si>
  <si>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</si>
  <si>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</si>
  <si>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</si>
  <si>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</si>
  <si>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</si>
  <si>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</si>
  <si>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</si>
  <si>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</si>
  <si>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</si>
  <si>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</si>
  <si>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</si>
  <si>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</si>
  <si>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</si>
  <si>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</si>
  <si>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</si>
  <si>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</si>
  <si>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</si>
  <si>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</si>
  <si>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</si>
  <si>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</si>
  <si>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</si>
  <si>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</si>
  <si>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</si>
  <si>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</si>
  <si>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</si>
  <si>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</si>
  <si>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</si>
  <si>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</si>
  <si>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</si>
  <si>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</si>
  <si>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</si>
  <si>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</si>
  <si>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</si>
  <si>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</si>
  <si>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</si>
  <si>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</si>
  <si>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</si>
  <si>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</si>
  <si>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</si>
  <si>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</si>
  <si>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</si>
  <si>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</si>
  <si>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</si>
  <si>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</si>
  <si>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</si>
  <si>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</si>
  <si>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</si>
  <si>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</si>
  <si>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</si>
  <si>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</si>
  <si>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</si>
  <si>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</si>
  <si>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</si>
  <si>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</si>
  <si>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</si>
  <si>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</si>
  <si>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</si>
  <si>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</si>
  <si>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</si>
  <si>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</si>
  <si>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</si>
  <si>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</si>
  <si>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</si>
  <si>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</si>
  <si>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</si>
  <si>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</si>
  <si>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</si>
  <si>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</si>
  <si>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</si>
  <si>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</si>
  <si>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</si>
  <si>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</si>
  <si>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</si>
  <si>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</si>
  <si>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</si>
  <si>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</si>
  <si>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</si>
  <si>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</si>
  <si>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</si>
  <si>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</si>
  <si>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</si>
  <si>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</si>
  <si>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</si>
  <si>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</si>
  <si>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</si>
  <si>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</si>
  <si>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</si>
  <si>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</si>
  <si>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</si>
  <si>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</si>
  <si>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</si>
  <si>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</si>
  <si>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</si>
  <si>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</si>
  <si>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</si>
  <si>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</si>
  <si>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</si>
  <si>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</si>
  <si>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</si>
  <si>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</si>
  <si>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</si>
  <si>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</si>
  <si>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</si>
  <si>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</si>
  <si>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</si>
  <si>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</si>
  <si>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</si>
  <si>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</si>
  <si>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</si>
  <si>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</si>
  <si>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</si>
  <si>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</si>
  <si>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</si>
  <si>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</si>
  <si>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</si>
  <si>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</si>
  <si>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</si>
  <si>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</si>
  <si>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</si>
  <si>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</si>
  <si>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</si>
  <si>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</si>
  <si>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</si>
  <si>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</si>
  <si>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</si>
  <si>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</si>
  <si>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</si>
  <si>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</si>
  <si>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</si>
  <si>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</si>
  <si>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</si>
  <si>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</si>
  <si>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</si>
  <si>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</si>
  <si>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</si>
  <si>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</si>
  <si>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</si>
  <si>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</si>
  <si>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</si>
  <si>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</si>
  <si>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</si>
  <si>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</si>
  <si>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</si>
  <si>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</si>
  <si>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</si>
  <si>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</si>
  <si>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</si>
  <si>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</si>
  <si>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</si>
  <si>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</si>
  <si>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</si>
  <si>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</si>
  <si>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</si>
  <si>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</si>
  <si>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</si>
  <si>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</si>
  <si>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</si>
  <si>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</si>
  <si>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</si>
  <si>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</si>
  <si>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</si>
  <si>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</si>
  <si>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</si>
  <si>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</si>
  <si>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</si>
  <si>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</si>
  <si>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</si>
  <si>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</si>
  <si>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</si>
  <si>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</si>
  <si>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</si>
  <si>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</si>
  <si>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</si>
  <si>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</si>
  <si>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</si>
  <si>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</si>
  <si>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</si>
  <si>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</si>
  <si>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</si>
  <si>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</si>
  <si>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</si>
  <si>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</si>
  <si>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</si>
  <si>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</si>
  <si>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</si>
  <si>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</si>
  <si>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</si>
  <si>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</si>
  <si>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</si>
  <si>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</si>
  <si>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</si>
  <si>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</si>
  <si>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</si>
  <si>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</si>
  <si>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</si>
  <si>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</si>
  <si>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</si>
  <si>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</si>
  <si>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</si>
  <si>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</si>
  <si>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</si>
  <si>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</si>
  <si>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</si>
  <si>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</si>
  <si>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</si>
  <si>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</si>
  <si>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</si>
  <si>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</si>
  <si>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</si>
  <si>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</si>
  <si>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</si>
  <si>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</si>
  <si>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</si>
  <si>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</si>
  <si>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</si>
  <si>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</si>
  <si>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</si>
  <si>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</si>
  <si>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</si>
  <si>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</si>
  <si>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</si>
  <si>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</si>
  <si>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</si>
  <si>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</si>
  <si>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</si>
  <si>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</si>
  <si>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</si>
  <si>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</si>
  <si>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</si>
  <si>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</si>
  <si>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</si>
  <si>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</si>
  <si>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</si>
  <si>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</si>
  <si>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</si>
  <si>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</si>
  <si>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</si>
  <si>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</si>
  <si>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</si>
  <si>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</si>
  <si>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</si>
  <si>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</si>
  <si>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</si>
  <si>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</si>
  <si>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</si>
  <si>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</si>
  <si>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</si>
  <si>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</si>
  <si>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</si>
  <si>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</si>
  <si>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</si>
  <si>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</si>
  <si>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</si>
  <si>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</si>
  <si>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</si>
  <si>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</si>
  <si>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</si>
  <si>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</si>
  <si>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</si>
  <si>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</si>
  <si>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</si>
  <si>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</si>
  <si>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</si>
  <si>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</si>
  <si>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</si>
  <si>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</si>
  <si>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</si>
  <si>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</si>
  <si>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</si>
  <si>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</si>
  <si>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</si>
  <si>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</si>
  <si>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</si>
  <si>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</si>
  <si>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</si>
  <si>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</si>
  <si>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</si>
  <si>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</si>
  <si>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</si>
  <si>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</si>
  <si>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</si>
  <si>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</si>
  <si>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</si>
  <si>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</si>
  <si>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</si>
  <si>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</si>
  <si>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</si>
  <si>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</si>
  <si>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</si>
  <si>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</si>
  <si>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</si>
  <si>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</si>
  <si>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</si>
  <si>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</si>
  <si>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</si>
  <si>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</si>
  <si>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</si>
  <si>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</si>
  <si>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</si>
  <si>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</si>
  <si>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</si>
  <si>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</si>
  <si>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</si>
  <si>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</si>
  <si>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</si>
  <si>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</si>
  <si>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</si>
  <si>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</si>
  <si>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</si>
  <si>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</si>
  <si>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</si>
  <si>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</si>
  <si>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</si>
  <si>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</si>
  <si>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</si>
  <si>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</si>
  <si>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</si>
  <si>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</si>
  <si>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</si>
  <si>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</si>
  <si>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</si>
  <si>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</si>
  <si>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</si>
  <si>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</si>
  <si>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</si>
  <si>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</si>
  <si>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</si>
  <si>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</si>
  <si>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</si>
  <si>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</si>
  <si>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</si>
  <si>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</si>
  <si>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</si>
  <si>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</si>
  <si>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</si>
  <si>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</si>
  <si>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</si>
  <si>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</si>
  <si>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</si>
  <si>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</si>
  <si>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</si>
  <si>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</si>
  <si>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</si>
  <si>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</si>
  <si>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</si>
  <si>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</si>
  <si>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</si>
  <si>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</si>
  <si>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</si>
  <si>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</si>
  <si>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</si>
  <si>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</si>
  <si>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</si>
  <si>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</si>
  <si>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</si>
  <si>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</si>
  <si>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</si>
  <si>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</si>
  <si>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</si>
  <si>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</si>
  <si>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</si>
  <si>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</si>
  <si>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</si>
  <si>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</si>
  <si>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</si>
  <si>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</si>
  <si>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</si>
  <si>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</si>
  <si>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</si>
  <si>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</si>
  <si>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</si>
  <si>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</si>
  <si>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</si>
  <si>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</si>
  <si>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</si>
  <si>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</si>
  <si>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</si>
  <si>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</si>
  <si>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</si>
  <si>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</si>
  <si>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</si>
  <si>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</si>
  <si>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</si>
  <si>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</si>
  <si>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</si>
  <si>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</si>
  <si>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</si>
  <si>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</si>
  <si>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</si>
  <si>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</si>
  <si>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</si>
  <si>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</si>
  <si>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</si>
  <si>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</si>
  <si>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</si>
  <si>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</si>
  <si>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</si>
  <si>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</si>
  <si>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</si>
  <si>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</si>
  <si>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</si>
  <si>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</si>
  <si>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</si>
  <si>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</si>
  <si>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</si>
  <si>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</si>
  <si>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</si>
  <si>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</si>
  <si>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</si>
  <si>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</si>
  <si>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</si>
  <si>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</si>
  <si>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</si>
  <si>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</si>
  <si>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</si>
  <si>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</si>
  <si>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</si>
  <si>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</si>
  <si>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</si>
  <si>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</si>
  <si>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</si>
  <si>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</si>
  <si>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</si>
  <si>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</si>
  <si>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</si>
  <si>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</si>
  <si>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</si>
  <si>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</si>
  <si>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</si>
  <si>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</si>
  <si>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</si>
  <si>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</si>
  <si>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</si>
  <si>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</si>
  <si>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</si>
  <si>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</si>
  <si>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</si>
  <si>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</si>
  <si>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</si>
  <si>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</si>
  <si>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</si>
  <si>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</si>
  <si>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</si>
  <si>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</si>
  <si>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</si>
  <si>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</si>
  <si>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</si>
  <si>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</si>
  <si>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</si>
  <si>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</si>
  <si>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</si>
  <si>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</si>
  <si>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</si>
  <si>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</si>
  <si>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</si>
  <si>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</si>
  <si>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</si>
  <si>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</si>
  <si>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</si>
  <si>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</si>
  <si>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</si>
  <si>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</si>
  <si>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</si>
  <si>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</si>
  <si>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</si>
  <si>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</si>
  <si>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</si>
  <si>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</si>
  <si>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</si>
  <si>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</si>
  <si>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</si>
  <si>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</si>
  <si>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</si>
  <si>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</si>
  <si>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</si>
  <si>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</si>
  <si>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</si>
  <si>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</si>
  <si>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</si>
  <si>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</si>
  <si>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</si>
  <si>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</si>
  <si>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</si>
  <si>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</si>
  <si>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</si>
  <si>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</si>
  <si>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</si>
  <si>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</si>
  <si>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</si>
  <si>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</si>
  <si>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</si>
  <si>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</si>
  <si>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</si>
  <si>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</si>
  <si>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</si>
  <si>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</si>
  <si>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</si>
  <si>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</si>
  <si>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</si>
  <si>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</si>
  <si>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</si>
  <si>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</si>
  <si>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</si>
  <si>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</si>
  <si>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</si>
  <si>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</si>
  <si>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</si>
  <si>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</si>
  <si>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</si>
  <si>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</si>
  <si>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</si>
  <si>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</si>
  <si>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</si>
  <si>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</si>
  <si>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</si>
  <si>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</si>
  <si>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</si>
  <si>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</si>
  <si>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</si>
  <si>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</si>
  <si>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</si>
  <si>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</si>
  <si>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</si>
  <si>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</si>
  <si>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</si>
  <si>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</si>
  <si>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</si>
  <si>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</si>
  <si>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</si>
  <si>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</si>
  <si>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</si>
  <si>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</si>
  <si>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</si>
  <si>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</si>
  <si>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</si>
  <si>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</si>
  <si>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</si>
  <si>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</si>
  <si>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</si>
  <si>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</si>
  <si>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</si>
  <si>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</si>
  <si>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</si>
  <si>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</si>
  <si>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</si>
  <si>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</si>
  <si>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</si>
  <si>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</si>
  <si>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</si>
  <si>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</si>
  <si>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</si>
  <si>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</si>
  <si>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</si>
  <si>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</si>
  <si>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</si>
  <si>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</si>
  <si>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</si>
  <si>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</si>
  <si>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</si>
  <si>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</si>
  <si>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</si>
  <si>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</si>
  <si>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</si>
  <si>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</si>
  <si>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</si>
  <si>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</si>
  <si>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</si>
  <si>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</si>
  <si>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</si>
  <si>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</si>
  <si>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</si>
  <si>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</si>
  <si>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</si>
  <si>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</si>
  <si>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</si>
  <si>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</si>
  <si>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</si>
  <si>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</si>
  <si>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</si>
  <si>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</si>
  <si>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</si>
  <si>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</si>
  <si>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</si>
  <si>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</si>
  <si>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</si>
  <si>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</si>
  <si>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</si>
  <si>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</si>
  <si>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</si>
  <si>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</si>
  <si>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</si>
  <si>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</si>
  <si>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</si>
  <si>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</si>
  <si>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</si>
  <si>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</si>
  <si>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</si>
  <si>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</si>
  <si>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</si>
  <si>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</si>
  <si>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</si>
  <si>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</si>
  <si>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</si>
  <si>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</si>
  <si>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</si>
  <si>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</si>
  <si>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</si>
  <si>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</si>
  <si>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</si>
  <si>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</si>
  <si>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</si>
  <si>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</si>
  <si>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</si>
  <si>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</si>
  <si>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</si>
  <si>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</si>
  <si>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</si>
  <si>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</si>
  <si>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</si>
  <si>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</si>
  <si>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</si>
  <si>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</si>
  <si>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</si>
  <si>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</si>
  <si>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</si>
  <si>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</si>
  <si>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</si>
  <si>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</si>
  <si>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</si>
  <si>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</si>
  <si>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</si>
  <si>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</si>
  <si>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</si>
  <si>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</si>
  <si>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</si>
  <si>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</si>
  <si>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</si>
  <si>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</si>
  <si>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</si>
  <si>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</si>
  <si>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</si>
  <si>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</si>
  <si>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</si>
  <si>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</si>
  <si>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</si>
  <si>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</si>
  <si>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</si>
  <si>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</si>
  <si>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</si>
  <si>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</si>
  <si>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</si>
  <si>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</si>
  <si>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</si>
  <si>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</si>
  <si>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</si>
  <si>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</si>
  <si>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</si>
  <si>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</si>
  <si>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</si>
  <si>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</si>
  <si>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</si>
  <si>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</si>
  <si>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</si>
  <si>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</si>
  <si>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</si>
  <si>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</si>
  <si>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</si>
  <si>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</si>
  <si>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</si>
  <si>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</si>
  <si>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</si>
  <si>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</si>
  <si>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</si>
  <si>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</si>
  <si>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</si>
  <si>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</si>
  <si>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</si>
  <si>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</si>
  <si>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</si>
  <si>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</si>
  <si>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</si>
  <si>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</si>
  <si>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</si>
  <si>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</si>
  <si>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</si>
  <si>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</si>
  <si>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</si>
  <si>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</si>
  <si>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</si>
  <si>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</si>
  <si>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</si>
  <si>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</si>
  <si>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</si>
  <si>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</si>
  <si>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</si>
  <si>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</si>
  <si>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</si>
  <si>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</si>
  <si>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</si>
  <si>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</si>
  <si>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</si>
  <si>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</si>
  <si>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</si>
  <si>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</si>
  <si>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</si>
  <si>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</si>
  <si>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</si>
  <si>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</si>
  <si>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</si>
  <si>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</si>
  <si>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</si>
  <si>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</si>
  <si>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</si>
  <si>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</si>
  <si>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</si>
  <si>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</si>
  <si>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</si>
  <si>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</si>
  <si>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</si>
  <si>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</si>
  <si>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</si>
  <si>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</si>
  <si>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</si>
  <si>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</si>
  <si>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</si>
  <si>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</si>
  <si>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</si>
  <si>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</si>
  <si>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</si>
  <si>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</si>
  <si>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</si>
  <si>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</si>
  <si>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</si>
  <si>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</si>
  <si>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</si>
  <si>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</si>
  <si>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</si>
  <si>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</si>
  <si>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</si>
  <si>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</si>
  <si>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</si>
  <si>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</si>
  <si>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</si>
  <si>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</si>
  <si>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</si>
  <si>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</si>
  <si>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</si>
  <si>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</si>
  <si>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</si>
  <si>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</si>
  <si>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</si>
  <si>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</si>
  <si>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</si>
  <si>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</si>
  <si>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</si>
  <si>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</si>
  <si>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</si>
  <si>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</si>
  <si>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</si>
  <si>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</si>
  <si>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</si>
  <si>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</si>
  <si>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</si>
  <si>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</si>
  <si>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</si>
  <si>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</si>
  <si>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</si>
  <si>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</si>
  <si>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</si>
  <si>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</si>
  <si>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</si>
  <si>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</si>
  <si>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</si>
  <si>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</si>
  <si>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</si>
  <si>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</si>
  <si>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</si>
  <si>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</si>
  <si>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</si>
  <si>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</si>
  <si>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</si>
  <si>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</si>
  <si>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</si>
  <si>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</si>
  <si>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</si>
  <si>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</si>
  <si>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</si>
  <si>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</si>
  <si>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</si>
  <si>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</si>
  <si>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</si>
  <si>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</si>
  <si>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</si>
  <si>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</si>
  <si>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</si>
  <si>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</si>
  <si>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</si>
  <si>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</si>
  <si>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</si>
  <si>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</si>
  <si>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</si>
  <si>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</si>
  <si>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</si>
  <si>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</si>
  <si>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</si>
  <si>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</si>
  <si>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</si>
  <si>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</si>
  <si>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</si>
  <si>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</si>
  <si>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</si>
  <si>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</si>
  <si>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</si>
  <si>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</si>
  <si>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</si>
  <si>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</si>
  <si>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</si>
  <si>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</si>
  <si>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</si>
  <si>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</si>
  <si>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</si>
  <si>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</si>
  <si>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</si>
  <si>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</si>
  <si>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</si>
  <si>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</si>
  <si>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</si>
  <si>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</si>
  <si>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</si>
  <si>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</si>
  <si>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</si>
  <si>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</si>
  <si>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</si>
  <si>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</si>
  <si>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</si>
  <si>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</si>
  <si>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</si>
  <si>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</si>
  <si>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</si>
  <si>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</si>
  <si>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</si>
  <si>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</si>
  <si>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</si>
  <si>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</si>
  <si>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</si>
  <si>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</si>
  <si>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</si>
  <si>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</si>
  <si>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</si>
  <si>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</si>
  <si>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</si>
  <si>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</si>
  <si>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</si>
  <si>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</si>
  <si>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</si>
  <si>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</si>
  <si>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</si>
  <si>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</si>
  <si>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</si>
  <si>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</si>
  <si>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</si>
  <si>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</si>
  <si>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</si>
  <si>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</si>
  <si>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</si>
  <si>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</si>
  <si>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</si>
  <si>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</si>
  <si>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</si>
  <si>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</si>
  <si>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</si>
  <si>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</si>
  <si>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</si>
  <si>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</si>
  <si>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</si>
  <si>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</si>
  <si>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</si>
  <si>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</si>
  <si>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</si>
  <si>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</si>
  <si>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</si>
  <si>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</si>
  <si>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</si>
  <si>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</si>
  <si>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</si>
  <si>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</si>
  <si>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</si>
  <si>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</si>
  <si>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</si>
  <si>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</si>
  <si>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</si>
  <si>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</si>
  <si>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</si>
  <si>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</si>
  <si>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</si>
  <si>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</si>
  <si>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</si>
  <si>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</si>
  <si>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</si>
  <si>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</si>
  <si>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</si>
  <si>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</si>
  <si>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</si>
  <si>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</si>
  <si>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</si>
  <si>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</si>
  <si>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</si>
  <si>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</si>
  <si>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</si>
  <si>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</si>
  <si>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</si>
  <si>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</si>
  <si>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</si>
  <si>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</si>
  <si>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</si>
  <si>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</si>
  <si>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</si>
  <si>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</si>
  <si>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</si>
  <si>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</si>
  <si>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</si>
  <si>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</si>
  <si>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</si>
  <si>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</si>
  <si>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</si>
  <si>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</si>
  <si>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</si>
  <si>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</si>
  <si>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</si>
  <si>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</si>
  <si>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</si>
  <si>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</si>
  <si>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</si>
  <si>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</si>
  <si>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</si>
  <si>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</si>
  <si>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</si>
  <si>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</si>
  <si>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</si>
  <si>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</si>
  <si>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</si>
  <si>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</si>
  <si>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</si>
  <si>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</si>
  <si>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</si>
  <si>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</si>
  <si>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</si>
  <si>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</si>
  <si>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</si>
  <si>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</si>
  <si>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</si>
  <si>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</si>
  <si>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</si>
  <si>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</si>
  <si>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</si>
  <si>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</si>
  <si>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</si>
  <si>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</si>
  <si>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</si>
  <si>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</si>
  <si>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</si>
  <si>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</si>
  <si>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</si>
  <si>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</si>
  <si>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</si>
  <si>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</si>
  <si>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</si>
  <si>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</si>
  <si>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</si>
  <si>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</si>
  <si>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</si>
  <si>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</si>
  <si>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</si>
  <si>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</si>
  <si>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</si>
  <si>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</si>
  <si>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</si>
  <si>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</si>
  <si>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</si>
  <si>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</si>
  <si>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</si>
  <si>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</si>
  <si>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</si>
  <si>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</si>
  <si>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</si>
  <si>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</si>
  <si>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</si>
  <si>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</si>
  <si>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</si>
  <si>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</si>
  <si>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</si>
  <si>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</si>
  <si>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</si>
  <si>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</si>
  <si>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</si>
  <si>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</si>
  <si>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</si>
  <si>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</si>
  <si>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</si>
  <si>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</si>
  <si>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</si>
  <si>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</si>
  <si>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</si>
  <si>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</si>
  <si>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</si>
  <si>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</si>
  <si>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</si>
  <si>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</si>
  <si>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</si>
  <si>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</si>
  <si>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</si>
  <si>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</si>
  <si>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</si>
  <si>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</si>
  <si>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</si>
  <si>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</si>
  <si>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</si>
  <si>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</si>
  <si>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</si>
  <si>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</si>
  <si>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</si>
  <si>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</si>
  <si>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</si>
  <si>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</si>
  <si>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</si>
  <si>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</si>
  <si>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</si>
  <si>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</si>
  <si>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</si>
  <si>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</si>
  <si>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</si>
  <si>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</si>
  <si>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</si>
  <si>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</si>
  <si>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</si>
  <si>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</si>
  <si>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</si>
  <si>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</si>
  <si>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</si>
  <si>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</si>
  <si>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</si>
  <si>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</si>
  <si>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</si>
  <si>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</si>
  <si>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</si>
  <si>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</si>
  <si>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</si>
  <si>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</si>
  <si>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</si>
  <si>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</si>
  <si>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</si>
  <si>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</si>
  <si>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</si>
  <si>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</si>
  <si>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</si>
  <si>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</si>
  <si>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</si>
  <si>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</si>
  <si>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</si>
  <si>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</si>
  <si>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</si>
  <si>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</si>
  <si>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</si>
  <si>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</si>
  <si>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</si>
  <si>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</si>
  <si>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</si>
  <si>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</si>
  <si>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</si>
  <si>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</si>
  <si>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</si>
  <si>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</si>
  <si>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</si>
  <si>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</si>
  <si>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</si>
  <si>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</si>
  <si>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</si>
  <si>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</si>
  <si>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</si>
  <si>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</si>
  <si>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</si>
  <si>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</si>
  <si>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</si>
  <si>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</si>
  <si>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</si>
  <si>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</si>
  <si>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</si>
  <si>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</si>
  <si>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</si>
  <si>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</si>
  <si>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</si>
  <si>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</si>
  <si>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</si>
  <si>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</si>
  <si>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</si>
  <si>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</si>
  <si>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</si>
  <si>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</si>
  <si>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</si>
  <si>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</si>
  <si>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</si>
  <si>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</si>
  <si>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</si>
  <si>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</si>
  <si>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</si>
  <si>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</si>
  <si>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</si>
  <si>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</si>
  <si>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</si>
  <si>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</si>
  <si>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</si>
  <si>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</si>
  <si>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</si>
  <si>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</si>
  <si>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</si>
  <si>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</si>
  <si>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</si>
  <si>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</si>
  <si>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</si>
  <si>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</si>
  <si>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</si>
  <si>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</si>
  <si>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</si>
  <si>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</si>
  <si>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</si>
  <si>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</si>
  <si>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</si>
  <si>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</si>
  <si>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</si>
  <si>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</si>
  <si>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</si>
  <si>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</si>
  <si>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</si>
  <si>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</si>
  <si>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</si>
  <si>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</si>
  <si>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</si>
  <si>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</si>
  <si>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</si>
  <si>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</si>
  <si>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</si>
  <si>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</si>
  <si>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</si>
  <si>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</si>
  <si>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</si>
  <si>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</si>
  <si>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</si>
  <si>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</si>
  <si>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</si>
  <si>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</si>
  <si>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</si>
  <si>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</si>
  <si>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</si>
  <si>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</si>
  <si>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</si>
  <si>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</si>
  <si>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</si>
  <si>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</si>
  <si>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</si>
  <si>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</si>
  <si>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</si>
  <si>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</si>
  <si>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</si>
  <si>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</si>
  <si>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</si>
  <si>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</si>
  <si>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</si>
  <si>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</si>
  <si>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</si>
  <si>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</si>
  <si>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</si>
  <si>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</si>
  <si>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</si>
  <si>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</si>
  <si>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</si>
  <si>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</si>
  <si>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</si>
  <si>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</si>
  <si>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</si>
  <si>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</si>
  <si>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</si>
  <si>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</si>
  <si>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</si>
  <si>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</si>
  <si>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</si>
  <si>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</si>
  <si>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</si>
  <si>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</si>
  <si>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</si>
  <si>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</si>
  <si>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</si>
  <si>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</si>
  <si>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</si>
  <si>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</si>
  <si>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</si>
  <si>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</si>
  <si>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</si>
  <si>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</si>
  <si>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</si>
  <si>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</si>
  <si>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</si>
  <si>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</si>
  <si>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</si>
  <si>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</si>
  <si>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</si>
  <si>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</si>
  <si>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</si>
  <si>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</si>
  <si>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</si>
  <si>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</si>
  <si>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</si>
  <si>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</si>
  <si>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</si>
  <si>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</si>
  <si>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</si>
  <si>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</si>
  <si>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</si>
  <si>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</si>
  <si>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</si>
  <si>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</si>
  <si>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</si>
  <si>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</si>
  <si>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</si>
  <si>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</si>
  <si>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</si>
  <si>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</si>
  <si>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</si>
  <si>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</si>
  <si>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</si>
  <si>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</si>
  <si>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</si>
  <si>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</si>
  <si>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</si>
  <si>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</si>
  <si>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</si>
  <si>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</si>
  <si>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</si>
  <si>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</si>
  <si>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</si>
  <si>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</si>
  <si>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</si>
  <si>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</si>
  <si>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</si>
  <si>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</si>
  <si>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</si>
  <si>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</si>
  <si>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</si>
  <si>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</si>
  <si>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</si>
  <si>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</si>
  <si>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</si>
  <si>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</si>
  <si>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</si>
  <si>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</si>
  <si>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</si>
  <si>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</si>
  <si>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</si>
  <si>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</si>
  <si>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</si>
  <si>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</si>
  <si>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</si>
  <si>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</si>
  <si>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</si>
  <si>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</si>
  <si>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</si>
  <si>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</si>
  <si>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</si>
  <si>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</si>
  <si>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</si>
  <si>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</si>
  <si>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</si>
  <si>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</si>
  <si>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</si>
  <si>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</si>
  <si>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</si>
  <si>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</si>
  <si>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</si>
  <si>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</si>
  <si>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</si>
  <si>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</si>
  <si>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</si>
  <si>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</si>
  <si>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</si>
  <si>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</si>
  <si>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</si>
  <si>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</si>
  <si>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</si>
  <si>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</si>
  <si>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</si>
  <si>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</si>
  <si>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</si>
  <si>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</si>
  <si>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</si>
  <si>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</si>
  <si>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</si>
  <si>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</si>
  <si>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</si>
  <si>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</si>
  <si>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</si>
  <si>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</si>
  <si>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</si>
  <si>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</si>
  <si>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</si>
  <si>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</si>
  <si>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</si>
  <si>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</si>
  <si>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</si>
  <si>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</si>
  <si>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</si>
  <si>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</si>
  <si>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</si>
  <si>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</si>
  <si>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</si>
  <si>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</si>
  <si>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</si>
  <si>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</si>
  <si>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</si>
  <si>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</si>
  <si>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</si>
  <si>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</si>
  <si>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</si>
  <si>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</si>
  <si>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</si>
  <si>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</si>
  <si>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</si>
  <si>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</si>
  <si>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</si>
  <si>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</si>
  <si>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</si>
  <si>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</si>
  <si>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</si>
  <si>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</si>
  <si>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</si>
  <si>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</si>
  <si>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</si>
  <si>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</si>
  <si>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</si>
  <si>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</si>
  <si>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</si>
  <si>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</si>
  <si>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</si>
  <si>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</si>
  <si>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</si>
  <si>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</si>
  <si>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</si>
  <si>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</si>
  <si>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</si>
  <si>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</si>
  <si>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</si>
  <si>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</si>
  <si>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</si>
  <si>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</si>
  <si>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</si>
  <si>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</si>
  <si>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</si>
  <si>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</si>
  <si>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</si>
  <si>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</si>
  <si>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</si>
  <si>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</si>
  <si>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</si>
  <si>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</si>
  <si>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</si>
  <si>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</si>
  <si>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</si>
  <si>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</si>
  <si>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</si>
  <si>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</si>
  <si>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</si>
  <si>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</si>
  <si>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</si>
  <si>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</si>
  <si>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</si>
  <si>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</si>
  <si>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</si>
  <si>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</si>
  <si>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</si>
  <si>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</si>
  <si>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</si>
  <si>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</si>
  <si>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</si>
  <si>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</si>
  <si>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</si>
  <si>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</si>
  <si>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</si>
  <si>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</si>
  <si>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</si>
  <si>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</si>
  <si>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</si>
  <si>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</si>
  <si>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</si>
  <si>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</si>
  <si>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</si>
  <si>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</si>
  <si>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</si>
  <si>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</si>
  <si>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</si>
  <si>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</si>
  <si>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</si>
  <si>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</si>
  <si>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</si>
  <si>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</si>
  <si>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</si>
  <si>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</si>
  <si>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</si>
  <si>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</si>
  <si>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</si>
  <si>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</si>
  <si>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</si>
  <si>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</si>
  <si>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</si>
  <si>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</si>
  <si>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</si>
  <si>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</si>
  <si>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</si>
  <si>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</si>
  <si>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</si>
  <si>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</si>
  <si>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</si>
  <si>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</si>
  <si>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</si>
  <si>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</si>
  <si>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</si>
  <si>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</si>
  <si>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</si>
  <si>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</si>
  <si>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</si>
  <si>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</si>
  <si>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</si>
  <si>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</si>
  <si>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</si>
  <si>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</si>
  <si>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</si>
  <si>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</si>
  <si>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</si>
  <si>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</si>
  <si>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</si>
  <si>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</si>
  <si>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</si>
  <si>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</si>
  <si>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</si>
  <si>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</si>
  <si>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</si>
  <si>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</si>
  <si>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</si>
  <si>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</si>
  <si>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</si>
  <si>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</si>
  <si>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</si>
  <si>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</si>
  <si>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</si>
  <si>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</si>
  <si>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</si>
  <si>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</si>
  <si>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</si>
  <si>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</si>
  <si>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</si>
  <si>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</si>
  <si>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</si>
  <si>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</si>
  <si>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</si>
  <si>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</si>
  <si>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</si>
  <si>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</si>
  <si>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</si>
  <si>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</si>
  <si>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</si>
  <si>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</si>
  <si>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</si>
  <si>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</si>
  <si>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</si>
  <si>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</si>
  <si>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</si>
  <si>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</si>
  <si>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</si>
  <si>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</si>
  <si>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</si>
  <si>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</si>
  <si>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</si>
  <si>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</si>
  <si>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</si>
  <si>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</si>
  <si>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</si>
  <si>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</si>
  <si>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</si>
  <si>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</si>
  <si>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</si>
  <si>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</si>
  <si>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</si>
  <si>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</si>
  <si>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</si>
  <si>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</si>
  <si>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</si>
  <si>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</si>
  <si>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</si>
  <si>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</si>
  <si>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</si>
  <si>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</si>
  <si>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</si>
  <si>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</si>
  <si>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</si>
  <si>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</si>
  <si>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</si>
  <si>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</si>
  <si>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</si>
  <si>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</si>
  <si>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</si>
  <si>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</si>
  <si>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</si>
  <si>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</si>
  <si>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</si>
  <si>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</si>
  <si>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</si>
  <si>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</si>
  <si>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</si>
  <si>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</si>
  <si>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</si>
  <si>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</si>
  <si>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</si>
  <si>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</si>
  <si>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</si>
  <si>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</si>
  <si>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</si>
  <si>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</si>
  <si>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</si>
  <si>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</si>
  <si>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</si>
  <si>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</si>
  <si>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</si>
  <si>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</si>
  <si>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</si>
  <si>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</si>
  <si>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</si>
  <si>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</si>
  <si>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</si>
  <si>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</si>
  <si>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</si>
  <si>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</si>
  <si>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</si>
  <si>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</si>
  <si>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</si>
  <si>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</si>
  <si>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</si>
  <si>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</si>
  <si>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</si>
  <si>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</si>
  <si>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</si>
  <si>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</si>
  <si>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</si>
  <si>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</si>
  <si>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</si>
  <si>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</si>
  <si>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</si>
  <si>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</si>
  <si>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</si>
  <si>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</si>
  <si>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</si>
  <si>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</si>
  <si>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</si>
  <si>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</si>
  <si>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</si>
  <si>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</si>
  <si>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</si>
  <si>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</si>
  <si>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</si>
  <si>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</si>
  <si>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</si>
  <si>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</si>
  <si>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</si>
  <si>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</si>
  <si>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</si>
  <si>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</si>
  <si>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</si>
  <si>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</si>
  <si>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</si>
  <si>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</si>
  <si>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</si>
  <si>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</si>
  <si>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</si>
  <si>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</si>
  <si>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</si>
  <si>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</si>
  <si>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</si>
  <si>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</si>
  <si>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</si>
  <si>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</si>
  <si>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</si>
  <si>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</si>
  <si>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</si>
  <si>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</si>
  <si>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</si>
  <si>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</si>
  <si>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</si>
  <si>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</si>
  <si>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</si>
  <si>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</si>
  <si>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</si>
  <si>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</si>
  <si>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</si>
  <si>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</si>
  <si>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</si>
  <si>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</si>
  <si>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</si>
  <si>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</si>
  <si>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</si>
  <si>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</si>
  <si>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</si>
  <si>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</si>
  <si>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</si>
  <si>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</si>
  <si>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</si>
  <si>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</si>
  <si>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</si>
  <si>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</si>
  <si>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</si>
  <si>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</si>
  <si>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</si>
  <si>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</si>
  <si>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</si>
  <si>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</si>
  <si>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</si>
  <si>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</si>
  <si>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</si>
  <si>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</si>
  <si>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</si>
  <si>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</si>
  <si>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</si>
  <si>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</si>
  <si>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</si>
  <si>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</si>
  <si>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</si>
  <si>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</si>
  <si>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</si>
  <si>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</si>
  <si>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</si>
  <si>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</si>
  <si>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</si>
  <si>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</si>
  <si>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</si>
  <si>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</si>
  <si>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</si>
  <si>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</si>
  <si>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</si>
  <si>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</si>
  <si>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</si>
  <si>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</si>
  <si>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</si>
  <si>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</si>
  <si>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</si>
  <si>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</si>
  <si>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</si>
  <si>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</si>
  <si>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</si>
  <si>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</si>
  <si>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</si>
  <si>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</si>
  <si>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</si>
  <si>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</si>
  <si>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</si>
  <si>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</si>
  <si>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</si>
  <si>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</si>
  <si>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</si>
  <si>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</si>
  <si>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</si>
  <si>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</si>
  <si>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</si>
  <si>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</si>
  <si>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</si>
  <si>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</si>
  <si>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</si>
  <si>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</si>
  <si>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</si>
  <si>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</si>
  <si>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</si>
  <si>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</si>
  <si>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</si>
  <si>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</si>
  <si>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</si>
  <si>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</si>
  <si>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</si>
  <si>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</si>
  <si>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</si>
  <si>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</si>
  <si>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</si>
  <si>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</si>
  <si>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</si>
  <si>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</si>
  <si>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</si>
  <si>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</si>
  <si>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</si>
  <si>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</si>
  <si>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</si>
  <si>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</si>
  <si>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</si>
  <si>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</si>
  <si>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</si>
  <si>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</si>
  <si>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</si>
  <si>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</si>
  <si>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</si>
  <si>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</si>
  <si>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</si>
  <si>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</si>
  <si>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</si>
  <si>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</si>
  <si>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</si>
  <si>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</si>
  <si>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</si>
  <si>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</si>
  <si>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</si>
  <si>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</si>
  <si>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</si>
  <si>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</si>
  <si>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</si>
  <si>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</si>
  <si>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</si>
  <si>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</si>
  <si>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</si>
  <si>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</si>
  <si>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</si>
  <si>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</si>
  <si>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</si>
  <si>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</si>
  <si>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</si>
  <si>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</si>
  <si>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</si>
  <si>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</si>
  <si>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</si>
  <si>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</si>
  <si>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</si>
  <si>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</si>
  <si>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</si>
  <si>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</si>
  <si>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</si>
  <si>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</si>
  <si>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</si>
  <si>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</si>
  <si>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</si>
  <si>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</si>
  <si>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</si>
  <si>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</si>
  <si>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</si>
  <si>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</si>
  <si>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</si>
  <si>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</si>
  <si>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</si>
  <si>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</si>
  <si>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</si>
  <si>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</si>
  <si>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</si>
  <si>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</si>
  <si>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</si>
  <si>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</si>
  <si>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</si>
  <si>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</si>
  <si>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</si>
  <si>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</si>
  <si>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</si>
  <si>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</si>
  <si>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</si>
  <si>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</si>
  <si>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</si>
  <si>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</si>
  <si>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</si>
  <si>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</si>
  <si>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</si>
  <si>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</si>
  <si>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</si>
  <si>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</si>
  <si>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</si>
  <si>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</si>
  <si>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</si>
  <si>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</si>
  <si>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</si>
  <si>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</si>
  <si>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</si>
  <si>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</si>
  <si>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</si>
  <si>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</si>
  <si>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</si>
  <si>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</si>
  <si>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</si>
  <si>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</si>
  <si>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</si>
  <si>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</si>
  <si>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</si>
  <si>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</si>
  <si>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</si>
  <si>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</si>
  <si>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</si>
  <si>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</si>
  <si>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</si>
  <si>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</si>
  <si>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</si>
  <si>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</si>
  <si>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</si>
  <si>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</si>
  <si>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</si>
  <si>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</si>
  <si>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</si>
  <si>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</si>
  <si>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</si>
  <si>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</si>
  <si>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</si>
  <si>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</si>
  <si>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</si>
  <si>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</si>
  <si>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</si>
  <si>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</si>
  <si>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</si>
  <si>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</si>
  <si>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</si>
  <si>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</si>
  <si>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</si>
  <si>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</si>
  <si>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</si>
  <si>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</si>
  <si>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</si>
  <si>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</si>
  <si>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</si>
  <si>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</si>
  <si>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</si>
  <si>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</si>
  <si>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</si>
  <si>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</si>
  <si>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</si>
  <si>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</si>
  <si>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</si>
  <si>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</si>
  <si>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</si>
  <si>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</si>
  <si>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</si>
  <si>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</si>
  <si>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</si>
  <si>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</si>
  <si>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</si>
  <si>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</si>
  <si>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</si>
  <si>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</si>
  <si>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</si>
  <si>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</si>
  <si>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</si>
  <si>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</si>
  <si>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</si>
  <si>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</si>
  <si>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</si>
  <si>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</si>
  <si>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</si>
  <si>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</si>
  <si>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</si>
  <si>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</si>
  <si>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</si>
  <si>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</si>
  <si>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</si>
  <si>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</si>
  <si>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</si>
  <si>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</si>
  <si>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</si>
  <si>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</si>
  <si>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</si>
  <si>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</si>
  <si>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</si>
  <si>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</si>
  <si>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</si>
  <si>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</si>
  <si>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</si>
  <si>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</si>
  <si>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</si>
  <si>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</si>
  <si>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</si>
  <si>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</si>
  <si>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</si>
  <si>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</si>
  <si>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</si>
  <si>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</si>
  <si>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</si>
  <si>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</si>
  <si>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</si>
  <si>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</si>
  <si>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</si>
  <si>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</si>
  <si>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</si>
  <si>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</si>
  <si>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</si>
  <si>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</si>
  <si>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</si>
  <si>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</si>
  <si>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</si>
  <si>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</si>
  <si>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</si>
  <si>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</si>
  <si>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</si>
  <si>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</si>
  <si>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</si>
  <si>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</si>
  <si>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</si>
  <si>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</si>
  <si>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</si>
  <si>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</si>
  <si>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</si>
  <si>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</si>
  <si>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</si>
  <si>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</si>
  <si>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</si>
  <si>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</si>
  <si>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</si>
  <si>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</si>
  <si>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</si>
  <si>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</si>
  <si>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</si>
  <si>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</si>
  <si>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</si>
  <si>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</si>
  <si>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</si>
  <si>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</si>
  <si>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</si>
  <si>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</si>
  <si>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</si>
  <si>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</si>
  <si>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</si>
  <si>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</si>
  <si>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</si>
  <si>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</si>
  <si>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</si>
  <si>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</si>
  <si>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</si>
  <si>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</si>
  <si>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</si>
  <si>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</si>
  <si>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</si>
  <si>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</si>
  <si>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</si>
  <si>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</si>
  <si>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</si>
  <si>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</si>
  <si>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</si>
  <si>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</si>
  <si>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</si>
  <si>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</si>
  <si>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</si>
  <si>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</si>
  <si>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</si>
  <si>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</si>
  <si>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</si>
  <si>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</si>
  <si>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</si>
  <si>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</si>
  <si>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</si>
  <si>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</si>
  <si>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</si>
  <si>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</si>
  <si>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</si>
  <si>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</si>
  <si>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</si>
  <si>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</si>
  <si>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</si>
  <si>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</si>
  <si>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</si>
  <si>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Describes whether the patient was diagnosed before treatment of at least one of the comorbidities listed  next or not</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</si>
  <si>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</si>
  <si>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</si>
  <si>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</si>
  <si>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</si>
  <si>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</si>
  <si>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</si>
  <si>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</si>
  <si>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</si>
  <si>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</si>
  <si>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</si>
  <si>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</si>
  <si>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</si>
  <si>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</si>
  <si>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</si>
  <si>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</si>
  <si>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</si>
  <si>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</si>
  <si>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</si>
  <si>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</si>
  <si>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</si>
  <si>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</si>
  <si>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</si>
  <si>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</si>
  <si>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olliersDisease</t>
  </si>
  <si>
    <t>Olliers disease</t>
  </si>
  <si>
    <t>maffuciSyndrome</t>
  </si>
  <si>
    <t>Maffuci syndrome</t>
  </si>
  <si>
    <t>liFraumeniSyndrome</t>
  </si>
  <si>
    <t>Li-Fraumeni syndrome</t>
  </si>
  <si>
    <t>mcCuneAlbrightSyndrome</t>
  </si>
  <si>
    <t>McCune-Albright syndrome</t>
  </si>
  <si>
    <t>multipleOsteochondromas</t>
  </si>
  <si>
    <t>Multiple osteochondromas</t>
  </si>
  <si>
    <t>neurofibromatosisType1</t>
  </si>
  <si>
    <t>Neurofibromatosis type 1</t>
  </si>
  <si>
    <t>rothmundThomsonSyndrome</t>
  </si>
  <si>
    <t>Rothmund-Thomson syndrome</t>
  </si>
  <si>
    <t>wernerSyndrome</t>
  </si>
  <si>
    <t>Werner syndrome</t>
  </si>
  <si>
    <t>retinoblastoma</t>
  </si>
  <si>
    <t>Retinoblastoma</t>
  </si>
  <si>
    <t>pagetDisease</t>
  </si>
  <si>
    <t>Paget disease</t>
  </si>
  <si>
    <t>otherGeneticSyndromeWho2020</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</si>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</sst>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8"/>
      <name val="Calibri"/>
      <family val="2"/>
      <scheme val="minor"/>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8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0" fillId="3" borderId="2" xfId="0" applyFill="1" applyBorder="1"/>
    <xf numFmtId="0" fontId="0" fillId="19" borderId="2" xfId="0" applyFill="1" applyBorder="1"/>
    <xf numFmtId="0" fontId="0" fillId="19" borderId="2" xfId="0" applyFill="1" applyBorder="1" applyAlignment="1">
      <alignment wrapText="1"/>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xf numFmtId="0" fontId="0" fillId="11" borderId="0" xfId="0" applyFill="1" applyAlignment="1">
      <alignment wrapText="1"/>
    </xf>
    <xf numFmtId="0" fontId="0" fillId="4" borderId="0" xfId="0" applyFill="1" applyAlignment="1">
      <alignment wrapText="1"/>
    </xf>
    <xf numFmtId="0" fontId="14"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4"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43" fillId="10" borderId="1" xfId="0" applyFont="1" applyFill="1" applyBorder="1" applyAlignment="1">
      <alignment wrapText="1"/>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tyles" Target="styles.xml"/><Relationship Id="rId89" Type="http://schemas.openxmlformats.org/officeDocument/2006/relationships/customXml" Target="../customXml/item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onnections" Target="connections.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externalLink" Target="externalLinks/externalLink1.xml"/><Relationship Id="rId86"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10/relationships/person" Target="persons/person.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B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5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7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0"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1" t="s">
        <v>1462</v>
      </c>
      <c r="B1" s="162"/>
      <c r="C1" s="162"/>
      <c r="D1" s="162"/>
      <c r="E1" s="162"/>
      <c r="F1" s="162"/>
      <c r="G1" s="162"/>
      <c r="H1" s="162"/>
      <c r="I1" s="162"/>
      <c r="J1" s="162"/>
      <c r="K1" s="162"/>
      <c r="L1" s="162"/>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3" t="s">
        <v>1496</v>
      </c>
      <c r="B10" s="164"/>
      <c r="C10" s="164"/>
      <c r="D10" s="164"/>
      <c r="E10" s="164"/>
      <c r="F10" s="164"/>
      <c r="G10" s="164"/>
      <c r="H10" s="164"/>
      <c r="I10" s="164"/>
      <c r="J10" s="164"/>
      <c r="K10" s="164"/>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5" t="s">
        <v>1538</v>
      </c>
      <c r="B18" s="164"/>
      <c r="C18" s="164"/>
      <c r="D18" s="164"/>
      <c r="E18" s="164"/>
      <c r="F18" s="164"/>
      <c r="G18" s="164"/>
      <c r="H18" s="164"/>
      <c r="I18" s="164"/>
      <c r="J18" s="164"/>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6" t="s">
        <v>23</v>
      </c>
      <c r="B1" s="166"/>
      <c r="C1" s="166"/>
      <c r="D1" s="166"/>
      <c r="E1" s="166"/>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7" t="s">
        <v>120</v>
      </c>
      <c r="E24" s="30" t="s">
        <v>41</v>
      </c>
      <c r="F24" s="30" t="s">
        <v>118</v>
      </c>
      <c r="G24" s="30" t="s">
        <v>48</v>
      </c>
      <c r="H24" s="31" t="s">
        <v>37</v>
      </c>
    </row>
    <row r="25" spans="1:9" ht="42">
      <c r="A25" s="33" t="s">
        <v>121</v>
      </c>
      <c r="B25" s="30" t="s">
        <v>39</v>
      </c>
      <c r="C25" s="167"/>
      <c r="E25" s="30" t="s">
        <v>41</v>
      </c>
      <c r="F25" s="30" t="s">
        <v>118</v>
      </c>
      <c r="G25" s="30" t="s">
        <v>48</v>
      </c>
      <c r="H25" s="31" t="s">
        <v>37</v>
      </c>
      <c r="I25" s="42"/>
    </row>
    <row r="26" spans="1:9" ht="42">
      <c r="A26" s="33" t="s">
        <v>122</v>
      </c>
      <c r="B26" s="30" t="s">
        <v>39</v>
      </c>
      <c r="C26" s="167"/>
      <c r="E26" s="30" t="s">
        <v>41</v>
      </c>
      <c r="F26" s="30" t="s">
        <v>118</v>
      </c>
      <c r="G26" s="30" t="s">
        <v>48</v>
      </c>
      <c r="H26" s="31" t="s">
        <v>37</v>
      </c>
    </row>
    <row r="27" spans="1:9" ht="42">
      <c r="A27" s="33" t="s">
        <v>123</v>
      </c>
      <c r="B27" s="30" t="s">
        <v>39</v>
      </c>
      <c r="C27" s="167"/>
      <c r="E27" s="30" t="s">
        <v>41</v>
      </c>
      <c r="F27" s="30" t="s">
        <v>118</v>
      </c>
      <c r="G27" s="30" t="s">
        <v>48</v>
      </c>
      <c r="H27" s="31" t="s">
        <v>37</v>
      </c>
    </row>
    <row r="28" spans="1:9" ht="42">
      <c r="A28" s="33" t="s">
        <v>124</v>
      </c>
      <c r="B28" s="30" t="s">
        <v>39</v>
      </c>
      <c r="C28" s="167"/>
      <c r="E28" s="30" t="s">
        <v>41</v>
      </c>
      <c r="F28" s="30" t="s">
        <v>118</v>
      </c>
      <c r="G28" s="30" t="s">
        <v>48</v>
      </c>
      <c r="H28" s="31" t="s">
        <v>37</v>
      </c>
    </row>
    <row r="29" spans="1:9" ht="42">
      <c r="A29" s="33" t="s">
        <v>125</v>
      </c>
      <c r="B29" s="30" t="s">
        <v>39</v>
      </c>
      <c r="C29" s="167"/>
      <c r="E29" s="30" t="s">
        <v>41</v>
      </c>
      <c r="F29" s="30" t="s">
        <v>118</v>
      </c>
      <c r="G29" s="30" t="s">
        <v>48</v>
      </c>
      <c r="H29" s="31" t="s">
        <v>37</v>
      </c>
    </row>
    <row r="30" spans="1:9" ht="42">
      <c r="A30" s="33" t="s">
        <v>126</v>
      </c>
      <c r="B30" s="30" t="s">
        <v>39</v>
      </c>
      <c r="C30" s="167"/>
      <c r="E30" s="30" t="s">
        <v>41</v>
      </c>
      <c r="F30" s="30" t="s">
        <v>118</v>
      </c>
      <c r="G30" s="30" t="s">
        <v>48</v>
      </c>
      <c r="H30" s="31" t="s">
        <v>37</v>
      </c>
    </row>
    <row r="31" spans="1:9" ht="42">
      <c r="A31" s="33" t="s">
        <v>127</v>
      </c>
      <c r="B31" s="30" t="s">
        <v>39</v>
      </c>
      <c r="C31" s="167"/>
      <c r="E31" s="30" t="s">
        <v>41</v>
      </c>
      <c r="F31" s="30" t="s">
        <v>118</v>
      </c>
      <c r="G31" s="30" t="s">
        <v>48</v>
      </c>
      <c r="H31" s="31" t="s">
        <v>37</v>
      </c>
    </row>
    <row r="32" spans="1:9" ht="42">
      <c r="A32" s="33" t="s">
        <v>128</v>
      </c>
      <c r="B32" s="30" t="s">
        <v>39</v>
      </c>
      <c r="C32" s="167"/>
      <c r="E32" s="30" t="s">
        <v>41</v>
      </c>
      <c r="F32" s="30" t="s">
        <v>118</v>
      </c>
      <c r="G32" s="30" t="s">
        <v>48</v>
      </c>
      <c r="H32" s="31" t="s">
        <v>37</v>
      </c>
    </row>
    <row r="33" spans="1:9" ht="42">
      <c r="A33" s="33" t="s">
        <v>129</v>
      </c>
      <c r="B33" s="30" t="s">
        <v>39</v>
      </c>
      <c r="C33" s="167"/>
      <c r="E33" s="30" t="s">
        <v>41</v>
      </c>
      <c r="F33" s="30" t="s">
        <v>118</v>
      </c>
      <c r="G33" s="30" t="s">
        <v>48</v>
      </c>
      <c r="H33" s="31" t="s">
        <v>37</v>
      </c>
    </row>
    <row r="34" spans="1:9" ht="42">
      <c r="A34" s="33" t="s">
        <v>130</v>
      </c>
      <c r="B34" s="30" t="s">
        <v>39</v>
      </c>
      <c r="C34" s="167"/>
      <c r="E34" s="30" t="s">
        <v>41</v>
      </c>
      <c r="F34" s="30" t="s">
        <v>118</v>
      </c>
      <c r="G34" s="30" t="s">
        <v>48</v>
      </c>
      <c r="H34" s="31" t="s">
        <v>37</v>
      </c>
    </row>
    <row r="35" spans="1:9" ht="42">
      <c r="A35" s="33" t="s">
        <v>131</v>
      </c>
      <c r="B35" s="30" t="s">
        <v>39</v>
      </c>
      <c r="C35" s="167"/>
      <c r="E35" s="30" t="s">
        <v>41</v>
      </c>
      <c r="F35" s="30" t="s">
        <v>118</v>
      </c>
      <c r="G35" s="30" t="s">
        <v>48</v>
      </c>
      <c r="H35" s="31" t="s">
        <v>37</v>
      </c>
    </row>
    <row r="36" spans="1:9" ht="42">
      <c r="A36" s="33" t="s">
        <v>132</v>
      </c>
      <c r="B36" s="30" t="s">
        <v>39</v>
      </c>
      <c r="C36" s="167"/>
      <c r="E36" s="30" t="s">
        <v>41</v>
      </c>
      <c r="F36" s="30" t="s">
        <v>118</v>
      </c>
      <c r="G36" s="30" t="s">
        <v>48</v>
      </c>
      <c r="H36" s="31" t="s">
        <v>37</v>
      </c>
    </row>
    <row r="37" spans="1:9" ht="42">
      <c r="A37" s="33" t="s">
        <v>133</v>
      </c>
      <c r="B37" s="30" t="s">
        <v>39</v>
      </c>
      <c r="C37" s="167"/>
      <c r="E37" s="30" t="s">
        <v>41</v>
      </c>
      <c r="F37" s="30" t="s">
        <v>118</v>
      </c>
      <c r="G37" s="30" t="s">
        <v>48</v>
      </c>
      <c r="H37" s="31" t="s">
        <v>37</v>
      </c>
    </row>
    <row r="38" spans="1:9" ht="42">
      <c r="A38" s="33" t="s">
        <v>134</v>
      </c>
      <c r="B38" s="30" t="s">
        <v>39</v>
      </c>
      <c r="C38" s="167"/>
      <c r="E38" s="30" t="s">
        <v>41</v>
      </c>
      <c r="F38" s="30" t="s">
        <v>118</v>
      </c>
      <c r="G38" s="30" t="s">
        <v>48</v>
      </c>
      <c r="H38" s="31" t="s">
        <v>37</v>
      </c>
    </row>
    <row r="39" spans="1:9" ht="42">
      <c r="A39" s="33" t="s">
        <v>135</v>
      </c>
      <c r="B39" s="30" t="s">
        <v>39</v>
      </c>
      <c r="C39" s="167"/>
      <c r="E39" s="30" t="s">
        <v>41</v>
      </c>
      <c r="F39" s="30" t="s">
        <v>118</v>
      </c>
      <c r="G39" s="30" t="s">
        <v>48</v>
      </c>
      <c r="H39" s="31" t="s">
        <v>37</v>
      </c>
    </row>
    <row r="40" spans="1:9" ht="42">
      <c r="A40" s="33" t="s">
        <v>136</v>
      </c>
      <c r="B40" s="30" t="s">
        <v>39</v>
      </c>
      <c r="C40" s="167"/>
      <c r="E40" s="30" t="s">
        <v>41</v>
      </c>
      <c r="F40" s="30" t="s">
        <v>118</v>
      </c>
      <c r="G40" s="30" t="s">
        <v>48</v>
      </c>
      <c r="H40" s="31" t="s">
        <v>37</v>
      </c>
    </row>
    <row r="41" spans="1:9" ht="42">
      <c r="A41" s="33" t="s">
        <v>137</v>
      </c>
      <c r="B41" s="30" t="s">
        <v>39</v>
      </c>
      <c r="C41" s="167"/>
      <c r="E41" s="30" t="s">
        <v>41</v>
      </c>
      <c r="F41" s="30" t="s">
        <v>118</v>
      </c>
      <c r="G41" s="30" t="s">
        <v>48</v>
      </c>
      <c r="H41" s="31" t="s">
        <v>37</v>
      </c>
    </row>
    <row r="42" spans="1:9" ht="42">
      <c r="A42" s="33" t="s">
        <v>138</v>
      </c>
      <c r="B42" s="30" t="s">
        <v>39</v>
      </c>
      <c r="C42" s="167"/>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1760</v>
      </c>
      <c r="B1" s="100" t="s">
        <v>1759</v>
      </c>
      <c r="C1" s="100" t="s">
        <v>1758</v>
      </c>
      <c r="D1" s="100" t="s">
        <v>4</v>
      </c>
      <c r="E1" s="100" t="s">
        <v>7</v>
      </c>
      <c r="F1" s="100" t="s">
        <v>1469</v>
      </c>
      <c r="G1" s="100" t="s">
        <v>1757</v>
      </c>
      <c r="H1" s="100" t="s">
        <v>5</v>
      </c>
      <c r="I1" s="100" t="s">
        <v>6</v>
      </c>
    </row>
    <row r="2" spans="1:11">
      <c r="A2">
        <v>0</v>
      </c>
      <c r="B2" t="s">
        <v>1756</v>
      </c>
      <c r="C2" t="s">
        <v>14</v>
      </c>
      <c r="D2" t="s">
        <v>1755</v>
      </c>
      <c r="E2" t="s">
        <v>1754</v>
      </c>
      <c r="F2" t="s">
        <v>1753</v>
      </c>
      <c r="H2">
        <v>1</v>
      </c>
      <c r="I2">
        <v>1</v>
      </c>
      <c r="K2" s="112"/>
    </row>
    <row r="3" spans="1:11">
      <c r="A3">
        <v>1</v>
      </c>
      <c r="B3" t="s">
        <v>1752</v>
      </c>
      <c r="C3" t="s">
        <v>1472</v>
      </c>
      <c r="D3" t="s">
        <v>1475</v>
      </c>
      <c r="E3" t="s">
        <v>209</v>
      </c>
      <c r="F3" t="s">
        <v>213</v>
      </c>
      <c r="H3">
        <v>1</v>
      </c>
      <c r="I3">
        <v>1</v>
      </c>
    </row>
    <row r="4" spans="1:11">
      <c r="A4">
        <v>2</v>
      </c>
      <c r="B4" t="s">
        <v>1751</v>
      </c>
      <c r="C4" t="s">
        <v>1479</v>
      </c>
      <c r="D4" t="s">
        <v>1750</v>
      </c>
      <c r="E4" t="s">
        <v>1749</v>
      </c>
      <c r="F4" t="s">
        <v>1748</v>
      </c>
      <c r="H4">
        <v>1</v>
      </c>
      <c r="I4">
        <v>1</v>
      </c>
    </row>
    <row r="5" spans="1:11">
      <c r="A5">
        <v>3</v>
      </c>
      <c r="B5" t="s">
        <v>1747</v>
      </c>
      <c r="C5" t="s">
        <v>1483</v>
      </c>
      <c r="D5" t="s">
        <v>1484</v>
      </c>
      <c r="E5" t="s">
        <v>1485</v>
      </c>
      <c r="F5" t="s">
        <v>1488</v>
      </c>
      <c r="H5">
        <v>1</v>
      </c>
      <c r="I5">
        <v>1</v>
      </c>
    </row>
    <row r="6" spans="1:11">
      <c r="A6">
        <v>4</v>
      </c>
      <c r="B6" t="s">
        <v>1746</v>
      </c>
      <c r="C6" t="s">
        <v>1745</v>
      </c>
      <c r="D6" t="s">
        <v>1744</v>
      </c>
      <c r="E6" t="s">
        <v>275</v>
      </c>
      <c r="F6" t="s">
        <v>1743</v>
      </c>
      <c r="G6" t="s">
        <v>1743</v>
      </c>
      <c r="H6">
        <v>0</v>
      </c>
      <c r="I6">
        <v>1</v>
      </c>
    </row>
    <row r="7" spans="1:11">
      <c r="A7">
        <v>5</v>
      </c>
      <c r="B7" t="s">
        <v>1742</v>
      </c>
      <c r="C7" t="s">
        <v>1489</v>
      </c>
      <c r="D7" t="s">
        <v>1491</v>
      </c>
      <c r="E7" t="s">
        <v>275</v>
      </c>
      <c r="F7" t="s">
        <v>1741</v>
      </c>
      <c r="G7" t="s">
        <v>1740</v>
      </c>
      <c r="H7">
        <v>1</v>
      </c>
      <c r="I7">
        <v>1</v>
      </c>
    </row>
    <row r="8" spans="1:11">
      <c r="A8">
        <v>7</v>
      </c>
      <c r="B8" t="s">
        <v>1739</v>
      </c>
      <c r="C8" t="s">
        <v>1499</v>
      </c>
      <c r="D8" t="s">
        <v>1500</v>
      </c>
      <c r="E8" t="s">
        <v>185</v>
      </c>
      <c r="F8" t="s">
        <v>1738</v>
      </c>
      <c r="G8" t="s">
        <v>1737</v>
      </c>
      <c r="H8">
        <v>1</v>
      </c>
      <c r="I8">
        <v>1</v>
      </c>
    </row>
    <row r="9" spans="1:11">
      <c r="A9">
        <v>8</v>
      </c>
      <c r="B9" t="s">
        <v>1736</v>
      </c>
      <c r="C9" t="s">
        <v>1505</v>
      </c>
      <c r="D9" t="s">
        <v>1506</v>
      </c>
      <c r="E9" t="s">
        <v>185</v>
      </c>
      <c r="F9" t="s">
        <v>1735</v>
      </c>
      <c r="G9" t="s">
        <v>1734</v>
      </c>
      <c r="H9">
        <v>1</v>
      </c>
      <c r="I9">
        <v>1</v>
      </c>
    </row>
    <row r="10" spans="1:11">
      <c r="A10">
        <v>9</v>
      </c>
      <c r="B10" t="s">
        <v>1733</v>
      </c>
      <c r="C10" t="s">
        <v>1511</v>
      </c>
      <c r="D10" t="s">
        <v>1512</v>
      </c>
      <c r="E10" t="s">
        <v>185</v>
      </c>
      <c r="F10" t="s">
        <v>1732</v>
      </c>
      <c r="G10" t="s">
        <v>1731</v>
      </c>
      <c r="H10">
        <v>1</v>
      </c>
      <c r="I10">
        <v>1</v>
      </c>
    </row>
    <row r="11" spans="1:11">
      <c r="A11">
        <v>10</v>
      </c>
      <c r="B11" t="s">
        <v>1730</v>
      </c>
      <c r="C11" t="s">
        <v>1517</v>
      </c>
      <c r="D11" t="s">
        <v>1518</v>
      </c>
      <c r="E11" t="s">
        <v>185</v>
      </c>
      <c r="F11" t="s">
        <v>1729</v>
      </c>
      <c r="G11" t="s">
        <v>1728</v>
      </c>
      <c r="H11">
        <v>1</v>
      </c>
      <c r="I11">
        <v>1</v>
      </c>
    </row>
    <row r="12" spans="1:11">
      <c r="A12">
        <v>11</v>
      </c>
      <c r="B12" t="s">
        <v>1727</v>
      </c>
      <c r="C12" t="s">
        <v>1523</v>
      </c>
      <c r="D12" t="s">
        <v>1524</v>
      </c>
      <c r="E12" t="s">
        <v>185</v>
      </c>
      <c r="F12" t="s">
        <v>1726</v>
      </c>
      <c r="G12" t="s">
        <v>1725</v>
      </c>
      <c r="H12">
        <v>1</v>
      </c>
      <c r="I12">
        <v>1</v>
      </c>
    </row>
    <row r="13" spans="1:11">
      <c r="A13">
        <v>13</v>
      </c>
      <c r="B13" t="s">
        <v>1724</v>
      </c>
      <c r="C13" t="s">
        <v>1539</v>
      </c>
      <c r="D13" t="s">
        <v>1541</v>
      </c>
      <c r="E13" t="s">
        <v>185</v>
      </c>
      <c r="F13" t="s">
        <v>1723</v>
      </c>
      <c r="G13" t="s">
        <v>1722</v>
      </c>
      <c r="H13">
        <v>1</v>
      </c>
      <c r="I13">
        <v>1</v>
      </c>
    </row>
    <row r="14" spans="1:11">
      <c r="A14">
        <v>14</v>
      </c>
      <c r="B14" t="s">
        <v>1721</v>
      </c>
      <c r="C14" t="s">
        <v>1545</v>
      </c>
      <c r="D14" t="s">
        <v>1546</v>
      </c>
      <c r="E14" t="s">
        <v>185</v>
      </c>
      <c r="F14" t="s">
        <v>1720</v>
      </c>
      <c r="G14" t="s">
        <v>1719</v>
      </c>
      <c r="H14">
        <v>1</v>
      </c>
      <c r="I14">
        <v>1</v>
      </c>
    </row>
    <row r="15" spans="1:11">
      <c r="A15">
        <v>15</v>
      </c>
      <c r="B15" t="s">
        <v>1718</v>
      </c>
      <c r="C15" t="s">
        <v>1548</v>
      </c>
      <c r="D15" t="s">
        <v>1549</v>
      </c>
      <c r="E15" t="s">
        <v>185</v>
      </c>
      <c r="F15" t="s">
        <v>1717</v>
      </c>
      <c r="G15" t="s">
        <v>1716</v>
      </c>
      <c r="H15">
        <v>1</v>
      </c>
      <c r="I15">
        <v>1</v>
      </c>
    </row>
    <row r="16" spans="1:11">
      <c r="A16">
        <v>16</v>
      </c>
      <c r="B16" t="s">
        <v>1715</v>
      </c>
      <c r="C16" t="s">
        <v>1551</v>
      </c>
      <c r="D16" t="s">
        <v>1552</v>
      </c>
      <c r="E16" t="s">
        <v>185</v>
      </c>
      <c r="F16" t="s">
        <v>1714</v>
      </c>
      <c r="G16" t="s">
        <v>1713</v>
      </c>
      <c r="H16">
        <v>1</v>
      </c>
      <c r="I16">
        <v>1</v>
      </c>
    </row>
    <row r="17" spans="1:9">
      <c r="A17">
        <v>17</v>
      </c>
      <c r="B17" t="s">
        <v>1712</v>
      </c>
      <c r="C17" t="s">
        <v>1554</v>
      </c>
      <c r="D17" t="s">
        <v>1555</v>
      </c>
      <c r="E17" t="s">
        <v>185</v>
      </c>
      <c r="F17" t="s">
        <v>1711</v>
      </c>
      <c r="G17" t="s">
        <v>1710</v>
      </c>
      <c r="H17">
        <v>1</v>
      </c>
      <c r="I17">
        <v>1</v>
      </c>
    </row>
    <row r="18" spans="1:9">
      <c r="A18">
        <v>18</v>
      </c>
      <c r="B18" t="s">
        <v>1709</v>
      </c>
      <c r="C18" t="s">
        <v>1557</v>
      </c>
      <c r="D18" t="s">
        <v>1558</v>
      </c>
      <c r="E18" t="s">
        <v>185</v>
      </c>
      <c r="F18" t="s">
        <v>1559</v>
      </c>
      <c r="G18" t="s">
        <v>1708</v>
      </c>
      <c r="H18">
        <v>1</v>
      </c>
      <c r="I18">
        <v>1</v>
      </c>
    </row>
    <row r="19" spans="1:9">
      <c r="A19">
        <v>19</v>
      </c>
      <c r="B19" t="s">
        <v>1707</v>
      </c>
      <c r="C19" t="s">
        <v>1560</v>
      </c>
      <c r="D19" t="s">
        <v>1561</v>
      </c>
      <c r="E19" t="s">
        <v>185</v>
      </c>
      <c r="F19" t="s">
        <v>1562</v>
      </c>
      <c r="G19" t="s">
        <v>1706</v>
      </c>
      <c r="H19">
        <v>1</v>
      </c>
      <c r="I19">
        <v>1</v>
      </c>
    </row>
    <row r="20" spans="1:9">
      <c r="A20">
        <v>20</v>
      </c>
      <c r="B20" t="s">
        <v>1705</v>
      </c>
      <c r="C20" t="s">
        <v>1563</v>
      </c>
      <c r="D20" t="s">
        <v>1564</v>
      </c>
      <c r="E20" t="s">
        <v>185</v>
      </c>
      <c r="F20" t="s">
        <v>1566</v>
      </c>
      <c r="G20" t="s">
        <v>1702</v>
      </c>
      <c r="H20">
        <v>0</v>
      </c>
      <c r="I20">
        <v>1</v>
      </c>
    </row>
    <row r="21" spans="1:9">
      <c r="A21">
        <v>21</v>
      </c>
      <c r="B21" t="s">
        <v>1704</v>
      </c>
      <c r="C21" t="s">
        <v>1574</v>
      </c>
      <c r="D21" t="s">
        <v>1575</v>
      </c>
      <c r="E21" t="s">
        <v>185</v>
      </c>
      <c r="F21" t="s">
        <v>1577</v>
      </c>
      <c r="G21" t="s">
        <v>1702</v>
      </c>
      <c r="H21">
        <v>0</v>
      </c>
      <c r="I21">
        <v>1</v>
      </c>
    </row>
    <row r="22" spans="1:9">
      <c r="A22">
        <v>22</v>
      </c>
      <c r="B22" t="s">
        <v>1703</v>
      </c>
      <c r="C22" t="s">
        <v>1600</v>
      </c>
      <c r="D22" t="s">
        <v>1601</v>
      </c>
      <c r="E22" t="s">
        <v>185</v>
      </c>
      <c r="F22" t="s">
        <v>1585</v>
      </c>
      <c r="G22" t="s">
        <v>1702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C13" zoomScale="84" zoomScaleNormal="100" workbookViewId="0">
      <selection activeCell="F13" sqref="F13"/>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1783</v>
      </c>
      <c r="J4" s="16" t="str">
        <f>CONCATENATE("Logical: ",B4)</f>
        <v>Logical: CancerEpisodeI4rc</v>
      </c>
    </row>
    <row r="5" spans="1:12">
      <c r="A5" s="14" t="s">
        <v>16</v>
      </c>
      <c r="B5" s="46" t="s">
        <v>1784</v>
      </c>
      <c r="J5" s="16" t="str">
        <f>CONCATENATE("Id: ",B5)</f>
        <v>Id: CancerEpisode</v>
      </c>
    </row>
    <row r="6" spans="1:12">
      <c r="A6" s="14" t="s">
        <v>10</v>
      </c>
      <c r="B6" s="47" t="s">
        <v>1887</v>
      </c>
      <c r="J6" s="17" t="str">
        <f>CONCATENATE("Title: ##34#",B6,"##34#")</f>
        <v>Title: ##34#Cancer  Episode##34#</v>
      </c>
    </row>
    <row r="7" spans="1:12" ht="30.25" thickBot="1">
      <c r="A7" s="26" t="s">
        <v>2</v>
      </c>
      <c r="B7" s="48" t="s">
        <v>1785</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1800</v>
      </c>
      <c r="C8" s="12" t="s">
        <v>14</v>
      </c>
      <c r="D8" s="12" t="s">
        <v>1755</v>
      </c>
      <c r="E8" s="11">
        <v>1</v>
      </c>
      <c r="F8" s="11">
        <v>1</v>
      </c>
      <c r="G8" s="113" t="s">
        <v>1778</v>
      </c>
      <c r="H8" s="12" t="s">
        <v>1753</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1801</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1802</v>
      </c>
      <c r="C10" s="12" t="s">
        <v>1479</v>
      </c>
      <c r="D10" s="12" t="s">
        <v>1750</v>
      </c>
      <c r="E10" s="11">
        <v>1</v>
      </c>
      <c r="F10" s="11">
        <v>1</v>
      </c>
      <c r="G10" s="108" t="s">
        <v>1781</v>
      </c>
      <c r="H10" s="12" t="s">
        <v>1748</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1803</v>
      </c>
      <c r="C11" s="12" t="s">
        <v>1483</v>
      </c>
      <c r="D11" s="12" t="s">
        <v>1484</v>
      </c>
      <c r="E11" s="11">
        <v>1</v>
      </c>
      <c r="F11" s="11">
        <v>1</v>
      </c>
      <c r="G11" s="108" t="s">
        <v>1779</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1804</v>
      </c>
      <c r="C12" s="12" t="s">
        <v>1745</v>
      </c>
      <c r="D12" s="12" t="s">
        <v>1744</v>
      </c>
      <c r="E12" s="11">
        <v>0</v>
      </c>
      <c r="F12" s="11">
        <v>1</v>
      </c>
      <c r="G12" s="108" t="s">
        <v>1781</v>
      </c>
      <c r="H12" s="115" t="s">
        <v>1761</v>
      </c>
      <c r="I12" s="25"/>
      <c r="J12" s="12" t="str">
        <f t="shared" si="0"/>
        <v>* grading 0..1 CodeableConcept ##34#Grading##34# ##334#Grading of the cancer##334#</v>
      </c>
      <c r="L12" s="12" t="str">
        <f t="shared" si="1"/>
        <v>* grading ^comment = ##334#Check thisCheck this##334#</v>
      </c>
    </row>
    <row r="13" spans="1:12" s="2" customFormat="1" ht="339.25">
      <c r="A13" s="11">
        <v>5</v>
      </c>
      <c r="B13" s="109" t="s">
        <v>1805</v>
      </c>
      <c r="C13" s="12" t="s">
        <v>1489</v>
      </c>
      <c r="D13" s="12" t="s">
        <v>1491</v>
      </c>
      <c r="E13" s="11">
        <v>1</v>
      </c>
      <c r="F13" s="11">
        <v>1</v>
      </c>
      <c r="G13" s="108" t="s">
        <v>1781</v>
      </c>
      <c r="H13" s="12" t="s">
        <v>1762</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1806</v>
      </c>
      <c r="C14" s="4" t="s">
        <v>1780</v>
      </c>
      <c r="D14" s="4" t="s">
        <v>1780</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1807</v>
      </c>
      <c r="C15" s="12" t="s">
        <v>1499</v>
      </c>
      <c r="D15" s="12" t="s">
        <v>1500</v>
      </c>
      <c r="E15" s="117">
        <v>1</v>
      </c>
      <c r="F15" s="11">
        <v>1</v>
      </c>
      <c r="G15" s="114" t="s">
        <v>1781</v>
      </c>
      <c r="H15" s="12" t="s">
        <v>1763</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1808</v>
      </c>
      <c r="C16" s="12" t="s">
        <v>1505</v>
      </c>
      <c r="D16" s="12" t="s">
        <v>1506</v>
      </c>
      <c r="E16" s="117">
        <v>1</v>
      </c>
      <c r="F16" s="11">
        <v>1</v>
      </c>
      <c r="G16" s="114" t="s">
        <v>1781</v>
      </c>
      <c r="H16" s="12" t="s">
        <v>1764</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1809</v>
      </c>
      <c r="C17" s="12" t="s">
        <v>1511</v>
      </c>
      <c r="D17" s="12" t="s">
        <v>1512</v>
      </c>
      <c r="E17" s="117">
        <v>1</v>
      </c>
      <c r="F17" s="11">
        <v>1</v>
      </c>
      <c r="G17" s="114" t="s">
        <v>1781</v>
      </c>
      <c r="H17" s="12" t="s">
        <v>1765</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1810</v>
      </c>
      <c r="C18" s="12" t="s">
        <v>1517</v>
      </c>
      <c r="D18" s="12" t="s">
        <v>1518</v>
      </c>
      <c r="E18" s="117">
        <v>1</v>
      </c>
      <c r="F18" s="11">
        <v>1</v>
      </c>
      <c r="G18" s="114" t="s">
        <v>1781</v>
      </c>
      <c r="H18" s="12" t="s">
        <v>1766</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1811</v>
      </c>
      <c r="C19" s="12" t="s">
        <v>1523</v>
      </c>
      <c r="D19" s="12" t="s">
        <v>1524</v>
      </c>
      <c r="E19" s="117">
        <v>1</v>
      </c>
      <c r="F19" s="11">
        <v>1</v>
      </c>
      <c r="G19" s="114" t="s">
        <v>1781</v>
      </c>
      <c r="H19" s="12" t="s">
        <v>1767</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1815</v>
      </c>
      <c r="C20" s="12" t="s">
        <v>1539</v>
      </c>
      <c r="D20" s="12" t="s">
        <v>1541</v>
      </c>
      <c r="E20" s="117">
        <v>1</v>
      </c>
      <c r="F20" s="11">
        <v>1</v>
      </c>
      <c r="G20" s="114" t="s">
        <v>1781</v>
      </c>
      <c r="H20" s="12" t="s">
        <v>1768</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1816</v>
      </c>
      <c r="C21" s="12" t="s">
        <v>1545</v>
      </c>
      <c r="D21" s="12" t="s">
        <v>1546</v>
      </c>
      <c r="E21" s="117">
        <v>1</v>
      </c>
      <c r="F21" s="11">
        <v>1</v>
      </c>
      <c r="G21" s="114" t="s">
        <v>1781</v>
      </c>
      <c r="H21" s="12" t="s">
        <v>1769</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1821</v>
      </c>
      <c r="C22" s="12" t="s">
        <v>1548</v>
      </c>
      <c r="D22" s="12" t="s">
        <v>1549</v>
      </c>
      <c r="E22" s="117">
        <v>1</v>
      </c>
      <c r="F22" s="11">
        <v>1</v>
      </c>
      <c r="G22" s="114" t="s">
        <v>1781</v>
      </c>
      <c r="H22" s="12" t="s">
        <v>1770</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1817</v>
      </c>
      <c r="C23" s="12" t="s">
        <v>1551</v>
      </c>
      <c r="D23" s="12" t="s">
        <v>1552</v>
      </c>
      <c r="E23" s="117">
        <v>1</v>
      </c>
      <c r="F23" s="11">
        <v>1</v>
      </c>
      <c r="G23" s="114" t="s">
        <v>1781</v>
      </c>
      <c r="H23" s="12" t="s">
        <v>1771</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1819</v>
      </c>
      <c r="C24" s="12" t="s">
        <v>1554</v>
      </c>
      <c r="D24" s="12" t="s">
        <v>1555</v>
      </c>
      <c r="E24" s="117">
        <v>1</v>
      </c>
      <c r="F24" s="11">
        <v>1</v>
      </c>
      <c r="G24" s="114" t="s">
        <v>1781</v>
      </c>
      <c r="H24" s="12" t="s">
        <v>1772</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1818</v>
      </c>
      <c r="C25" s="12" t="s">
        <v>1557</v>
      </c>
      <c r="D25" s="12" t="s">
        <v>1558</v>
      </c>
      <c r="E25" s="117">
        <v>1</v>
      </c>
      <c r="F25" s="11">
        <v>1</v>
      </c>
      <c r="G25" s="114" t="s">
        <v>1781</v>
      </c>
      <c r="H25" s="12" t="s">
        <v>1773</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1820</v>
      </c>
      <c r="C26" s="12" t="s">
        <v>1560</v>
      </c>
      <c r="D26" s="12" t="s">
        <v>1561</v>
      </c>
      <c r="E26" s="117">
        <v>1</v>
      </c>
      <c r="F26" s="11">
        <v>1</v>
      </c>
      <c r="G26" s="114" t="s">
        <v>1781</v>
      </c>
      <c r="H26" s="12" t="s">
        <v>1774</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1812</v>
      </c>
      <c r="C27" s="12" t="s">
        <v>1563</v>
      </c>
      <c r="D27" s="12" t="s">
        <v>1564</v>
      </c>
      <c r="E27" s="11">
        <v>0</v>
      </c>
      <c r="F27" s="11">
        <v>1</v>
      </c>
      <c r="G27" s="114" t="s">
        <v>1781</v>
      </c>
      <c r="H27" s="12" t="s">
        <v>1775</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1813</v>
      </c>
      <c r="C28" s="12" t="s">
        <v>1574</v>
      </c>
      <c r="D28" s="12" t="s">
        <v>1575</v>
      </c>
      <c r="E28" s="11">
        <v>0</v>
      </c>
      <c r="F28" s="11">
        <v>1</v>
      </c>
      <c r="G28" s="114" t="s">
        <v>1781</v>
      </c>
      <c r="H28" s="12" t="s">
        <v>1776</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1814</v>
      </c>
      <c r="C29" s="12" t="s">
        <v>2228</v>
      </c>
      <c r="D29" s="12" t="s">
        <v>1601</v>
      </c>
      <c r="E29" s="11">
        <v>0</v>
      </c>
      <c r="F29" s="11">
        <v>1</v>
      </c>
      <c r="G29" s="114" t="s">
        <v>1781</v>
      </c>
      <c r="H29" s="12" t="s">
        <v>1777</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topLeftCell="A4"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1782</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1701</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C32" workbookViewId="0">
      <selection activeCell="G33" sqref="G3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1860</v>
      </c>
      <c r="D3" s="62" t="s">
        <v>1786</v>
      </c>
      <c r="E3" s="118" t="str">
        <f>$C$1&amp;CancerEpisode!B5</f>
        <v>http://hl7.eu/fhir/ig/idea4rc/StructureDefinition/CancerEpisode</v>
      </c>
    </row>
    <row r="4" spans="1:19">
      <c r="B4" s="62" t="s">
        <v>16</v>
      </c>
      <c r="C4" s="28" t="s">
        <v>1795</v>
      </c>
      <c r="D4" s="62" t="s">
        <v>1787</v>
      </c>
      <c r="E4" s="168" t="s">
        <v>1799</v>
      </c>
      <c r="F4" s="169"/>
      <c r="G4" s="169"/>
    </row>
    <row r="5" spans="1:19">
      <c r="B5" s="62" t="s">
        <v>10</v>
      </c>
      <c r="C5" s="7" t="s">
        <v>1796</v>
      </c>
      <c r="D5" s="62"/>
      <c r="E5" s="7"/>
    </row>
    <row r="6" spans="1:19">
      <c r="B6" s="62" t="s">
        <v>18</v>
      </c>
      <c r="C6" s="56"/>
      <c r="D6" s="62" t="s">
        <v>1788</v>
      </c>
      <c r="E6" s="168" t="str">
        <f>E3</f>
        <v>http://hl7.eu/fhir/ig/idea4rc/StructureDefinition/CancerEpisode</v>
      </c>
      <c r="F6" s="169"/>
      <c r="G6" s="169"/>
    </row>
    <row r="7" spans="1:19">
      <c r="B7" s="62" t="s">
        <v>15</v>
      </c>
      <c r="C7" s="119"/>
      <c r="D7" s="62" t="s">
        <v>1789</v>
      </c>
      <c r="E7" s="168" t="s">
        <v>1799</v>
      </c>
      <c r="F7" s="169"/>
      <c r="G7" s="169"/>
    </row>
    <row r="8" spans="1:19" ht="44.25">
      <c r="B8" s="62" t="s">
        <v>1790</v>
      </c>
      <c r="C8" s="120" t="s">
        <v>1796</v>
      </c>
      <c r="D8" s="62"/>
      <c r="E8" s="7"/>
      <c r="I8" s="12" t="s">
        <v>1402</v>
      </c>
      <c r="J8" s="12" t="s">
        <v>1403</v>
      </c>
      <c r="K8" s="12" t="s">
        <v>1404</v>
      </c>
      <c r="L8" s="12" t="s">
        <v>1405</v>
      </c>
      <c r="M8" s="11" t="s">
        <v>1406</v>
      </c>
      <c r="P8" s="49" t="s">
        <v>1441</v>
      </c>
      <c r="Q8" s="49">
        <v>6</v>
      </c>
    </row>
    <row r="9" spans="1:19" ht="29.5">
      <c r="B9" s="62" t="s">
        <v>1791</v>
      </c>
      <c r="C9" s="12" t="s">
        <v>1797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1822</v>
      </c>
      <c r="E14" s="6"/>
      <c r="F14" s="64"/>
      <c r="G14" s="64"/>
      <c r="I14" s="12"/>
      <c r="J14" s="11"/>
      <c r="K14" s="11"/>
      <c r="L14" s="11"/>
      <c r="M14" s="63"/>
      <c r="N14" s="66"/>
    </row>
    <row r="15" spans="1:19" ht="44.25">
      <c r="A15" s="59"/>
      <c r="B15" s="11" t="str">
        <f>CancerEpisode!B8</f>
        <v>patient</v>
      </c>
      <c r="C15" s="11" t="str">
        <f>CancerEpisode!C8</f>
        <v>Patient</v>
      </c>
      <c r="D15" s="12" t="s">
        <v>1823</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1826</v>
      </c>
      <c r="E16" s="11"/>
      <c r="F16" s="64" t="s">
        <v>1407</v>
      </c>
      <c r="G16" s="121" t="s">
        <v>1792</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1827</v>
      </c>
      <c r="E17" s="11"/>
      <c r="F17" s="64" t="s">
        <v>1407</v>
      </c>
      <c r="G17" s="123" t="s">
        <v>1894</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1825</v>
      </c>
      <c r="E18" s="11"/>
      <c r="F18" s="64" t="s">
        <v>1430</v>
      </c>
      <c r="G18" s="124" t="s">
        <v>1828</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1829</v>
      </c>
      <c r="E19" s="11"/>
      <c r="F19" s="64" t="s">
        <v>1407</v>
      </c>
      <c r="G19" s="64" t="s">
        <v>1792</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6" t="str">
        <f>CancerEpisode!B13</f>
        <v>histologyGroup</v>
      </c>
      <c r="C20" s="11" t="str">
        <f>CancerEpisode!C13</f>
        <v>Histology (WHO 2017) group</v>
      </c>
      <c r="D20" s="12" t="s">
        <v>1859</v>
      </c>
      <c r="E20" s="11"/>
      <c r="F20" s="64" t="s">
        <v>1407</v>
      </c>
      <c r="G20" s="123" t="s">
        <v>1895</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1442</v>
      </c>
      <c r="E21" s="11"/>
      <c r="F21" s="64" t="s">
        <v>1407</v>
      </c>
      <c r="G21" s="147" t="s">
        <v>2389</v>
      </c>
      <c r="H21" s="58"/>
      <c r="I21" s="12" t="str">
        <f t="shared" si="7"/>
        <v>* group[=].element[+].code = #CancerEpisode.histologySubGroup</v>
      </c>
      <c r="J21" s="12" t="str">
        <f t="shared" si="8"/>
        <v>* group[=].element[=].display = ##34#Histology Subgroups##34#</v>
      </c>
      <c r="K21" s="12" t="str">
        <f t="shared" si="9"/>
        <v>* group[=].element[=].target.code = #Condition.code</v>
      </c>
      <c r="L21" s="12" t="str">
        <f t="shared" si="10"/>
        <v>* group[=].element[=].target.display = ##34###34#</v>
      </c>
      <c r="M21" s="12" t="str">
        <f t="shared" si="11"/>
        <v>* group[=].element[=].target.equivalence = #relatedto</v>
      </c>
      <c r="N21" s="12" t="str">
        <f t="shared" si="12"/>
        <v>* group[=].element[=].target.comment = ##34#To be checked, linked to the code since the concpet includes both morhphology and topography##34#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1442</v>
      </c>
      <c r="E22" s="11"/>
      <c r="F22" s="64" t="s">
        <v>1407</v>
      </c>
      <c r="G22" s="147" t="s">
        <v>2389</v>
      </c>
      <c r="H22" s="58"/>
      <c r="I22" s="12" t="str">
        <f t="shared" si="7"/>
        <v>* group[=].element[+].code = #CancerEpisode.histologySubGroup.histologySquamous</v>
      </c>
      <c r="J22" s="12" t="str">
        <f t="shared" si="8"/>
        <v>* group[=].element[=].display = ##34#Histology Squamous##34#</v>
      </c>
      <c r="K22" s="12" t="str">
        <f t="shared" si="9"/>
        <v>* group[=].element[=].target.code = #Condition.code</v>
      </c>
      <c r="L22" s="12" t="str">
        <f t="shared" si="10"/>
        <v>* group[=].element[=].target.display = ##34###34#</v>
      </c>
      <c r="M22" s="12" t="str">
        <f t="shared" si="11"/>
        <v>* group[=].element[=].target.equivalence = #relatedto</v>
      </c>
      <c r="N22" s="12" t="str">
        <f t="shared" si="12"/>
        <v>* group[=].element[=].target.comment = ##34#To be checked, linked to the code since the concpet includes both morhphology and topography##34#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1442</v>
      </c>
      <c r="E23" s="11"/>
      <c r="F23" s="64" t="s">
        <v>1407</v>
      </c>
      <c r="G23" s="147" t="s">
        <v>2389</v>
      </c>
      <c r="H23" s="58"/>
      <c r="I23" s="12" t="str">
        <f t="shared" si="7"/>
        <v>* group[=].element[+].code = #CancerEpisode.histologySubGroup.histologyAdenocarcinoma</v>
      </c>
      <c r="J23" s="12" t="str">
        <f t="shared" si="8"/>
        <v>* group[=].element[=].display = ##34#Histology Adenocarcinoma##34#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1442</v>
      </c>
      <c r="E24" s="11"/>
      <c r="F24" s="64" t="s">
        <v>1407</v>
      </c>
      <c r="G24" s="147" t="s">
        <v>2389</v>
      </c>
      <c r="H24" s="58"/>
      <c r="I24" s="12" t="str">
        <f t="shared" si="7"/>
        <v>* group[=].element[+].code = #CancerEpisode.histologySubGroup.histologyNeuroendocrine</v>
      </c>
      <c r="J24" s="12" t="str">
        <f t="shared" si="8"/>
        <v>* group[=].element[=].display = ##34#Histology Neuroendocrine##34#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1442</v>
      </c>
      <c r="E25" s="12"/>
      <c r="F25" s="64" t="s">
        <v>1407</v>
      </c>
      <c r="G25" s="147" t="s">
        <v>2389</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1442</v>
      </c>
      <c r="E26" s="12"/>
      <c r="F26" s="64" t="s">
        <v>1407</v>
      </c>
      <c r="G26" s="147" t="s">
        <v>2389</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1442</v>
      </c>
      <c r="E27" s="12"/>
      <c r="F27" s="64" t="s">
        <v>1407</v>
      </c>
      <c r="G27" s="147" t="s">
        <v>2389</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1442</v>
      </c>
      <c r="E28" s="12"/>
      <c r="F28" s="64" t="s">
        <v>1407</v>
      </c>
      <c r="G28" s="147" t="s">
        <v>2389</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#Condition.code</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##34#To be checked, linked to the code since the concpet includes both morhphology and topography##34#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1442</v>
      </c>
      <c r="E29" s="12"/>
      <c r="F29" s="64" t="s">
        <v>1407</v>
      </c>
      <c r="G29" s="147" t="s">
        <v>2389</v>
      </c>
      <c r="H29" s="58"/>
      <c r="I29" s="12" t="str">
        <f t="shared" si="15"/>
        <v>* group[=].element[+].code = #CancerEpisode.histologySubGroup.hypopharynxSubsite</v>
      </c>
      <c r="J29" s="12" t="str">
        <f t="shared" si="16"/>
        <v>* group[=].element[=].display = ##34#Hypopharynx subsite##34#</v>
      </c>
      <c r="K29" s="12" t="str">
        <f t="shared" si="17"/>
        <v>* group[=].element[=].target.code = #Condition.code</v>
      </c>
      <c r="L29" s="12" t="str">
        <f t="shared" si="18"/>
        <v>* group[=].element[=].target.display = ##34###34#</v>
      </c>
      <c r="M29" s="12" t="str">
        <f t="shared" si="19"/>
        <v>* group[=].element[=].target.equivalence = #relatedto</v>
      </c>
      <c r="N29" s="12" t="str">
        <f t="shared" si="20"/>
        <v>* group[=].element[=].target.comment = ##34#To be checked, linked to the code since the concpet includes both morhphology and topography##34#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1442</v>
      </c>
      <c r="E30" s="12"/>
      <c r="F30" s="64" t="s">
        <v>1407</v>
      </c>
      <c r="G30" s="147" t="s">
        <v>2389</v>
      </c>
      <c r="H30" s="58"/>
      <c r="I30" s="12" t="str">
        <f t="shared" si="15"/>
        <v>* group[=].element[+].code = #CancerEpisode.histologySubGroup.oropharynxSubsite</v>
      </c>
      <c r="J30" s="12" t="str">
        <f t="shared" si="16"/>
        <v>* group[=].element[=].display = ##34#Oropharynx subsite##34#</v>
      </c>
      <c r="K30" s="12" t="str">
        <f t="shared" si="17"/>
        <v>* group[=].element[=].target.code = #Condition.code</v>
      </c>
      <c r="L30" s="12" t="str">
        <f t="shared" si="18"/>
        <v>* group[=].element[=].target.display = ##34###34#</v>
      </c>
      <c r="M30" s="12" t="str">
        <f t="shared" si="19"/>
        <v>* group[=].element[=].target.equivalence = #relatedto</v>
      </c>
      <c r="N30" s="12" t="str">
        <f t="shared" si="20"/>
        <v>* group[=].element[=].target.comment = ##34#To be checked, linked to the code since the concpet includes both morhphology and topography##34#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1442</v>
      </c>
      <c r="E31" s="12"/>
      <c r="F31" s="64" t="s">
        <v>1407</v>
      </c>
      <c r="G31" s="147" t="s">
        <v>2389</v>
      </c>
      <c r="H31" s="58"/>
      <c r="I31" s="12" t="str">
        <f t="shared" si="15"/>
        <v>* group[=].element[+].code = #CancerEpisode.histologySubGroup.larynxSubsite</v>
      </c>
      <c r="J31" s="12" t="str">
        <f t="shared" si="16"/>
        <v>* group[=].element[=].display = ##34#Larynx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1442</v>
      </c>
      <c r="E32" s="12"/>
      <c r="F32" s="64" t="s">
        <v>1407</v>
      </c>
      <c r="G32" s="147" t="s">
        <v>2389</v>
      </c>
      <c r="H32" s="58"/>
      <c r="I32" s="12" t="str">
        <f t="shared" si="15"/>
        <v>* group[=].element[+].code = #CancerEpisode.histologySubGroup.oralCavitySubsite</v>
      </c>
      <c r="J32" s="12" t="str">
        <f t="shared" si="16"/>
        <v>* group[=].element[=].display = ##34#Oral cavity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1442</v>
      </c>
      <c r="E33" s="12"/>
      <c r="F33" s="64" t="s">
        <v>1407</v>
      </c>
      <c r="G33" s="147" t="s">
        <v>2389</v>
      </c>
      <c r="H33" s="58"/>
      <c r="I33" s="12" t="str">
        <f t="shared" si="15"/>
        <v>* group[=].element[+].code = #CancerEpisode.histologySubGroup.lipSubsite</v>
      </c>
      <c r="J33" s="12" t="str">
        <f t="shared" si="16"/>
        <v>* group[=].element[=].display = ##34#Lip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1888</v>
      </c>
      <c r="E34" s="12"/>
      <c r="F34" s="64" t="s">
        <v>1407</v>
      </c>
      <c r="G34" s="139" t="s">
        <v>1891</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1889</v>
      </c>
      <c r="E35" s="12"/>
      <c r="F35" s="64" t="s">
        <v>1407</v>
      </c>
      <c r="G35" s="139" t="s">
        <v>1892</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1890</v>
      </c>
      <c r="E36" s="12"/>
      <c r="F36" s="64" t="s">
        <v>1407</v>
      </c>
      <c r="G36" s="139" t="s">
        <v>1893</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c r="P53" s="11">
        <v>39</v>
      </c>
      <c r="Q53" s="11">
        <f t="shared" si="13"/>
        <v>6</v>
      </c>
      <c r="R53" s="11">
        <f t="shared" si="14"/>
        <v>3</v>
      </c>
      <c r="S53" s="12" t="str" cm="1">
        <f t="array" ref="S53">INDEX('CancerEpisode-ConceptMap-1'!$I$15:$N$123,Q53+1,R53)</f>
        <v>* group[=].element[=].target.code = #Condition.code</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ht="29.5">
      <c r="P56" s="11">
        <v>42</v>
      </c>
      <c r="Q56" s="11">
        <f t="shared" si="21"/>
        <v>6</v>
      </c>
      <c r="R56" s="11">
        <f t="shared" si="22"/>
        <v>6</v>
      </c>
      <c r="S56" s="12" t="str" cm="1">
        <f t="array" ref="S56">INDEX('CancerEpisode-ConceptMap-1'!$I$15:$N$123,Q56+1,R56)</f>
        <v>* group[=].element[=].target.comment = ##34#To be checked, linked to the code since the concpet includes both morhphology and topography##34#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c r="P59" s="11">
        <v>45</v>
      </c>
      <c r="Q59" s="11">
        <f t="shared" si="21"/>
        <v>7</v>
      </c>
      <c r="R59" s="11">
        <f t="shared" si="22"/>
        <v>3</v>
      </c>
      <c r="S59" s="12" t="str" cm="1">
        <f t="array" ref="S59">INDEX('CancerEpisode-ConceptMap-1'!$I$15:$N$123,Q59+1,R59)</f>
        <v>* group[=].element[=].target.code = #Condition.code</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ht="29.5">
      <c r="P62" s="11">
        <v>48</v>
      </c>
      <c r="Q62" s="11">
        <f t="shared" si="21"/>
        <v>7</v>
      </c>
      <c r="R62" s="11">
        <f t="shared" si="22"/>
        <v>6</v>
      </c>
      <c r="S62" s="12" t="str" cm="1">
        <f t="array" ref="S62">INDEX('CancerEpisode-ConceptMap-1'!$I$15:$N$123,Q62+1,R62)</f>
        <v>* group[=].element[=].target.comment = ##34#To be checked, linked to the code since the concpet includes both morhphology and topography##34#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c r="P65" s="11">
        <v>51</v>
      </c>
      <c r="Q65" s="11">
        <f t="shared" si="21"/>
        <v>8</v>
      </c>
      <c r="R65" s="11">
        <f t="shared" si="22"/>
        <v>3</v>
      </c>
      <c r="S65" s="12" t="str" cm="1">
        <f t="array" ref="S65">INDEX('CancerEpisode-ConceptMap-1'!$I$15:$N$123,Q65+1,R65)</f>
        <v>* group[=].element[=].target.code = #Condition.code</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ht="29.5">
      <c r="P68" s="11">
        <v>54</v>
      </c>
      <c r="Q68" s="11">
        <f t="shared" si="21"/>
        <v>8</v>
      </c>
      <c r="R68" s="11">
        <f t="shared" si="22"/>
        <v>6</v>
      </c>
      <c r="S68" s="12" t="str" cm="1">
        <f t="array" ref="S68">INDEX('CancerEpisode-ConceptMap-1'!$I$15:$N$123,Q68+1,R68)</f>
        <v>* group[=].element[=].target.comment = ##34#To be checked, linked to the code since the concpet includes both morhphology and topography##34#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c r="P71" s="11">
        <v>57</v>
      </c>
      <c r="Q71" s="11">
        <f t="shared" si="21"/>
        <v>9</v>
      </c>
      <c r="R71" s="11">
        <f t="shared" si="22"/>
        <v>3</v>
      </c>
      <c r="S71" s="12" t="str" cm="1">
        <f t="array" ref="S71">INDEX('CancerEpisode-ConceptMap-1'!$I$15:$N$123,Q71+1,R71)</f>
        <v>* group[=].element[=].target.code = #Condition.code</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ht="29.5">
      <c r="P74" s="11">
        <v>60</v>
      </c>
      <c r="Q74" s="11">
        <f t="shared" si="21"/>
        <v>9</v>
      </c>
      <c r="R74" s="11">
        <f t="shared" si="22"/>
        <v>6</v>
      </c>
      <c r="S74" s="12" t="str" cm="1">
        <f t="array" ref="S74">INDEX('CancerEpisode-ConceptMap-1'!$I$15:$N$123,Q74+1,R74)</f>
        <v>* group[=].element[=].target.comment = ##34#To be checked, linked to the code since the concpet includes both morhphology and topography##34#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c r="P77" s="11">
        <v>63</v>
      </c>
      <c r="Q77" s="11">
        <f t="shared" si="21"/>
        <v>10</v>
      </c>
      <c r="R77" s="11">
        <f t="shared" si="22"/>
        <v>3</v>
      </c>
      <c r="S77" s="12" t="str" cm="1">
        <f t="array" ref="S77">INDEX('CancerEpisode-ConceptMap-1'!$I$15:$N$123,Q77+1,R77)</f>
        <v>* group[=].element[=].target.code = #Condition.code</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ht="29.5">
      <c r="P80" s="11">
        <v>66</v>
      </c>
      <c r="Q80" s="11">
        <f t="shared" si="21"/>
        <v>10</v>
      </c>
      <c r="R80" s="11">
        <f t="shared" si="22"/>
        <v>6</v>
      </c>
      <c r="S80" s="12" t="str" cm="1">
        <f t="array" ref="S80">INDEX('CancerEpisode-ConceptMap-1'!$I$15:$N$123,Q80+1,R80)</f>
        <v>* group[=].element[=].target.comment = ##34#To be checked, linked to the code since the concpet includes both morhphology and topography##34#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c r="P83" s="11">
        <v>69</v>
      </c>
      <c r="Q83" s="11">
        <f t="shared" si="21"/>
        <v>11</v>
      </c>
      <c r="R83" s="11">
        <f t="shared" si="22"/>
        <v>3</v>
      </c>
      <c r="S83" s="12" t="str" cm="1">
        <f t="array" ref="S83">INDEX('CancerEpisode-ConceptMap-1'!$I$15:$N$123,Q83+1,R83)</f>
        <v>* group[=].element[=].target.code = #Condition.code</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ht="29.5">
      <c r="P86" s="11">
        <v>72</v>
      </c>
      <c r="Q86" s="11">
        <f t="shared" si="21"/>
        <v>11</v>
      </c>
      <c r="R86" s="11">
        <f t="shared" si="22"/>
        <v>6</v>
      </c>
      <c r="S86" s="12" t="str" cm="1">
        <f t="array" ref="S86">INDEX('CancerEpisode-ConceptMap-1'!$I$15:$N$123,Q86+1,R86)</f>
        <v>* group[=].element[=].target.comment = ##34#To be checked, linked to the code since the concpet includes both morhphology and topography##34#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c r="P89" s="11">
        <v>75</v>
      </c>
      <c r="Q89" s="11">
        <f t="shared" si="21"/>
        <v>12</v>
      </c>
      <c r="R89" s="11">
        <f t="shared" si="22"/>
        <v>3</v>
      </c>
      <c r="S89" s="12" t="str" cm="1">
        <f t="array" ref="S89">INDEX('CancerEpisode-ConceptMap-1'!$I$15:$N$123,Q89+1,R89)</f>
        <v>* group[=].element[=].target.code = #Condition.code</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ht="29.5">
      <c r="P92" s="11">
        <v>78</v>
      </c>
      <c r="Q92" s="11">
        <f t="shared" si="21"/>
        <v>12</v>
      </c>
      <c r="R92" s="11">
        <f t="shared" si="22"/>
        <v>6</v>
      </c>
      <c r="S92" s="12" t="str" cm="1">
        <f t="array" ref="S92">INDEX('CancerEpisode-ConceptMap-1'!$I$15:$N$123,Q92+1,R92)</f>
        <v>* group[=].element[=].target.comment = ##34#To be checked, linked to the code since the concpet includes both morhphology and topography##34#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c r="P95" s="11">
        <v>81</v>
      </c>
      <c r="Q95" s="11">
        <f t="shared" si="21"/>
        <v>13</v>
      </c>
      <c r="R95" s="11">
        <f t="shared" si="22"/>
        <v>3</v>
      </c>
      <c r="S95" s="12" t="str" cm="1">
        <f t="array" ref="S95">INDEX('CancerEpisode-ConceptMap-1'!$I$15:$N$123,Q95+1,R95)</f>
        <v>* group[=].element[=].target.code = #Condition.code</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ht="29.5">
      <c r="P98" s="11">
        <v>84</v>
      </c>
      <c r="Q98" s="11">
        <f t="shared" si="21"/>
        <v>13</v>
      </c>
      <c r="R98" s="11">
        <f t="shared" si="22"/>
        <v>6</v>
      </c>
      <c r="S98" s="12" t="str" cm="1">
        <f t="array" ref="S98">INDEX('CancerEpisode-ConceptMap-1'!$I$15:$N$123,Q98+1,R98)</f>
        <v>* group[=].element[=].target.comment = ##34#To be checked, linked to the code since the concpet includes both morhphology and topography##34#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c r="P101" s="11">
        <v>87</v>
      </c>
      <c r="Q101" s="11">
        <f t="shared" si="21"/>
        <v>14</v>
      </c>
      <c r="R101" s="11">
        <f t="shared" si="22"/>
        <v>3</v>
      </c>
      <c r="S101" s="12" t="str" cm="1">
        <f t="array" ref="S101">INDEX('CancerEpisode-ConceptMap-1'!$I$15:$N$123,Q101+1,R101)</f>
        <v>* group[=].element[=].target.code = #Condition.code</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ht="29.5">
      <c r="P104" s="11">
        <v>90</v>
      </c>
      <c r="Q104" s="11">
        <f t="shared" si="21"/>
        <v>14</v>
      </c>
      <c r="R104" s="11">
        <f t="shared" si="22"/>
        <v>6</v>
      </c>
      <c r="S104" s="12" t="str" cm="1">
        <f t="array" ref="S104">INDEX('CancerEpisode-ConceptMap-1'!$I$15:$N$123,Q104+1,R104)</f>
        <v>* group[=].element[=].target.comment = ##34#To be checked, linked to the code since the concpet includes both morhphology and topography##34#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c r="P107" s="11">
        <v>93</v>
      </c>
      <c r="Q107" s="11">
        <f t="shared" si="21"/>
        <v>15</v>
      </c>
      <c r="R107" s="11">
        <f t="shared" si="22"/>
        <v>3</v>
      </c>
      <c r="S107" s="12" t="str" cm="1">
        <f t="array" ref="S107">INDEX('CancerEpisode-ConceptMap-1'!$I$15:$N$123,Q107+1,R107)</f>
        <v>* group[=].element[=].target.code = #Condition.code</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ht="29.5">
      <c r="P110" s="11">
        <v>96</v>
      </c>
      <c r="Q110" s="11">
        <f t="shared" si="21"/>
        <v>15</v>
      </c>
      <c r="R110" s="11">
        <f t="shared" si="22"/>
        <v>6</v>
      </c>
      <c r="S110" s="12" t="str" cm="1">
        <f t="array" ref="S110">INDEX('CancerEpisode-ConceptMap-1'!$I$15:$N$123,Q110+1,R110)</f>
        <v>* group[=].element[=].target.comment = ##34#To be checked, linked to the code since the concpet includes both morhphology and topography##34#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c r="P113" s="11">
        <v>99</v>
      </c>
      <c r="Q113" s="11">
        <f t="shared" si="21"/>
        <v>16</v>
      </c>
      <c r="R113" s="11">
        <f t="shared" si="22"/>
        <v>3</v>
      </c>
      <c r="S113" s="12" t="str" cm="1">
        <f t="array" ref="S113">INDEX('CancerEpisode-ConceptMap-1'!$I$15:$N$123,Q113+1,R113)</f>
        <v>* group[=].element[=].target.code = #Condition.code</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ht="29.5">
      <c r="P116" s="11">
        <v>102</v>
      </c>
      <c r="Q116" s="11">
        <f t="shared" si="21"/>
        <v>16</v>
      </c>
      <c r="R116" s="11">
        <f t="shared" si="22"/>
        <v>6</v>
      </c>
      <c r="S116" s="12" t="str" cm="1">
        <f t="array" ref="S116">INDEX('CancerEpisode-ConceptMap-1'!$I$15:$N$123,Q116+1,R116)</f>
        <v>* group[=].element[=].target.comment = ##34#To be checked, linked to the code since the concpet includes both morhphology and topography##34#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c r="P119" s="11">
        <v>105</v>
      </c>
      <c r="Q119" s="11">
        <f t="shared" si="23"/>
        <v>17</v>
      </c>
      <c r="R119" s="11">
        <f t="shared" si="24"/>
        <v>3</v>
      </c>
      <c r="S119" s="12" t="str" cm="1">
        <f t="array" ref="S119">INDEX('CancerEpisode-ConceptMap-1'!$I$15:$N$123,Q119+1,R119)</f>
        <v>* group[=].element[=].target.code = #Condition.code</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ht="29.5">
      <c r="P122" s="11">
        <v>108</v>
      </c>
      <c r="Q122" s="11">
        <f t="shared" si="23"/>
        <v>17</v>
      </c>
      <c r="R122" s="11">
        <f t="shared" si="24"/>
        <v>6</v>
      </c>
      <c r="S122" s="12" t="str" cm="1">
        <f t="array" ref="S122">INDEX('CancerEpisode-ConceptMap-1'!$I$15:$N$123,Q122+1,R122)</f>
        <v>* group[=].element[=].target.comment = ##34#To be checked, linked to the code since the concpet includes both morhphology and topography##34#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c r="P125" s="11">
        <v>111</v>
      </c>
      <c r="Q125" s="11">
        <f t="shared" si="23"/>
        <v>18</v>
      </c>
      <c r="R125" s="11">
        <f t="shared" si="24"/>
        <v>3</v>
      </c>
      <c r="S125" s="12" t="str" cm="1">
        <f t="array" ref="S125">INDEX('CancerEpisode-ConceptMap-1'!$I$15:$N$123,Q125+1,R125)</f>
        <v>* group[=].element[=].target.code = #Condition.code</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ht="29.5">
      <c r="P128" s="11">
        <v>114</v>
      </c>
      <c r="Q128" s="11">
        <f t="shared" si="23"/>
        <v>18</v>
      </c>
      <c r="R128" s="11">
        <f t="shared" si="24"/>
        <v>6</v>
      </c>
      <c r="S128" s="12" t="str" cm="1">
        <f t="array" ref="S128">INDEX('CancerEpisode-ConceptMap-1'!$I$15:$N$123,Q128+1,R128)</f>
        <v>* group[=].element[=].target.comment = ##34#To be checked, linked to the code since the concpet includes both morhphology and topography##34#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1860</v>
      </c>
      <c r="D3" s="62" t="s">
        <v>1786</v>
      </c>
      <c r="E3" s="118" t="str">
        <f>$C$1&amp;CancerEpisode!B5</f>
        <v>http://hl7.eu/fhir/ig/idea4rc/StructureDefinition/CancerEpisode</v>
      </c>
    </row>
    <row r="4" spans="1:19">
      <c r="B4" s="62" t="s">
        <v>16</v>
      </c>
      <c r="C4" s="28" t="s">
        <v>1795</v>
      </c>
      <c r="D4" s="62" t="s">
        <v>1787</v>
      </c>
      <c r="E4" s="118" t="s">
        <v>1824</v>
      </c>
    </row>
    <row r="5" spans="1:19">
      <c r="B5" s="62" t="s">
        <v>10</v>
      </c>
      <c r="C5" s="7" t="s">
        <v>1796</v>
      </c>
      <c r="D5" s="62"/>
      <c r="E5" s="7"/>
    </row>
    <row r="6" spans="1:19">
      <c r="B6" s="62" t="s">
        <v>18</v>
      </c>
      <c r="C6" s="56"/>
      <c r="D6" s="62" t="s">
        <v>1788</v>
      </c>
      <c r="E6" s="168" t="str">
        <f>E3</f>
        <v>http://hl7.eu/fhir/ig/idea4rc/StructureDefinition/CancerEpisode</v>
      </c>
      <c r="F6" s="169"/>
      <c r="G6" s="169"/>
    </row>
    <row r="7" spans="1:19">
      <c r="B7" s="62" t="s">
        <v>15</v>
      </c>
      <c r="C7" s="119"/>
      <c r="D7" s="62" t="s">
        <v>1789</v>
      </c>
      <c r="E7" s="168" t="s">
        <v>1883</v>
      </c>
      <c r="F7" s="169"/>
      <c r="G7" s="169"/>
    </row>
    <row r="8" spans="1:19" ht="44.25">
      <c r="B8" s="62" t="s">
        <v>1790</v>
      </c>
      <c r="C8" s="120" t="s">
        <v>1796</v>
      </c>
      <c r="D8" s="62"/>
      <c r="E8" s="7"/>
      <c r="I8" s="12" t="s">
        <v>1402</v>
      </c>
      <c r="J8" s="12" t="s">
        <v>1403</v>
      </c>
      <c r="K8" s="12" t="s">
        <v>1404</v>
      </c>
      <c r="L8" s="12" t="s">
        <v>1405</v>
      </c>
      <c r="M8" s="11" t="s">
        <v>1406</v>
      </c>
      <c r="P8" s="49" t="s">
        <v>1441</v>
      </c>
      <c r="Q8" s="49">
        <v>6</v>
      </c>
    </row>
    <row r="9" spans="1:19" ht="29.5">
      <c r="B9" s="62" t="s">
        <v>1791</v>
      </c>
      <c r="C9" s="12" t="s">
        <v>1797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1822</v>
      </c>
      <c r="E14" s="6"/>
      <c r="F14" s="64"/>
      <c r="G14" s="64"/>
      <c r="I14" s="12"/>
      <c r="J14" s="11"/>
      <c r="K14" s="11"/>
      <c r="L14" s="11"/>
      <c r="M14" s="63"/>
      <c r="N14" s="66"/>
    </row>
    <row r="15" spans="1:19" ht="44.25">
      <c r="A15" s="59"/>
      <c r="B15" s="11" t="str">
        <f>CancerEpisode!B8</f>
        <v>patient</v>
      </c>
      <c r="C15" s="11" t="str">
        <f>CancerEpisode!C8</f>
        <v>Patient</v>
      </c>
      <c r="D15" s="12" t="s">
        <v>1823</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1885</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1884</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1794</v>
      </c>
    </row>
    <row r="3" spans="2:7">
      <c r="B3" s="24" t="s">
        <v>20</v>
      </c>
    </row>
    <row r="4" spans="2:7">
      <c r="B4" s="65" t="str">
        <f>"Instance: "&amp;'CancerEpisode-ConceptMap-1'!C4</f>
        <v>Instance: cancerEpisode2FHIR</v>
      </c>
    </row>
    <row r="5" spans="2:7">
      <c r="B5" s="65" t="s">
        <v>1447</v>
      </c>
    </row>
    <row r="6" spans="2:7">
      <c r="B6" s="65" t="s">
        <v>1438</v>
      </c>
    </row>
    <row r="7" spans="2:7">
      <c r="B7" s="65" t="s">
        <v>1793</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#Condition.code</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##34#To be checked, linked to the code since the concpet includes both morhphology and topography##34#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#Condition.code</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##34#To be checked, linked to the code since the concpet includes both morhphology and topography##34#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#Condition.code</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##34#To be checked, linked to the code since the concpet includes both morhphology and topography##34#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#Condition.code</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##34#To be checked, linked to the code since the concpet includes both morhphology and topography##34#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#Condition.code</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##34#To be checked, linked to the code since the concpet includes both morhphology and topography##34#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#Condition.code</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##34#To be checked, linked to the code since the concpet includes both morhphology and topography##34#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#Condition.code</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##34#To be checked, linked to the code since the concpet includes both morhphology and topography##34#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#Condition.code</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##34#To be checked, linked to the code since the concpet includes both morhphology and topography##34#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#Condition.code</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##34#To be checked, linked to the code since the concpet includes both morhphology and topography##34#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#Condition.code</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##34#To be checked, linked to the code since the concpet includes both morhphology and topography##34#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#Condition.code</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##34#To be checked, linked to the code since the concpet includes both morhphology and topography##34#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#Condition.code</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##34#To be checked, linked to the code since the concpet includes both morhphology and topography##34#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#Condition.code</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##34#To be checked, linked to the code since the concpet includes both morhphology and topography##34#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59"/>
  <sheetViews>
    <sheetView topLeftCell="A6" zoomScaleNormal="100" workbookViewId="0">
      <selection activeCell="G36" sqref="G36:G3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58">
        <v>0</v>
      </c>
      <c r="B8" s="159" t="s">
        <v>1849</v>
      </c>
      <c r="C8" s="2" t="s">
        <v>191</v>
      </c>
      <c r="D8" s="2" t="s">
        <v>54</v>
      </c>
      <c r="E8" s="3">
        <v>1</v>
      </c>
      <c r="F8" s="3">
        <v>1</v>
      </c>
      <c r="G8" s="160" t="s">
        <v>1781</v>
      </c>
      <c r="H8" s="2" t="s">
        <v>1696</v>
      </c>
      <c r="I8" s="25"/>
      <c r="J8" s="12" t="str">
        <f t="shared" ref="J8:J59" si="0">CONCATENATE("* ",B8, " ",E8,"..",F8," ",G8," ##34#",C8,"##34# ##334#",D8,"##334#")</f>
        <v>* sex 1..1 CodeableConcept ##34#Gender##34#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1850</v>
      </c>
      <c r="C9" s="12" t="s">
        <v>58</v>
      </c>
      <c r="D9" s="12" t="s">
        <v>60</v>
      </c>
      <c r="E9" s="11">
        <v>1</v>
      </c>
      <c r="F9" s="11">
        <v>1</v>
      </c>
      <c r="G9" s="108" t="s">
        <v>1781</v>
      </c>
      <c r="H9" s="12" t="s">
        <v>1697</v>
      </c>
      <c r="I9" s="25"/>
      <c r="J9" s="12" t="str">
        <f t="shared" si="0"/>
        <v>* race 1..1 CodeableConcept ##34#Race##34# ##334#Describes race as recorded in  the hospital record, the one declared by the patient,, otherwise, the onerecognized by the observer##334#</v>
      </c>
      <c r="L9" s="12" t="str">
        <f t="shared" ref="L9:L59" si="1">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1851</v>
      </c>
      <c r="C10" s="12" t="s">
        <v>1675</v>
      </c>
      <c r="D10" s="12" t="s">
        <v>66</v>
      </c>
      <c r="E10" s="11">
        <v>1</v>
      </c>
      <c r="F10" s="11">
        <v>1</v>
      </c>
      <c r="G10" s="108" t="s">
        <v>1781</v>
      </c>
      <c r="H10" s="12" t="s">
        <v>1698</v>
      </c>
      <c r="I10" s="25"/>
      <c r="J10" s="12" t="str">
        <f t="shared" si="0"/>
        <v>* countryOfResidence 1..1 CodeableConcept ##34#Country of Residence##34# ##334#Country of residence at the time of diagnosis##334#</v>
      </c>
      <c r="L10" s="12" t="str">
        <f t="shared" si="1"/>
        <v>* countryOfResidence ^comment = ##334#Value from the code list of countries
Son in the hierarchy of countries##334#</v>
      </c>
    </row>
    <row r="11" spans="1:12" ht="88.5">
      <c r="A11" s="11">
        <v>3</v>
      </c>
      <c r="B11" s="107" t="s">
        <v>1852</v>
      </c>
      <c r="C11" s="12" t="s">
        <v>70</v>
      </c>
      <c r="D11" s="12" t="s">
        <v>72</v>
      </c>
      <c r="E11" s="11">
        <v>1</v>
      </c>
      <c r="F11" s="11">
        <v>1</v>
      </c>
      <c r="G11" s="108" t="s">
        <v>1781</v>
      </c>
      <c r="H11" s="12" t="s">
        <v>2462</v>
      </c>
      <c r="I11" s="25"/>
      <c r="J11" s="12" t="str">
        <f t="shared" si="0"/>
        <v>* smoking 1..1 CodeableConcept ##34#Smoking##34# ##334#Describes tobacco smoker habits within the options proposed##334#</v>
      </c>
      <c r="L11" s="12" t="str">
        <f t="shared" si="1"/>
        <v>* smoking ^comment = ##334#Current tobacco smoker; Former smoker (at least for 12 months); Never smoker; Unknown
Current smoker - 36309332
Former smoker - 45883458
Never smoker - 45879404
##334#</v>
      </c>
    </row>
    <row r="12" spans="1:12" ht="59">
      <c r="A12" s="11">
        <v>4</v>
      </c>
      <c r="B12" s="107" t="s">
        <v>1853</v>
      </c>
      <c r="C12" s="12" t="s">
        <v>76</v>
      </c>
      <c r="D12" s="12" t="s">
        <v>1676</v>
      </c>
      <c r="E12" s="11">
        <v>0</v>
      </c>
      <c r="F12" s="11">
        <v>1</v>
      </c>
      <c r="G12" s="108" t="s">
        <v>1781</v>
      </c>
      <c r="H12" s="12" t="s">
        <v>1699</v>
      </c>
      <c r="I12" s="25"/>
      <c r="J12" s="12" t="str">
        <f t="shared" si="0"/>
        <v>* smokingType 0..1 CodeableConcept ##34#Smoking type##34# ##334#Describes type of tobacco##334#</v>
      </c>
      <c r="L12" s="12" t="str">
        <f t="shared" si="1"/>
        <v>* smokingType ^comment = ##334#Cigarettes; Cigar; Unknown
Cigarettes - 36716475
Cigar -  36716476
Unknown - 4129922##334#</v>
      </c>
    </row>
    <row r="13" spans="1:12" ht="59">
      <c r="A13" s="11">
        <v>5</v>
      </c>
      <c r="B13" s="107" t="s">
        <v>1854</v>
      </c>
      <c r="C13" s="12" t="s">
        <v>79</v>
      </c>
      <c r="D13" s="12" t="s">
        <v>1677</v>
      </c>
      <c r="E13" s="11">
        <v>0</v>
      </c>
      <c r="F13" s="11">
        <v>1</v>
      </c>
      <c r="G13" s="108" t="s">
        <v>1608</v>
      </c>
      <c r="H13" s="12"/>
      <c r="I13" s="25"/>
      <c r="J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1"/>
        <v/>
      </c>
    </row>
    <row r="14" spans="1:12" ht="29.5">
      <c r="A14" s="11">
        <v>6</v>
      </c>
      <c r="B14" s="107" t="s">
        <v>1855</v>
      </c>
      <c r="C14" s="12" t="s">
        <v>83</v>
      </c>
      <c r="D14" s="12" t="s">
        <v>84</v>
      </c>
      <c r="E14" s="11">
        <v>0</v>
      </c>
      <c r="F14" s="11">
        <v>1</v>
      </c>
      <c r="G14" s="108" t="s">
        <v>1608</v>
      </c>
      <c r="H14" s="12"/>
      <c r="I14" s="25"/>
      <c r="J14" s="12" t="str">
        <f t="shared" si="0"/>
        <v>* yearsAsSmoker 0..1 integer ##34#Number of years as a smoker##34# ##334#Number of years the person has smoked##334#</v>
      </c>
      <c r="L14" s="12" t="str">
        <f t="shared" si="1"/>
        <v/>
      </c>
    </row>
    <row r="15" spans="1:12" ht="103.25">
      <c r="A15" s="11">
        <v>7</v>
      </c>
      <c r="B15" s="107" t="s">
        <v>1856</v>
      </c>
      <c r="C15" s="11" t="s">
        <v>92</v>
      </c>
      <c r="D15" s="11" t="s">
        <v>94</v>
      </c>
      <c r="E15" s="11">
        <v>1</v>
      </c>
      <c r="F15" s="11">
        <v>1</v>
      </c>
      <c r="G15" s="108" t="s">
        <v>1781</v>
      </c>
      <c r="H15" s="12" t="s">
        <v>2463</v>
      </c>
      <c r="I15" s="25"/>
      <c r="J15" s="12" t="str">
        <f t="shared" si="0"/>
        <v>* alcohol 1..1 CodeableConcept ##34#Alcohol##34# ##334#Describes alcohol habits within the options proposed##334#</v>
      </c>
      <c r="L15" s="12" t="str">
        <f t="shared" si="1"/>
        <v>* alcohol ^comment = ##334#Current; Former (at least for 12 months); Never; History of alcohol dependence; Unknown
Current drinker - 4074035
Ex-drinker - 4220362
Lifetime non-drinker of alcohol - 37204556
Ex-problem drinker - 4117706
##334#</v>
      </c>
    </row>
    <row r="16" spans="1:12" ht="29.5">
      <c r="A16" s="11">
        <v>8</v>
      </c>
      <c r="B16" s="11" t="s">
        <v>2400</v>
      </c>
      <c r="C16" s="11" t="s">
        <v>2401</v>
      </c>
      <c r="D16" s="11" t="s">
        <v>2402</v>
      </c>
      <c r="E16" s="11">
        <v>0</v>
      </c>
      <c r="F16" s="11">
        <v>1</v>
      </c>
      <c r="G16" s="108" t="s">
        <v>2468</v>
      </c>
      <c r="H16" s="12"/>
      <c r="I16" s="25"/>
      <c r="J16" s="12" t="str">
        <f t="shared" si="0"/>
        <v>* bMI 0..1 Quantity ##34#Height/weight (BMI)
##34# ##334#Provides the BMI for the patient##334#</v>
      </c>
      <c r="L16" s="12" t="str">
        <f t="shared" si="1"/>
        <v/>
      </c>
    </row>
    <row r="17" spans="1:12" ht="44.25">
      <c r="A17" s="11">
        <v>9</v>
      </c>
      <c r="B17" s="11" t="s">
        <v>2403</v>
      </c>
      <c r="C17" s="11" t="s">
        <v>2404</v>
      </c>
      <c r="D17" s="11" t="s">
        <v>2405</v>
      </c>
      <c r="E17" s="11">
        <v>0</v>
      </c>
      <c r="F17" s="11">
        <v>1</v>
      </c>
      <c r="G17" s="108" t="s">
        <v>1608</v>
      </c>
      <c r="H17" s="12"/>
      <c r="I17" s="25"/>
      <c r="J17" s="12" t="str">
        <f t="shared" si="0"/>
        <v>* charlsonComorbidityIndex 0..1 integer ##34#Charlson Comorbidity index##34# ##334#Provides the Charlson Comorbidity index for the patient##334#</v>
      </c>
      <c r="L17" s="12" t="str">
        <f t="shared" si="1"/>
        <v/>
      </c>
    </row>
    <row r="18" spans="1:12" ht="59">
      <c r="A18" s="11">
        <v>10</v>
      </c>
      <c r="B18" s="107" t="s">
        <v>1830</v>
      </c>
      <c r="C18" s="4" t="s">
        <v>114</v>
      </c>
      <c r="D18" s="4" t="s">
        <v>2408</v>
      </c>
      <c r="E18" s="6">
        <v>1</v>
      </c>
      <c r="F18" s="6">
        <v>1</v>
      </c>
      <c r="G18" s="4" t="s">
        <v>1</v>
      </c>
      <c r="H18" s="12" t="s">
        <v>1700</v>
      </c>
      <c r="I18" s="25"/>
      <c r="J18" s="12" t="str">
        <f t="shared" si="0"/>
        <v>* comorbidity 1..1 BackboneElement ##34#Comorbidity##34# ##334#Describes whether the patient was diagnosed before treatment of at least one of the comorbidities listed  next or not##334#</v>
      </c>
      <c r="L18" s="12" t="str">
        <f t="shared" si="1"/>
        <v>* comorbidity ^comment = ##334#Yes; No; Unknown
Yes - 4188539
No -  4188540
Unknown - 4129922##334#</v>
      </c>
    </row>
    <row r="19" spans="1:12" ht="59">
      <c r="A19" s="11">
        <v>11</v>
      </c>
      <c r="B19" s="109" t="s">
        <v>1836</v>
      </c>
      <c r="C19" s="12" t="s">
        <v>119</v>
      </c>
      <c r="D19" s="111" t="s">
        <v>120</v>
      </c>
      <c r="E19" s="11">
        <v>0</v>
      </c>
      <c r="F19" s="11">
        <v>1</v>
      </c>
      <c r="G19" s="108" t="s">
        <v>157</v>
      </c>
      <c r="H19" s="12"/>
      <c r="I19" s="25"/>
      <c r="J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L19" s="12" t="str">
        <f t="shared" si="1"/>
        <v/>
      </c>
    </row>
    <row r="20" spans="1:12" ht="44.25">
      <c r="A20" s="11">
        <v>12</v>
      </c>
      <c r="B20" s="109" t="s">
        <v>1841</v>
      </c>
      <c r="C20" s="12" t="s">
        <v>1678</v>
      </c>
      <c r="D20" s="108" t="s">
        <v>2409</v>
      </c>
      <c r="E20" s="11">
        <v>0</v>
      </c>
      <c r="F20" s="11">
        <v>1</v>
      </c>
      <c r="G20" s="108" t="s">
        <v>157</v>
      </c>
      <c r="H20" s="12"/>
      <c r="I20" s="25"/>
      <c r="J20" s="12" t="str">
        <f t="shared" si="0"/>
        <v>* comorbidity.congestiveHeartFailure 0..1 boolean ##34#Congestive heart failure##34# ##334#Previous cancer comorbidity related to Congestive heart failure##334#</v>
      </c>
      <c r="L20" s="12" t="str">
        <f t="shared" si="1"/>
        <v/>
      </c>
    </row>
    <row r="21" spans="1:12" ht="44.25">
      <c r="A21" s="11">
        <v>13</v>
      </c>
      <c r="B21" s="109" t="s">
        <v>1846</v>
      </c>
      <c r="C21" s="12" t="s">
        <v>1679</v>
      </c>
      <c r="D21" s="108" t="s">
        <v>2410</v>
      </c>
      <c r="E21" s="11">
        <v>0</v>
      </c>
      <c r="F21" s="11">
        <v>1</v>
      </c>
      <c r="G21" s="108" t="s">
        <v>157</v>
      </c>
      <c r="H21" s="12"/>
      <c r="I21" s="25"/>
      <c r="J21" s="12" t="str">
        <f t="shared" si="0"/>
        <v>* comorbidity.peripheralVascularDisease 0..1 boolean ##34#Peripheral vascular disease##34# ##334#Previous cancer comorbidity related to Peripheral vascular disease##334#</v>
      </c>
      <c r="L21" s="12" t="str">
        <f t="shared" si="1"/>
        <v/>
      </c>
    </row>
    <row r="22" spans="1:12" ht="59">
      <c r="A22" s="11">
        <v>14</v>
      </c>
      <c r="B22" s="110" t="s">
        <v>1842</v>
      </c>
      <c r="C22" s="12" t="s">
        <v>1680</v>
      </c>
      <c r="D22" s="108" t="s">
        <v>2411</v>
      </c>
      <c r="E22" s="11">
        <v>0</v>
      </c>
      <c r="F22" s="11">
        <v>1</v>
      </c>
      <c r="G22" s="108" t="s">
        <v>157</v>
      </c>
      <c r="H22" s="12"/>
      <c r="I22" s="25"/>
      <c r="J22" s="12" t="str">
        <f t="shared" si="0"/>
        <v>* comorbidity.cerebrovascularAccidentExceptHemiplegia 0..1 boolean ##34#Cerebrovascular accident  (except hemiplegia)##34# ##334#Previous cancer comorbidity related to Cerebrovascular accident  (except hemiplegia)##334#</v>
      </c>
      <c r="L22" s="12" t="str">
        <f t="shared" si="1"/>
        <v/>
      </c>
    </row>
    <row r="23" spans="1:12" ht="29.5">
      <c r="A23" s="11">
        <v>15</v>
      </c>
      <c r="B23" s="109" t="s">
        <v>1833</v>
      </c>
      <c r="C23" s="12" t="s">
        <v>1681</v>
      </c>
      <c r="D23" s="108" t="s">
        <v>2412</v>
      </c>
      <c r="E23" s="11">
        <v>0</v>
      </c>
      <c r="F23" s="11">
        <v>1</v>
      </c>
      <c r="G23" s="108" t="s">
        <v>157</v>
      </c>
      <c r="H23" s="12"/>
      <c r="I23" s="25"/>
      <c r="J23" s="12" t="str">
        <f t="shared" si="0"/>
        <v>* comorbidity.dementia 0..1 boolean ##34#Dementia##34# ##334#Previous cancer comorbidity related to Dementia##334#</v>
      </c>
      <c r="L23" s="12" t="str">
        <f t="shared" si="1"/>
        <v/>
      </c>
    </row>
    <row r="24" spans="1:12" ht="44.25">
      <c r="A24" s="11">
        <v>16</v>
      </c>
      <c r="B24" s="109" t="s">
        <v>1843</v>
      </c>
      <c r="C24" s="12" t="s">
        <v>1682</v>
      </c>
      <c r="D24" s="108" t="s">
        <v>2413</v>
      </c>
      <c r="E24" s="11">
        <v>0</v>
      </c>
      <c r="F24" s="11">
        <v>1</v>
      </c>
      <c r="G24" s="108" t="s">
        <v>157</v>
      </c>
      <c r="H24" s="12"/>
      <c r="I24" s="25"/>
      <c r="J24" s="12" t="str">
        <f t="shared" si="0"/>
        <v>* comorbidity.chronicPulmonaryDisease 0..1 boolean ##34#Chronic pulmonary disease##34# ##334#Previous cancer comorbidity related to Chronic pulmonary disease##334#</v>
      </c>
      <c r="L24" s="12" t="str">
        <f t="shared" si="1"/>
        <v/>
      </c>
    </row>
    <row r="25" spans="1:12" ht="44.25">
      <c r="A25" s="11">
        <v>17</v>
      </c>
      <c r="B25" s="109" t="s">
        <v>1844</v>
      </c>
      <c r="C25" s="12" t="s">
        <v>1683</v>
      </c>
      <c r="D25" s="108" t="s">
        <v>2414</v>
      </c>
      <c r="E25" s="11">
        <v>0</v>
      </c>
      <c r="F25" s="11">
        <v>1</v>
      </c>
      <c r="G25" s="108" t="s">
        <v>157</v>
      </c>
      <c r="H25" s="12"/>
      <c r="I25" s="25"/>
      <c r="J25" s="12" t="str">
        <f t="shared" si="0"/>
        <v>* comorbidity.connectiveTissueDisease 0..1 boolean ##34#Connective tissue disease##34# ##334#Previous cancer comorbidity related to Connective tissue disease##334#</v>
      </c>
      <c r="L25" s="12" t="str">
        <f t="shared" si="1"/>
        <v/>
      </c>
    </row>
    <row r="26" spans="1:12" ht="29.5">
      <c r="A26" s="11">
        <v>18</v>
      </c>
      <c r="B26" s="109" t="s">
        <v>1845</v>
      </c>
      <c r="C26" s="12" t="s">
        <v>1684</v>
      </c>
      <c r="D26" s="108" t="s">
        <v>2415</v>
      </c>
      <c r="E26" s="11">
        <v>0</v>
      </c>
      <c r="F26" s="11">
        <v>1</v>
      </c>
      <c r="G26" s="108" t="s">
        <v>157</v>
      </c>
      <c r="H26" s="12"/>
      <c r="I26" s="25"/>
      <c r="J26" s="12" t="str">
        <f t="shared" si="0"/>
        <v>* comorbidity.ulcer 0..1 boolean ##34#Ulcer##34# ##334#Previous cancer comorbidity related to Ulcer##334#</v>
      </c>
      <c r="L26" s="12" t="str">
        <f t="shared" si="1"/>
        <v/>
      </c>
    </row>
    <row r="27" spans="1:12" ht="29.5">
      <c r="A27" s="11">
        <v>19</v>
      </c>
      <c r="B27" s="109" t="s">
        <v>1837</v>
      </c>
      <c r="C27" s="12" t="s">
        <v>1685</v>
      </c>
      <c r="D27" s="108" t="s">
        <v>2416</v>
      </c>
      <c r="E27" s="11">
        <v>0</v>
      </c>
      <c r="F27" s="11">
        <v>1</v>
      </c>
      <c r="G27" s="108" t="s">
        <v>157</v>
      </c>
      <c r="H27" s="12"/>
      <c r="I27" s="25"/>
      <c r="J27" s="12" t="str">
        <f t="shared" si="0"/>
        <v>* comorbidity.mildLiverDisease 0..1 boolean ##34#Mild liver disease##34# ##334#Previous cancer comorbidity related to Mild liver disease##334#</v>
      </c>
      <c r="L27" s="12" t="str">
        <f t="shared" si="1"/>
        <v/>
      </c>
    </row>
    <row r="28" spans="1:12" ht="44.25">
      <c r="A28" s="11">
        <v>20</v>
      </c>
      <c r="B28" s="109" t="s">
        <v>1838</v>
      </c>
      <c r="C28" s="12" t="s">
        <v>1686</v>
      </c>
      <c r="D28" s="108" t="s">
        <v>2417</v>
      </c>
      <c r="E28" s="11">
        <v>0</v>
      </c>
      <c r="F28" s="11">
        <v>1</v>
      </c>
      <c r="G28" s="108" t="s">
        <v>157</v>
      </c>
      <c r="H28" s="12"/>
      <c r="I28" s="25"/>
      <c r="J28" s="12" t="str">
        <f t="shared" si="0"/>
        <v>* comorbidity.moderateToSevereLiverDisease 0..1 boolean ##34#Moderate to severe liver disease##34# ##334#Previous cancer comorbidity related to Moderate to severe liver disease##334#</v>
      </c>
      <c r="L28" s="12" t="str">
        <f t="shared" si="1"/>
        <v/>
      </c>
    </row>
    <row r="29" spans="1:12" ht="44.25">
      <c r="A29" s="11">
        <v>21</v>
      </c>
      <c r="B29" s="110" t="s">
        <v>1834</v>
      </c>
      <c r="C29" s="12" t="s">
        <v>1687</v>
      </c>
      <c r="D29" s="108" t="s">
        <v>2418</v>
      </c>
      <c r="E29" s="11">
        <v>0</v>
      </c>
      <c r="F29" s="11">
        <v>1</v>
      </c>
      <c r="G29" s="108" t="s">
        <v>157</v>
      </c>
      <c r="H29" s="12"/>
      <c r="I29" s="25"/>
      <c r="J29" s="12" t="str">
        <f t="shared" si="0"/>
        <v>* comorbidity.diabetesWithoutComplications 0..1 boolean ##34#Diabetes (without complications)##34# ##334#Previous cancer comorbidity related to Diabetes (without complications)##334#</v>
      </c>
      <c r="L29" s="12" t="str">
        <f t="shared" si="1"/>
        <v/>
      </c>
    </row>
    <row r="30" spans="1:12" ht="44.25">
      <c r="A30" s="11">
        <v>22</v>
      </c>
      <c r="B30" s="109" t="s">
        <v>1835</v>
      </c>
      <c r="C30" s="12" t="s">
        <v>1688</v>
      </c>
      <c r="D30" s="108" t="s">
        <v>2419</v>
      </c>
      <c r="E30" s="11">
        <v>0</v>
      </c>
      <c r="F30" s="11">
        <v>1</v>
      </c>
      <c r="G30" s="108" t="s">
        <v>157</v>
      </c>
      <c r="H30" s="12"/>
      <c r="I30" s="25"/>
      <c r="J30" s="12" t="str">
        <f t="shared" si="0"/>
        <v>* comorbidity.diabetesWithEndOrganDamage 0..1 boolean ##34#Diabetes with end organ damage##34# ##334#Previous cancer comorbidity related to Diabetes with end organ damage##334#</v>
      </c>
      <c r="L30" s="12" t="str">
        <f t="shared" si="1"/>
        <v/>
      </c>
    </row>
    <row r="31" spans="1:12" ht="29.5">
      <c r="A31" s="11">
        <v>23</v>
      </c>
      <c r="B31" s="109" t="s">
        <v>1831</v>
      </c>
      <c r="C31" s="12" t="s">
        <v>1689</v>
      </c>
      <c r="D31" s="108" t="s">
        <v>2420</v>
      </c>
      <c r="E31" s="11">
        <v>0</v>
      </c>
      <c r="F31" s="11">
        <v>1</v>
      </c>
      <c r="G31" s="108" t="s">
        <v>157</v>
      </c>
      <c r="H31" s="12"/>
      <c r="I31" s="25"/>
      <c r="J31" s="12" t="str">
        <f t="shared" si="0"/>
        <v>* comorbidity.hemiplegia 0..1 boolean ##34#Hemiplegia##34# ##334#Previous cancer comorbidity related to Hemiplegia##334#</v>
      </c>
      <c r="L31" s="12" t="str">
        <f t="shared" si="1"/>
        <v/>
      </c>
    </row>
    <row r="32" spans="1:12" ht="44.25">
      <c r="A32" s="11">
        <v>24</v>
      </c>
      <c r="B32" s="109" t="s">
        <v>1839</v>
      </c>
      <c r="C32" s="12" t="s">
        <v>1690</v>
      </c>
      <c r="D32" s="108" t="s">
        <v>2421</v>
      </c>
      <c r="E32" s="11">
        <v>0</v>
      </c>
      <c r="F32" s="11">
        <v>1</v>
      </c>
      <c r="G32" s="108" t="s">
        <v>157</v>
      </c>
      <c r="H32" s="12"/>
      <c r="I32" s="25"/>
      <c r="J32" s="12" t="str">
        <f t="shared" si="0"/>
        <v>* comorbidity.moderateToSevereRenalDisease 0..1 boolean ##34#Moderate to severe renal disease##34# ##334#Previous cancer comorbidity related to Moderate to severe renal disease##334#</v>
      </c>
      <c r="L32" s="12" t="str">
        <f t="shared" si="1"/>
        <v/>
      </c>
    </row>
    <row r="33" spans="1:12" ht="44.25">
      <c r="A33" s="11">
        <v>25</v>
      </c>
      <c r="B33" s="110" t="s">
        <v>1847</v>
      </c>
      <c r="C33" s="12" t="s">
        <v>1691</v>
      </c>
      <c r="D33" s="108" t="s">
        <v>2422</v>
      </c>
      <c r="E33" s="11">
        <v>0</v>
      </c>
      <c r="F33" s="11">
        <v>1</v>
      </c>
      <c r="G33" s="108" t="s">
        <v>157</v>
      </c>
      <c r="H33" s="12"/>
      <c r="I33" s="25"/>
      <c r="J33" s="12" t="str">
        <f t="shared" si="0"/>
        <v>* comorbidity.solidTumorNonMetastatic 0..1 boolean ##34#Solid tumor (non metastatic)##34# ##334#Previous cancer comorbidity related to Solid tumor (non metastatic)##334#</v>
      </c>
      <c r="L33" s="12" t="str">
        <f t="shared" si="1"/>
        <v/>
      </c>
    </row>
    <row r="34" spans="1:12" ht="44.25">
      <c r="A34" s="11">
        <v>26</v>
      </c>
      <c r="B34" s="109" t="s">
        <v>1840</v>
      </c>
      <c r="C34" s="12" t="s">
        <v>1692</v>
      </c>
      <c r="D34" s="108" t="s">
        <v>2423</v>
      </c>
      <c r="E34" s="11">
        <v>0</v>
      </c>
      <c r="F34" s="11">
        <v>1</v>
      </c>
      <c r="G34" s="108" t="s">
        <v>157</v>
      </c>
      <c r="H34" s="12"/>
      <c r="I34" s="25"/>
      <c r="J34" s="12" t="str">
        <f t="shared" si="0"/>
        <v>* comorbidity.metastaticSolidTumor 0..1 boolean ##34#Metastatic solid tumor##34# ##334#Previous cancer comorbidity related to Metastatic solid tumor##334#</v>
      </c>
      <c r="L34" s="12" t="str">
        <f t="shared" si="1"/>
        <v/>
      </c>
    </row>
    <row r="35" spans="1:12" ht="29.5">
      <c r="A35" s="11">
        <v>27</v>
      </c>
      <c r="B35" s="109" t="s">
        <v>1832</v>
      </c>
      <c r="C35" s="12" t="s">
        <v>1693</v>
      </c>
      <c r="D35" s="108" t="s">
        <v>2424</v>
      </c>
      <c r="E35" s="11">
        <v>0</v>
      </c>
      <c r="F35" s="11">
        <v>1</v>
      </c>
      <c r="G35" s="108" t="s">
        <v>157</v>
      </c>
      <c r="H35" s="12"/>
      <c r="I35" s="25"/>
      <c r="J35" s="12" t="str">
        <f t="shared" si="0"/>
        <v>* comorbidity.leukemia 0..1 boolean ##34#Leukemia##34# ##334#Previous cancer comorbidity related to Leukemia##334#</v>
      </c>
      <c r="L35" s="12" t="str">
        <f t="shared" si="1"/>
        <v/>
      </c>
    </row>
    <row r="36" spans="1:12" ht="29.5">
      <c r="A36" s="11">
        <v>28</v>
      </c>
      <c r="B36" s="110" t="s">
        <v>2406</v>
      </c>
      <c r="C36" s="12" t="s">
        <v>2425</v>
      </c>
      <c r="D36" s="108" t="s">
        <v>2426</v>
      </c>
      <c r="E36" s="11">
        <v>0</v>
      </c>
      <c r="F36" s="11">
        <v>1</v>
      </c>
      <c r="G36" s="108" t="s">
        <v>157</v>
      </c>
      <c r="H36" s="12"/>
      <c r="I36" s="25"/>
      <c r="J36" s="12" t="str">
        <f t="shared" si="0"/>
        <v>* comorbidity.lymphoma 0..1 boolean ##34#Lymphoma##34# ##334#Previous cancer comorbidity related to Lymphoma##334#</v>
      </c>
      <c r="L36" s="12" t="str">
        <f t="shared" si="1"/>
        <v/>
      </c>
    </row>
    <row r="37" spans="1:12" ht="29.5">
      <c r="A37" s="11">
        <v>29</v>
      </c>
      <c r="B37" s="110" t="s">
        <v>2407</v>
      </c>
      <c r="C37" s="12" t="s">
        <v>2427</v>
      </c>
      <c r="D37" s="108" t="s">
        <v>2428</v>
      </c>
      <c r="E37" s="11">
        <v>0</v>
      </c>
      <c r="F37" s="11">
        <v>1</v>
      </c>
      <c r="G37" s="108" t="s">
        <v>157</v>
      </c>
      <c r="H37" s="12"/>
      <c r="I37" s="25"/>
      <c r="J37" s="12" t="str">
        <f t="shared" si="0"/>
        <v>* comorbidity.multipleMyeloma 0..1 boolean ##34#Multiple myeloma##34# ##334#Previous cancer comorbidity related to Multiple myeloma##334#</v>
      </c>
      <c r="L37" s="12" t="str">
        <f t="shared" si="1"/>
        <v/>
      </c>
    </row>
    <row r="38" spans="1:12" ht="29.5">
      <c r="A38" s="11">
        <v>30</v>
      </c>
      <c r="B38" s="109" t="s">
        <v>1848</v>
      </c>
      <c r="C38" s="12" t="s">
        <v>1694</v>
      </c>
      <c r="D38" s="108" t="s">
        <v>2429</v>
      </c>
      <c r="E38" s="11">
        <v>0</v>
      </c>
      <c r="F38" s="11">
        <v>1</v>
      </c>
      <c r="G38" s="108" t="s">
        <v>157</v>
      </c>
      <c r="H38" s="12"/>
      <c r="I38" s="25"/>
      <c r="J38" s="12" t="str">
        <f t="shared" si="0"/>
        <v>* comorbidity.aids 0..1 boolean ##34#AIDS##34# ##334#Previous cancer comorbidity related to AIDS##334#</v>
      </c>
      <c r="L38" s="12" t="str">
        <f t="shared" si="1"/>
        <v/>
      </c>
    </row>
    <row r="39" spans="1:12" ht="118">
      <c r="A39" s="11">
        <v>31</v>
      </c>
      <c r="B39" s="110" t="s">
        <v>1857</v>
      </c>
      <c r="C39" s="12" t="s">
        <v>143</v>
      </c>
      <c r="D39" s="12" t="s">
        <v>143</v>
      </c>
      <c r="E39" s="11">
        <v>0</v>
      </c>
      <c r="F39" s="11">
        <v>1</v>
      </c>
      <c r="G39" s="108" t="s">
        <v>1781</v>
      </c>
      <c r="H39" s="12" t="s">
        <v>2464</v>
      </c>
      <c r="I39" s="25"/>
      <c r="J39" s="12" t="str">
        <f t="shared" si="0"/>
        <v>* ecogPsAtDiagnosis 0..1 CodeableConcept ##34#Eastern Cooperative Oncology Group performance status (ECOG PS)  at diagnosis##34# ##334#Eastern Cooperative Oncology Group performance status (ECOG PS)  at diagnosis##334#</v>
      </c>
      <c r="L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40" spans="1:12" ht="44.25">
      <c r="A40" s="11">
        <v>32</v>
      </c>
      <c r="B40" s="107" t="s">
        <v>1858</v>
      </c>
      <c r="C40" s="12" t="s">
        <v>147</v>
      </c>
      <c r="D40" s="12" t="s">
        <v>147</v>
      </c>
      <c r="E40" s="11">
        <v>0</v>
      </c>
      <c r="F40" s="11">
        <v>1</v>
      </c>
      <c r="G40" s="108" t="s">
        <v>1781</v>
      </c>
      <c r="H40" s="12" t="s">
        <v>2465</v>
      </c>
      <c r="I40" s="25"/>
      <c r="J40" s="12" t="str">
        <f t="shared" si="0"/>
        <v>* karnofsyIndexAtDiagnosis 0..1 CodeableConcept ##34#Karnofsy index at diagnosis##34# ##334#Karnofsy index at diagnosis##334#</v>
      </c>
      <c r="L40" s="12" t="str">
        <f t="shared" si="1"/>
        <v>* karnofsyIndexAtDiagnosis ^comment = ##334#KPS Scale
SONS Functional Neurologic Status - Karnofsky Performance Scale (KPS) - 35917688 ##334#</v>
      </c>
    </row>
    <row r="41" spans="1:12" ht="29.5">
      <c r="A41" s="11">
        <v>33</v>
      </c>
      <c r="B41" s="6" t="s">
        <v>2430</v>
      </c>
      <c r="C41" s="11" t="s">
        <v>2431</v>
      </c>
      <c r="D41" s="11" t="s">
        <v>2431</v>
      </c>
      <c r="E41" s="11">
        <v>1</v>
      </c>
      <c r="F41" s="11">
        <v>1</v>
      </c>
      <c r="G41" s="6" t="s">
        <v>1</v>
      </c>
      <c r="H41" s="12"/>
      <c r="J41" s="12" t="str">
        <f t="shared" si="0"/>
        <v>* noGeneticSyndromeWho2020 1..1 BackboneElement ##34#No Genetic syndrome WHO 2020 ##34# ##334#No Genetic syndrome WHO 2020 ##334#</v>
      </c>
      <c r="L41" s="12" t="str">
        <f t="shared" si="1"/>
        <v/>
      </c>
    </row>
    <row r="42" spans="1:12" ht="29.5">
      <c r="A42" s="11">
        <v>34</v>
      </c>
      <c r="B42" s="6" t="s">
        <v>2432</v>
      </c>
      <c r="C42" s="11" t="s">
        <v>2433</v>
      </c>
      <c r="D42" s="11" t="s">
        <v>2433</v>
      </c>
      <c r="E42" s="11">
        <v>1</v>
      </c>
      <c r="F42" s="11">
        <v>1</v>
      </c>
      <c r="G42" s="6" t="s">
        <v>157</v>
      </c>
      <c r="H42" s="12"/>
      <c r="J42" s="12" t="str">
        <f t="shared" si="0"/>
        <v>* olliersDisease 1..1 boolean ##34#Olliers disease##34# ##334#Olliers disease##334#</v>
      </c>
      <c r="L42" s="12" t="str">
        <f t="shared" si="1"/>
        <v/>
      </c>
    </row>
    <row r="43" spans="1:12" ht="29.5">
      <c r="A43" s="11">
        <v>35</v>
      </c>
      <c r="B43" s="6" t="s">
        <v>2434</v>
      </c>
      <c r="C43" s="11" t="s">
        <v>2435</v>
      </c>
      <c r="D43" s="11" t="s">
        <v>2435</v>
      </c>
      <c r="E43" s="11">
        <v>1</v>
      </c>
      <c r="F43" s="11">
        <v>1</v>
      </c>
      <c r="G43" s="6" t="s">
        <v>157</v>
      </c>
      <c r="H43" s="12"/>
      <c r="J43" s="12" t="str">
        <f t="shared" si="0"/>
        <v>* maffuciSyndrome 1..1 boolean ##34#Maffuci syndrome##34# ##334#Maffuci syndrome##334#</v>
      </c>
      <c r="L43" s="12" t="str">
        <f t="shared" si="1"/>
        <v/>
      </c>
    </row>
    <row r="44" spans="1:12" ht="29.5">
      <c r="A44" s="11">
        <v>36</v>
      </c>
      <c r="B44" s="6" t="s">
        <v>2436</v>
      </c>
      <c r="C44" s="11" t="s">
        <v>2437</v>
      </c>
      <c r="D44" s="11" t="s">
        <v>2437</v>
      </c>
      <c r="E44" s="11">
        <v>1</v>
      </c>
      <c r="F44" s="11">
        <v>1</v>
      </c>
      <c r="G44" s="6" t="s">
        <v>157</v>
      </c>
      <c r="H44" s="12"/>
      <c r="J44" s="12" t="str">
        <f t="shared" si="0"/>
        <v>* liFraumeniSyndrome 1..1 boolean ##34#Li-Fraumeni syndrome##34# ##334#Li-Fraumeni syndrome##334#</v>
      </c>
      <c r="L44" s="12" t="str">
        <f t="shared" si="1"/>
        <v/>
      </c>
    </row>
    <row r="45" spans="1:12" ht="29.5">
      <c r="A45" s="11">
        <v>37</v>
      </c>
      <c r="B45" s="6" t="s">
        <v>2438</v>
      </c>
      <c r="C45" s="11" t="s">
        <v>2439</v>
      </c>
      <c r="D45" s="11" t="s">
        <v>2439</v>
      </c>
      <c r="E45" s="11">
        <v>1</v>
      </c>
      <c r="F45" s="11">
        <v>1</v>
      </c>
      <c r="G45" s="6" t="s">
        <v>157</v>
      </c>
      <c r="H45" s="12"/>
      <c r="J45" s="12" t="str">
        <f t="shared" si="0"/>
        <v>* mcCuneAlbrightSyndrome 1..1 boolean ##34#McCune-Albright syndrome##34# ##334#McCune-Albright syndrome##334#</v>
      </c>
      <c r="L45" s="12" t="str">
        <f t="shared" si="1"/>
        <v/>
      </c>
    </row>
    <row r="46" spans="1:12" ht="29.5">
      <c r="A46" s="11">
        <v>38</v>
      </c>
      <c r="B46" s="6" t="s">
        <v>2440</v>
      </c>
      <c r="C46" s="11" t="s">
        <v>2441</v>
      </c>
      <c r="D46" s="11" t="s">
        <v>2441</v>
      </c>
      <c r="E46" s="11">
        <v>1</v>
      </c>
      <c r="F46" s="11">
        <v>1</v>
      </c>
      <c r="G46" s="6" t="s">
        <v>157</v>
      </c>
      <c r="H46" s="12"/>
      <c r="J46" s="12" t="str">
        <f t="shared" si="0"/>
        <v>* multipleOsteochondromas 1..1 boolean ##34#Multiple osteochondromas##34# ##334#Multiple osteochondromas##334#</v>
      </c>
      <c r="L46" s="12" t="str">
        <f t="shared" si="1"/>
        <v/>
      </c>
    </row>
    <row r="47" spans="1:12" ht="29.5">
      <c r="A47" s="11">
        <v>39</v>
      </c>
      <c r="B47" s="6" t="s">
        <v>2442</v>
      </c>
      <c r="C47" s="11" t="s">
        <v>2443</v>
      </c>
      <c r="D47" s="11" t="s">
        <v>2461</v>
      </c>
      <c r="E47" s="11">
        <v>1</v>
      </c>
      <c r="F47" s="11">
        <v>1</v>
      </c>
      <c r="G47" s="6" t="s">
        <v>157</v>
      </c>
      <c r="H47" s="12"/>
      <c r="J47" s="12" t="str">
        <f t="shared" si="0"/>
        <v>* neurofibromatosisType1 1..1 boolean ##34#Neurofibromatosis type 1##34# ##334#Neurofibromatosis type 2##334#</v>
      </c>
      <c r="L47" s="12" t="str">
        <f t="shared" si="1"/>
        <v/>
      </c>
    </row>
    <row r="48" spans="1:12" ht="29.5">
      <c r="A48" s="11">
        <v>40</v>
      </c>
      <c r="B48" s="6" t="s">
        <v>2444</v>
      </c>
      <c r="C48" s="11" t="s">
        <v>2445</v>
      </c>
      <c r="D48" s="11" t="s">
        <v>2445</v>
      </c>
      <c r="E48" s="11">
        <v>1</v>
      </c>
      <c r="F48" s="11">
        <v>1</v>
      </c>
      <c r="G48" s="6" t="s">
        <v>157</v>
      </c>
      <c r="H48" s="12"/>
      <c r="J48" s="12" t="str">
        <f t="shared" si="0"/>
        <v>* rothmundThomsonSyndrome 1..1 boolean ##34#Rothmund-Thomson syndrome##34# ##334#Rothmund-Thomson syndrome##334#</v>
      </c>
      <c r="L48" s="12" t="str">
        <f t="shared" si="1"/>
        <v/>
      </c>
    </row>
    <row r="49" spans="1:12" ht="29.5">
      <c r="A49" s="11">
        <v>41</v>
      </c>
      <c r="B49" s="6" t="s">
        <v>2446</v>
      </c>
      <c r="C49" s="11" t="s">
        <v>2447</v>
      </c>
      <c r="D49" s="11" t="s">
        <v>2447</v>
      </c>
      <c r="E49" s="11">
        <v>1</v>
      </c>
      <c r="F49" s="11">
        <v>1</v>
      </c>
      <c r="G49" s="6" t="s">
        <v>157</v>
      </c>
      <c r="H49" s="12"/>
      <c r="J49" s="12" t="str">
        <f t="shared" si="0"/>
        <v>* wernerSyndrome 1..1 boolean ##34#Werner syndrome##34# ##334#Werner syndrome##334#</v>
      </c>
      <c r="L49" s="12" t="str">
        <f t="shared" si="1"/>
        <v/>
      </c>
    </row>
    <row r="50" spans="1:12" ht="29.5">
      <c r="A50" s="11">
        <v>42</v>
      </c>
      <c r="B50" s="6" t="s">
        <v>2448</v>
      </c>
      <c r="C50" s="11" t="s">
        <v>2449</v>
      </c>
      <c r="D50" s="11" t="s">
        <v>2449</v>
      </c>
      <c r="E50" s="11">
        <v>1</v>
      </c>
      <c r="F50" s="11">
        <v>1</v>
      </c>
      <c r="G50" s="6" t="s">
        <v>157</v>
      </c>
      <c r="H50" s="12"/>
      <c r="J50" s="12" t="str">
        <f t="shared" si="0"/>
        <v>* retinoblastoma 1..1 boolean ##34#Retinoblastoma##34# ##334#Retinoblastoma##334#</v>
      </c>
      <c r="L50" s="12" t="str">
        <f t="shared" si="1"/>
        <v/>
      </c>
    </row>
    <row r="51" spans="1:12" ht="29.5">
      <c r="A51" s="11">
        <v>43</v>
      </c>
      <c r="B51" s="6" t="s">
        <v>2450</v>
      </c>
      <c r="C51" s="11" t="s">
        <v>2451</v>
      </c>
      <c r="D51" s="11" t="s">
        <v>2451</v>
      </c>
      <c r="E51" s="11">
        <v>1</v>
      </c>
      <c r="F51" s="11">
        <v>1</v>
      </c>
      <c r="G51" s="6" t="s">
        <v>157</v>
      </c>
      <c r="H51" s="12"/>
      <c r="J51" s="12" t="str">
        <f t="shared" si="0"/>
        <v>* pagetDisease 1..1 boolean ##34#Paget disease##34# ##334#Paget disease##334#</v>
      </c>
      <c r="L51" s="12" t="str">
        <f t="shared" si="1"/>
        <v/>
      </c>
    </row>
    <row r="52" spans="1:12" ht="29.5">
      <c r="A52" s="11">
        <v>44</v>
      </c>
      <c r="B52" s="6" t="s">
        <v>2452</v>
      </c>
      <c r="C52" s="11" t="s">
        <v>2453</v>
      </c>
      <c r="D52" s="11" t="s">
        <v>2453</v>
      </c>
      <c r="E52" s="11">
        <v>1</v>
      </c>
      <c r="F52" s="11">
        <v>1</v>
      </c>
      <c r="G52" s="6" t="s">
        <v>157</v>
      </c>
      <c r="H52" s="12"/>
      <c r="J52" s="12" t="str">
        <f t="shared" si="0"/>
        <v>* otherGeneticSyndromeWho2020 1..1 boolean ##34#Other Genetic syndrome WHO 2020 ##34# ##334#Other Genetic syndrome WHO 2020 ##334#</v>
      </c>
      <c r="L52" s="12" t="str">
        <f t="shared" si="1"/>
        <v/>
      </c>
    </row>
    <row r="53" spans="1:12" ht="29.5">
      <c r="A53" s="11">
        <v>45</v>
      </c>
      <c r="B53" s="6" t="s">
        <v>2454</v>
      </c>
      <c r="C53" s="11" t="s">
        <v>2455</v>
      </c>
      <c r="D53" s="11" t="s">
        <v>2455</v>
      </c>
      <c r="E53" s="11">
        <v>1</v>
      </c>
      <c r="F53" s="11">
        <v>1</v>
      </c>
      <c r="G53" s="6" t="s">
        <v>157</v>
      </c>
      <c r="H53" s="12"/>
      <c r="J53" s="12" t="str">
        <f t="shared" si="0"/>
        <v>* occurrenceOfOtherCancer 1..1 boolean ##34#Occurrence of other cancer##34# ##334#Occurrence of other cancer##334#</v>
      </c>
      <c r="L53" s="12" t="str">
        <f t="shared" si="1"/>
        <v/>
      </c>
    </row>
    <row r="54" spans="1:12" ht="103.25">
      <c r="A54" s="11">
        <v>46</v>
      </c>
      <c r="B54" s="11" t="s">
        <v>2456</v>
      </c>
      <c r="C54" s="11" t="s">
        <v>2457</v>
      </c>
      <c r="D54" s="11" t="s">
        <v>2457</v>
      </c>
      <c r="E54" s="11">
        <v>1</v>
      </c>
      <c r="F54" s="11">
        <v>1</v>
      </c>
      <c r="G54" s="11" t="s">
        <v>1781</v>
      </c>
      <c r="H54" s="12" t="s">
        <v>2466</v>
      </c>
      <c r="J54" s="12" t="str">
        <f t="shared" si="0"/>
        <v>* previousCancerTreatment 1..1 CodeableConcept ##34#Previous cancer treatment##34# ##334#Previous cancer treatment##334#</v>
      </c>
      <c r="L54" s="12" t="str">
        <f t="shared" si="1"/>
        <v>* previousCancerTreatment ^comment = ##334#Chemotherapy/radiation/surgery/other (site of radiotherapy)
Chemotherapy - 4273629
Radiation - 4029715
Surgery - 4121697 
Other - Needs to be specified##334#</v>
      </c>
    </row>
    <row r="55" spans="1:12" ht="29.5">
      <c r="A55" s="11">
        <v>47</v>
      </c>
      <c r="B55" s="11" t="s">
        <v>2458</v>
      </c>
      <c r="C55" s="11" t="s">
        <v>2459</v>
      </c>
      <c r="D55" s="11" t="s">
        <v>2460</v>
      </c>
      <c r="E55" s="11">
        <v>1</v>
      </c>
      <c r="F55" s="11">
        <v>1</v>
      </c>
      <c r="G55" s="11" t="s">
        <v>2469</v>
      </c>
      <c r="H55" s="12"/>
      <c r="J55" s="12" t="str">
        <f t="shared" si="0"/>
        <v>* lastContact 1..1 dateTime ##34#Last Contact##34# ##334#Date of the last contact with the patient, of any kind.##334#</v>
      </c>
      <c r="L55" s="12" t="str">
        <f t="shared" si="1"/>
        <v/>
      </c>
    </row>
    <row r="56" spans="1:12">
      <c r="J56" s="12" t="str">
        <f t="shared" si="0"/>
        <v>*  ..  ##34###34# ##334###334#</v>
      </c>
      <c r="L56" s="12" t="str">
        <f t="shared" si="1"/>
        <v>*  ..  ##34###34# ##334###334#</v>
      </c>
    </row>
    <row r="57" spans="1:12">
      <c r="J57" s="12" t="str">
        <f t="shared" si="0"/>
        <v>*  ..  ##34###34# ##334###334#</v>
      </c>
      <c r="L57" s="12" t="str">
        <f t="shared" si="1"/>
        <v>*  ..  ##34###34# ##334###334#</v>
      </c>
    </row>
    <row r="58" spans="1:12">
      <c r="J58" s="12" t="str">
        <f t="shared" si="0"/>
        <v>*  ..  ##34###34# ##334###334#</v>
      </c>
      <c r="L58" s="12" t="str">
        <f t="shared" si="1"/>
        <v>*  ..  ##34###34# ##334###334#</v>
      </c>
    </row>
    <row r="59" spans="1:12">
      <c r="J59" s="12" t="str">
        <f t="shared" si="0"/>
        <v>*  ..  ##34###34# ##334###334#</v>
      </c>
      <c r="L59" s="12" t="str">
        <f t="shared" si="1"/>
        <v>*  ..  ##34###34# ##334###334#</v>
      </c>
    </row>
  </sheetData>
  <autoFilter ref="A7:M40" xr:uid="{8509A97B-13A2-4A61-A2A1-3198312EE21A}"/>
  <phoneticPr fontId="4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Subject!B18</f>
        <v>comorbidity</v>
      </c>
      <c r="C18" s="11" t="s">
        <v>1609</v>
      </c>
      <c r="E18" s="12" t="str">
        <f t="shared" si="0"/>
        <v>* comorbidity -&gt; ##34#TBD##34#</v>
      </c>
    </row>
    <row r="19" spans="1:5">
      <c r="A19" s="11"/>
      <c r="B19" s="11" t="e">
        <f>Subject!#REF!</f>
        <v>#REF!</v>
      </c>
      <c r="C19" s="11" t="s">
        <v>1609</v>
      </c>
      <c r="E19" s="12" t="e">
        <f t="shared" si="0"/>
        <v>#REF!</v>
      </c>
    </row>
    <row r="20" spans="1:5">
      <c r="A20" s="11"/>
      <c r="B20" s="11" t="str">
        <f>Subject!B19</f>
        <v>comorbidity.myocardialInfarction</v>
      </c>
      <c r="C20" s="11" t="s">
        <v>1609</v>
      </c>
      <c r="E20" s="12" t="str">
        <f t="shared" si="0"/>
        <v>* comorbidity.myocardialInfarction -&gt; ##34#TBD##34#</v>
      </c>
    </row>
    <row r="21" spans="1:5">
      <c r="B21" s="11" t="str">
        <f>Subject!B20</f>
        <v>comorbidity.congestiveHeartFailure</v>
      </c>
      <c r="C21" s="11" t="s">
        <v>1609</v>
      </c>
      <c r="E21" s="12" t="str">
        <f t="shared" si="0"/>
        <v>* comorbidity.congestiveHeartFailure -&gt; ##34#TBD##34#</v>
      </c>
    </row>
    <row r="22" spans="1:5">
      <c r="B22" s="11" t="str">
        <f>Subject!B21</f>
        <v>comorbidity.peripheralVascularDisease</v>
      </c>
      <c r="C22" s="11" t="s">
        <v>1609</v>
      </c>
      <c r="E22" s="12" t="str">
        <f t="shared" si="0"/>
        <v>* comorbidity.peripheralVascularDisease -&gt; ##34#TBD##34#</v>
      </c>
    </row>
    <row r="23" spans="1:5">
      <c r="B23" s="11" t="str">
        <f>Subject!B22</f>
        <v>comorbidity.cerebrovascularAccidentExceptHemiplegia</v>
      </c>
      <c r="C23" s="11" t="s">
        <v>1609</v>
      </c>
      <c r="E23" s="12" t="str">
        <f t="shared" si="0"/>
        <v>* comorbidity.cerebrovascularAccidentExceptHemiplegia -&gt; ##34#TBD##34#</v>
      </c>
    </row>
    <row r="24" spans="1:5">
      <c r="B24" s="11" t="str">
        <f>Subject!B23</f>
        <v>comorbidity.dementia</v>
      </c>
      <c r="C24" s="11" t="s">
        <v>1609</v>
      </c>
      <c r="E24" s="12" t="str">
        <f t="shared" si="0"/>
        <v>* comorbidity.dementia -&gt; ##34#TBD##34#</v>
      </c>
    </row>
    <row r="25" spans="1:5">
      <c r="B25" s="11" t="str">
        <f>Subject!B24</f>
        <v>comorbidity.chronicPulmonaryDisease</v>
      </c>
      <c r="C25" s="11" t="s">
        <v>1609</v>
      </c>
      <c r="E25" s="12" t="str">
        <f t="shared" si="0"/>
        <v>* comorbidity.chronicPulmonaryDisease -&gt; ##34#TBD##34#</v>
      </c>
    </row>
    <row r="26" spans="1:5">
      <c r="B26" s="11" t="str">
        <f>Subject!B25</f>
        <v>comorbidity.connectiveTissueDisease</v>
      </c>
      <c r="C26" s="11" t="s">
        <v>1609</v>
      </c>
      <c r="E26" s="12" t="str">
        <f t="shared" si="0"/>
        <v>* comorbidity.connectiveTissueDisease -&gt; ##34#TBD##34#</v>
      </c>
    </row>
    <row r="27" spans="1:5">
      <c r="B27" s="11" t="str">
        <f>Subject!B26</f>
        <v>comorbidity.ulcer</v>
      </c>
      <c r="C27" s="11" t="s">
        <v>1609</v>
      </c>
      <c r="E27" s="12" t="str">
        <f t="shared" si="0"/>
        <v>* comorbidity.ulcer -&gt; ##34#TBD##34#</v>
      </c>
    </row>
    <row r="28" spans="1:5">
      <c r="B28" s="11" t="str">
        <f>Subject!B27</f>
        <v>comorbidity.mildLiverDisease</v>
      </c>
      <c r="C28" s="11" t="s">
        <v>1609</v>
      </c>
      <c r="E28" s="12" t="str">
        <f t="shared" si="0"/>
        <v>* comorbidity.mildLiverDisease -&gt; ##34#TBD##34#</v>
      </c>
    </row>
    <row r="29" spans="1:5">
      <c r="B29" s="11" t="str">
        <f>Subject!B28</f>
        <v>comorbidity.moderateToSevereLiverDisease</v>
      </c>
      <c r="C29" s="11" t="s">
        <v>1609</v>
      </c>
      <c r="E29" s="12" t="str">
        <f t="shared" si="0"/>
        <v>* comorbidity.moderateToSevereLiverDisease -&gt; ##34#TBD##34#</v>
      </c>
    </row>
    <row r="30" spans="1:5">
      <c r="B30" s="11" t="str">
        <f>Subject!B29</f>
        <v>comorbidity.diabetesWithoutComplications</v>
      </c>
      <c r="C30" s="11" t="s">
        <v>1609</v>
      </c>
      <c r="E30" s="12" t="str">
        <f t="shared" si="0"/>
        <v>* comorbidity.diabetesWithoutComplications -&gt; ##34#TBD##34#</v>
      </c>
    </row>
    <row r="31" spans="1:5">
      <c r="B31" s="11" t="str">
        <f>Subject!B30</f>
        <v>comorbidity.diabetesWithEndOrganDamage</v>
      </c>
      <c r="C31" s="11" t="s">
        <v>1609</v>
      </c>
      <c r="E31" s="12" t="str">
        <f t="shared" si="0"/>
        <v>* comorbidity.diabetesWithEndOrganDamage -&gt; ##34#TBD##34#</v>
      </c>
    </row>
    <row r="32" spans="1:5">
      <c r="B32" s="11" t="str">
        <f>Subject!B31</f>
        <v>comorbidity.hemiplegia</v>
      </c>
      <c r="C32" s="11" t="s">
        <v>1609</v>
      </c>
      <c r="E32" s="12" t="str">
        <f t="shared" si="0"/>
        <v>* comorbidity.hemiplegia -&gt; ##34#TBD##34#</v>
      </c>
    </row>
    <row r="33" spans="2:5">
      <c r="B33" s="11" t="str">
        <f>Subject!B32</f>
        <v>comorbidity.moderateToSevereRenalDisease</v>
      </c>
      <c r="C33" s="11" t="s">
        <v>1609</v>
      </c>
      <c r="E33" s="12" t="str">
        <f t="shared" si="0"/>
        <v>* comorbidity.moderateToSevereRenalDisease -&gt; ##34#TBD##34#</v>
      </c>
    </row>
    <row r="34" spans="2:5">
      <c r="B34" s="11" t="str">
        <f>Subject!B33</f>
        <v>comorbidity.solidTumorNonMetastatic</v>
      </c>
      <c r="C34" s="11" t="s">
        <v>1609</v>
      </c>
      <c r="E34" s="12" t="str">
        <f t="shared" si="0"/>
        <v>* comorbidity.solidTumorNonMetastatic -&gt; ##34#TBD##34#</v>
      </c>
    </row>
    <row r="35" spans="2:5">
      <c r="B35" s="11" t="str">
        <f>Subject!B34</f>
        <v>comorbidity.metastaticSolidTumor</v>
      </c>
      <c r="C35" s="11" t="s">
        <v>1609</v>
      </c>
      <c r="E35" s="12" t="str">
        <f t="shared" si="0"/>
        <v>* comorbidity.metastaticSolidTumor -&gt; ##34#TBD##34#</v>
      </c>
    </row>
    <row r="36" spans="2:5">
      <c r="B36" s="11" t="str">
        <f>Subject!B35</f>
        <v>comorbidity.leukemia</v>
      </c>
      <c r="C36" s="11" t="s">
        <v>1609</v>
      </c>
      <c r="E36" s="12" t="str">
        <f t="shared" si="0"/>
        <v>* comorbidity.leukemia -&gt; ##34#TBD##34#</v>
      </c>
    </row>
    <row r="37" spans="2:5">
      <c r="B37" s="11" t="str">
        <f>Subject!B36</f>
        <v>comorbidity.lymphoma</v>
      </c>
      <c r="C37" s="11" t="s">
        <v>1609</v>
      </c>
      <c r="E37" s="12" t="str">
        <f t="shared" si="0"/>
        <v>* comorbidity.lymphoma -&gt; ##34#TBD##34#</v>
      </c>
    </row>
    <row r="38" spans="2:5">
      <c r="B38" s="11" t="str">
        <f>Subject!B38</f>
        <v>comorbidity.aids</v>
      </c>
      <c r="C38" s="11" t="s">
        <v>1609</v>
      </c>
      <c r="E38" s="12" t="str">
        <f t="shared" si="0"/>
        <v>* comorbidity.aids -&gt; ##34#TBD##34#</v>
      </c>
    </row>
    <row r="39" spans="2:5">
      <c r="B39" s="11" t="str">
        <f>Subject!B39</f>
        <v>ecogPsAtDiagnosis</v>
      </c>
      <c r="C39" s="11" t="s">
        <v>1609</v>
      </c>
      <c r="E39" s="12" t="str">
        <f t="shared" si="0"/>
        <v>* ecogPsAtDiagnosis -&gt; ##34#TBD##34#</v>
      </c>
    </row>
    <row r="40" spans="2:5">
      <c r="B40" s="11" t="str">
        <f>Subject!B40</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113"/>
  <sheetViews>
    <sheetView workbookViewId="0">
      <selection activeCell="C8" sqref="C8:C5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##34#Gender##34#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29.5">
      <c r="C16" s="12" t="str">
        <f>IF(Subject!J16="*  ..  ##34###34# ##334###334#","//--- END",Subject!J16)</f>
        <v>* bMI 0..1 Quantity ##34#Height/weight (BMI)
##34# ##334#Provides the BMI for the patient##334#</v>
      </c>
    </row>
    <row r="17" spans="3:3" ht="29.5">
      <c r="C17" s="12" t="str">
        <f>IF(Subject!J17="*  ..  ##34###34# ##334###334#","//--- END",Subject!J17)</f>
        <v>* charlsonComorbidityIndex 0..1 integer ##34#Charlson Comorbidity index##34# ##334#Provides the Charlson Comorbidity index for the patient##334#</v>
      </c>
    </row>
    <row r="18" spans="3:3" ht="29.5">
      <c r="C18" s="12" t="str">
        <f>IF(Subject!J18="*  ..  ##34###34# ##334###334#","//--- END",Subject!J18)</f>
        <v>* comorbidity 1..1 BackboneElement ##34#Comorbidity##34# ##334#Describes whether the patient was diagnosed before treatment of at least one of the comorbidities listed  next or not##334#</v>
      </c>
    </row>
    <row r="19" spans="3:3" ht="44.25">
      <c r="C19" s="12" t="str">
        <f>IF(Subject!J19="*  ..  ##34###34# ##334###334#","//--- END",Subject!J19)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c r="C20" s="12" t="str">
        <f>IF(Subject!J20="*  ..  ##34###34# ##334###334#","//--- END",Subject!J20)</f>
        <v>* comorbidity.congestiveHeartFailure 0..1 boolean ##34#Congestive heart failure##34# ##334#Previous cancer comorbidity related to Congestive heart failure##334#</v>
      </c>
    </row>
    <row r="21" spans="3:3" ht="29.5">
      <c r="C21" s="12" t="str">
        <f>IF(Subject!J21="*  ..  ##34###34# ##334###334#","//--- END",Subject!J21)</f>
        <v>* comorbidity.peripheralVascularDisease 0..1 boolean ##34#Peripheral vascular disease##34# ##334#Previous cancer comorbidity related to Peripheral vascular disease##334#</v>
      </c>
    </row>
    <row r="22" spans="3:3" ht="29.5">
      <c r="C22" s="12" t="str">
        <f>IF(Subject!J22="*  ..  ##34###34# ##334###334#","//--- END",Subject!J22)</f>
        <v>* comorbidity.cerebrovascularAccidentExceptHemiplegia 0..1 boolean ##34#Cerebrovascular accident  (except hemiplegia)##34# ##334#Previous cancer comorbidity related to Cerebrovascular accident  (except hemiplegia)##334#</v>
      </c>
    </row>
    <row r="23" spans="3:3">
      <c r="C23" s="12" t="str">
        <f>IF(Subject!J23="*  ..  ##34###34# ##334###334#","//--- END",Subject!J23)</f>
        <v>* comorbidity.dementia 0..1 boolean ##34#Dementia##34# ##334#Previous cancer comorbidity related to Dementia##334#</v>
      </c>
    </row>
    <row r="24" spans="3:3" ht="29.5">
      <c r="C24" s="12" t="str">
        <f>IF(Subject!J24="*  ..  ##34###34# ##334###334#","//--- END",Subject!J24)</f>
        <v>* comorbidity.chronicPulmonaryDisease 0..1 boolean ##34#Chronic pulmonary disease##34# ##334#Previous cancer comorbidity related to Chronic pulmonary disease##334#</v>
      </c>
    </row>
    <row r="25" spans="3:3" ht="29.5">
      <c r="C25" s="12" t="str">
        <f>IF(Subject!J25="*  ..  ##34###34# ##334###334#","//--- END",Subject!J25)</f>
        <v>* comorbidity.connectiveTissueDisease 0..1 boolean ##34#Connective tissue disease##34# ##334#Previous cancer comorbidity related to Connective tissue disease##334#</v>
      </c>
    </row>
    <row r="26" spans="3:3">
      <c r="C26" s="12" t="str">
        <f>IF(Subject!J26="*  ..  ##34###34# ##334###334#","//--- END",Subject!J26)</f>
        <v>* comorbidity.ulcer 0..1 boolean ##34#Ulcer##34# ##334#Previous cancer comorbidity related to Ulcer##334#</v>
      </c>
    </row>
    <row r="27" spans="3:3" ht="29.5">
      <c r="C27" s="12" t="str">
        <f>IF(Subject!J27="*  ..  ##34###34# ##334###334#","//--- END",Subject!J27)</f>
        <v>* comorbidity.mildLiverDisease 0..1 boolean ##34#Mild liver disease##34# ##334#Previous cancer comorbidity related to Mild liver disease##334#</v>
      </c>
    </row>
    <row r="28" spans="3:3" ht="29.5">
      <c r="C28" s="12" t="str">
        <f>IF(Subject!J28="*  ..  ##34###34# ##334###334#","//--- END",Subject!J28)</f>
        <v>* comorbidity.moderateToSevereLiverDisease 0..1 boolean ##34#Moderate to severe liver disease##34# ##334#Previous cancer comorbidity related to Moderate to severe liver disease##334#</v>
      </c>
    </row>
    <row r="29" spans="3:3" ht="29.5">
      <c r="C29" s="12" t="str">
        <f>IF(Subject!J29="*  ..  ##34###34# ##334###334#","//--- END",Subject!J29)</f>
        <v>* comorbidity.diabetesWithoutComplications 0..1 boolean ##34#Diabetes (without complications)##34# ##334#Previous cancer comorbidity related to Diabetes (without complications)##334#</v>
      </c>
    </row>
    <row r="30" spans="3:3" ht="29.5">
      <c r="C30" s="12" t="str">
        <f>IF(Subject!J30="*  ..  ##34###34# ##334###334#","//--- END",Subject!J30)</f>
        <v>* comorbidity.diabetesWithEndOrganDamage 0..1 boolean ##34#Diabetes with end organ damage##34# ##334#Previous cancer comorbidity related to Diabetes with end organ damage##334#</v>
      </c>
    </row>
    <row r="31" spans="3:3" ht="29.5">
      <c r="C31" s="12" t="str">
        <f>IF(Subject!J31="*  ..  ##34###34# ##334###334#","//--- END",Subject!J31)</f>
        <v>* comorbidity.hemiplegia 0..1 boolean ##34#Hemiplegia##34# ##334#Previous cancer comorbidity related to Hemiplegia##334#</v>
      </c>
    </row>
    <row r="32" spans="3:3" ht="29.5">
      <c r="C32" s="12" t="str">
        <f>IF(Subject!J32="*  ..  ##34###34# ##334###334#","//--- END",Subject!J32)</f>
        <v>* comorbidity.moderateToSevereRenalDisease 0..1 boolean ##34#Moderate to severe renal disease##34# ##334#Previous cancer comorbidity related to Moderate to severe renal disease##334#</v>
      </c>
    </row>
    <row r="33" spans="3:3" ht="29.5">
      <c r="C33" s="12" t="str">
        <f>IF(Subject!J33="*  ..  ##34###34# ##334###334#","//--- END",Subject!J33)</f>
        <v>* comorbidity.solidTumorNonMetastatic 0..1 boolean ##34#Solid tumor (non metastatic)##34# ##334#Previous cancer comorbidity related to Solid tumor (non metastatic)##334#</v>
      </c>
    </row>
    <row r="34" spans="3:3" ht="29.5">
      <c r="C34" s="12" t="str">
        <f>IF(Subject!J34="*  ..  ##34###34# ##334###334#","//--- END",Subject!J34)</f>
        <v>* comorbidity.metastaticSolidTumor 0..1 boolean ##34#Metastatic solid tumor##34# ##334#Previous cancer comorbidity related to Metastatic solid tumor##334#</v>
      </c>
    </row>
    <row r="35" spans="3:3">
      <c r="C35" s="12" t="str">
        <f>IF(Subject!J35="*  ..  ##34###34# ##334###334#","//--- END",Subject!J35)</f>
        <v>* comorbidity.leukemia 0..1 boolean ##34#Leukemia##34# ##334#Previous cancer comorbidity related to Leukemia##334#</v>
      </c>
    </row>
    <row r="36" spans="3:3">
      <c r="C36" s="12" t="str">
        <f>IF(Subject!J36="*  ..  ##34###34# ##334###334#","//--- END",Subject!J36)</f>
        <v>* comorbidity.lymphoma 0..1 boolean ##34#Lymphoma##34# ##334#Previous cancer comorbidity related to Lymphoma##334#</v>
      </c>
    </row>
    <row r="37" spans="3:3" ht="29.5">
      <c r="C37" s="12" t="str">
        <f>IF(Subject!J37="*  ..  ##34###34# ##334###334#","//--- END",Subject!J37)</f>
        <v>* comorbidity.multipleMyeloma 0..1 boolean ##34#Multiple myeloma##34# ##334#Previous cancer comorbidity related to Multiple myeloma##334#</v>
      </c>
    </row>
    <row r="38" spans="3:3">
      <c r="C38" s="12" t="str">
        <f>IF(Subject!J38="*  ..  ##34###34# ##334###334#","//--- END",Subject!J38)</f>
        <v>* comorbidity.aids 0..1 boolean ##34#AIDS##34# ##334#Previous cancer comorbidity related to AIDS##334#</v>
      </c>
    </row>
    <row r="39" spans="3:3" ht="29.5">
      <c r="C39" s="12" t="str">
        <f>IF(Subject!J39="*  ..  ##34###34# ##334###334#","//--- END",Subject!J39)</f>
        <v>* ecogPsAtDiagnosis 0..1 CodeableConcept ##34#Eastern Cooperative Oncology Group performance status (ECOG PS)  at diagnosis##34# ##334#Eastern Cooperative Oncology Group performance status (ECOG PS)  at diagnosis##334#</v>
      </c>
    </row>
    <row r="40" spans="3:3" ht="29.5">
      <c r="C40" s="12" t="str">
        <f>IF(Subject!J40="*  ..  ##34###34# ##334###334#","//--- END",Subject!J40)</f>
        <v>* karnofsyIndexAtDiagnosis 0..1 CodeableConcept ##34#Karnofsy index at diagnosis##34# ##334#Karnofsy index at diagnosis##334#</v>
      </c>
    </row>
    <row r="41" spans="3:3" ht="29.5">
      <c r="C41" s="12" t="str">
        <f>IF(Subject!J41="*  ..  ##34###34# ##334###334#","//--- END",Subject!J41)</f>
        <v>* noGeneticSyndromeWho2020 1..1 BackboneElement ##34#No Genetic syndrome WHO 2020 ##34# ##334#No Genetic syndrome WHO 2020 ##334#</v>
      </c>
    </row>
    <row r="42" spans="3:3">
      <c r="C42" s="12" t="str">
        <f>IF(Subject!J42="*  ..  ##34###34# ##334###334#","//--- END",Subject!J42)</f>
        <v>* olliersDisease 1..1 boolean ##34#Olliers disease##34# ##334#Olliers disease##334#</v>
      </c>
    </row>
    <row r="43" spans="3:3">
      <c r="C43" s="12" t="str">
        <f>IF(Subject!J43="*  ..  ##34###34# ##334###334#","//--- END",Subject!J43)</f>
        <v>* maffuciSyndrome 1..1 boolean ##34#Maffuci syndrome##34# ##334#Maffuci syndrome##334#</v>
      </c>
    </row>
    <row r="44" spans="3:3">
      <c r="C44" s="12" t="str">
        <f>IF(Subject!J44="*  ..  ##34###34# ##334###334#","//--- END",Subject!J44)</f>
        <v>* liFraumeniSyndrome 1..1 boolean ##34#Li-Fraumeni syndrome##34# ##334#Li-Fraumeni syndrome##334#</v>
      </c>
    </row>
    <row r="45" spans="3:3">
      <c r="C45" s="12" t="str">
        <f>IF(Subject!J45="*  ..  ##34###34# ##334###334#","//--- END",Subject!J45)</f>
        <v>* mcCuneAlbrightSyndrome 1..1 boolean ##34#McCune-Albright syndrome##34# ##334#McCune-Albright syndrome##334#</v>
      </c>
    </row>
    <row r="46" spans="3:3">
      <c r="C46" s="12" t="str">
        <f>IF(Subject!J46="*  ..  ##34###34# ##334###334#","//--- END",Subject!J46)</f>
        <v>* multipleOsteochondromas 1..1 boolean ##34#Multiple osteochondromas##34# ##334#Multiple osteochondromas##334#</v>
      </c>
    </row>
    <row r="47" spans="3:3">
      <c r="C47" s="12" t="str">
        <f>IF(Subject!J47="*  ..  ##34###34# ##334###334#","//--- END",Subject!J47)</f>
        <v>* neurofibromatosisType1 1..1 boolean ##34#Neurofibromatosis type 1##34# ##334#Neurofibromatosis type 2##334#</v>
      </c>
    </row>
    <row r="48" spans="3:3" ht="29.5">
      <c r="C48" s="12" t="str">
        <f>IF(Subject!J48="*  ..  ##34###34# ##334###334#","//--- END",Subject!J48)</f>
        <v>* rothmundThomsonSyndrome 1..1 boolean ##34#Rothmund-Thomson syndrome##34# ##334#Rothmund-Thomson syndrome##334#</v>
      </c>
    </row>
    <row r="49" spans="3:3">
      <c r="C49" s="12" t="str">
        <f>IF(Subject!J49="*  ..  ##34###34# ##334###334#","//--- END",Subject!J49)</f>
        <v>* wernerSyndrome 1..1 boolean ##34#Werner syndrome##34# ##334#Werner syndrome##334#</v>
      </c>
    </row>
    <row r="50" spans="3:3">
      <c r="C50" s="12" t="str">
        <f>IF(Subject!J50="*  ..  ##34###34# ##334###334#","//--- END",Subject!J50)</f>
        <v>* retinoblastoma 1..1 boolean ##34#Retinoblastoma##34# ##334#Retinoblastoma##334#</v>
      </c>
    </row>
    <row r="51" spans="3:3">
      <c r="C51" s="12" t="str">
        <f>IF(Subject!J51="*  ..  ##34###34# ##334###334#","//--- END",Subject!J51)</f>
        <v>* pagetDisease 1..1 boolean ##34#Paget disease##34# ##334#Paget disease##334#</v>
      </c>
    </row>
    <row r="52" spans="3:3" ht="29.5">
      <c r="C52" s="12" t="str">
        <f>IF(Subject!J52="*  ..  ##34###34# ##334###334#","//--- END",Subject!J52)</f>
        <v>* otherGeneticSyndromeWho2020 1..1 boolean ##34#Other Genetic syndrome WHO 2020 ##34# ##334#Other Genetic syndrome WHO 2020 ##334#</v>
      </c>
    </row>
    <row r="53" spans="3:3">
      <c r="C53" s="12" t="str">
        <f>IF(Subject!J53="*  ..  ##34###34# ##334###334#","//--- END",Subject!J53)</f>
        <v>* occurrenceOfOtherCancer 1..1 boolean ##34#Occurrence of other cancer##34# ##334#Occurrence of other cancer##334#</v>
      </c>
    </row>
    <row r="54" spans="3:3" ht="29.5">
      <c r="C54" s="12" t="str">
        <f>IF(Subject!J54="*  ..  ##34###34# ##334###334#","//--- END",Subject!J54)</f>
        <v>* previousCancerTreatment 1..1 CodeableConcept ##34#Previous cancer treatment##34# ##334#Previous cancer treatment##334#</v>
      </c>
    </row>
    <row r="55" spans="3:3">
      <c r="C55" s="12" t="str">
        <f>IF(Subject!J55="*  ..  ##34###34# ##334###334#","//--- END",Subject!J55)</f>
        <v>* lastContact 1..1 dateTime ##34#Last Contact##34# ##334#Date of the last contact with the patient, of any kind.##334#</v>
      </c>
    </row>
    <row r="56" spans="3:3">
      <c r="C56" s="12" t="str">
        <f>IF(Subject!J56="*  ..  ##34###34# ##334###334#","//--- END",Subject!J56)</f>
        <v>//--- END</v>
      </c>
    </row>
    <row r="57" spans="3:3">
      <c r="C57" s="12" t="str">
        <f>IF(Subject!J57="*  ..  ##34###34# ##334###334#","//--- END",Subject!J57)</f>
        <v>//--- END</v>
      </c>
    </row>
    <row r="58" spans="3:3">
      <c r="C58" s="12" t="str">
        <f>IF(Subject!J58="*  ..  ##34###34# ##334###334#","//--- END",Subject!J58)</f>
        <v>//--- END</v>
      </c>
    </row>
    <row r="60" spans="3:3">
      <c r="C60" s="23" t="s">
        <v>1613</v>
      </c>
    </row>
    <row r="61" spans="3:3">
      <c r="C61" s="24" t="s">
        <v>1701</v>
      </c>
    </row>
    <row r="62" spans="3:3">
      <c r="C62" s="24" t="s">
        <v>1613</v>
      </c>
    </row>
    <row r="63" spans="3:3" ht="59">
      <c r="C63" s="12" t="str">
        <f>IF(Subject!L8="*  ..  ##34###34# ##334###334#","//--- END",Subject!L8)</f>
        <v>* sex ^comment = ##334#Male; Female; Unknown.
Male - 8507
Female - 8532
Unknown - 4129922##334#</v>
      </c>
    </row>
    <row r="64" spans="3:3" ht="88.5">
      <c r="C64" s="12" t="str">
        <f>IF(Subject!L9="*  ..  ##34###34# ##334###334#","//--- END",Subject!L9)</f>
        <v>* race ^comment = ##334#Unknown; White; Black; Asians/Pacific Islanders; American Indian/Alaska Native
White - 8527
Black - 8516
Asian/Pacific Islanders - 8515
American Indian/Alaska Native - 8657
Unknown - 4129922##334#</v>
      </c>
    </row>
    <row r="65" spans="3:3" ht="29.5">
      <c r="C65" s="12" t="str">
        <f>IF(Subject!L10="*  ..  ##34###34# ##334###334#","//--- END",Subject!L10)</f>
        <v>* countryOfResidence ^comment = ##334#Value from the code list of countries
Son in the hierarchy of countries##334#</v>
      </c>
    </row>
    <row r="66" spans="3:3" ht="73.75">
      <c r="C66" s="12" t="str">
        <f>IF(Subject!L11="*  ..  ##34###34# ##334###334#","//--- END",Subject!L11)</f>
        <v>* smoking ^comment = ##334#Current tobacco smoker; Former smoker (at least for 12 months); Never smoker; Unknown
Current smoker - 36309332
Former smoker - 45883458
Never smoker - 45879404
##334#</v>
      </c>
    </row>
    <row r="67" spans="3:3" ht="59">
      <c r="C67" s="12" t="str">
        <f>IF(Subject!L12="*  ..  ##34###34# ##334###334#","//--- END",Subject!L12)</f>
        <v>* smokingType ^comment = ##334#Cigarettes; Cigar; Unknown
Cigarettes - 36716475
Cigar -  36716476
Unknown - 4129922##334#</v>
      </c>
    </row>
    <row r="68" spans="3:3">
      <c r="C68" s="12" t="str">
        <f>IF(Subject!L13="*  ..  ##34###34# ##334###334#","//--- END",Subject!L13)</f>
        <v/>
      </c>
    </row>
    <row r="69" spans="3:3">
      <c r="C69" s="12" t="str">
        <f>IF(Subject!L14="*  ..  ##34###34# ##334###334#","//--- END",Subject!L14)</f>
        <v/>
      </c>
    </row>
    <row r="70" spans="3:3" ht="88.5">
      <c r="C70" s="12" t="str">
        <f>IF(Subject!L15="*  ..  ##34###34# ##334###334#","//--- END",Subject!L15)</f>
        <v>* alcohol ^comment = ##334#Current; Former (at least for 12 months); Never; History of alcohol dependence; Unknown
Current drinker - 4074035
Ex-drinker - 4220362
Lifetime non-drinker of alcohol - 37204556
Ex-problem drinker - 4117706
##334#</v>
      </c>
    </row>
    <row r="71" spans="3:3">
      <c r="C71" s="12" t="str">
        <f>IF(Subject!L16="*  ..  ##34###34# ##334###334#","//--- END",Subject!L16)</f>
        <v/>
      </c>
    </row>
    <row r="72" spans="3:3">
      <c r="C72" s="12" t="str">
        <f>IF(Subject!L17="*  ..  ##34###34# ##334###334#","//--- END",Subject!L17)</f>
        <v/>
      </c>
    </row>
    <row r="73" spans="3:3" ht="59">
      <c r="C73" s="12" t="str">
        <f>IF(Subject!L18="*  ..  ##34###34# ##334###334#","//--- END",Subject!L18)</f>
        <v>* comorbidity ^comment = ##334#Yes; No; Unknown
Yes - 4188539
No -  4188540
Unknown - 4129922##334#</v>
      </c>
    </row>
    <row r="74" spans="3:3">
      <c r="C74" s="12" t="str">
        <f>IF(Subject!L19="*  ..  ##34###34# ##334###334#","//--- END",Subject!L19)</f>
        <v/>
      </c>
    </row>
    <row r="75" spans="3:3">
      <c r="C75" s="12" t="str">
        <f>IF(Subject!L20="*  ..  ##34###34# ##334###334#","//--- END",Subject!L20)</f>
        <v/>
      </c>
    </row>
    <row r="76" spans="3:3">
      <c r="C76" s="12" t="str">
        <f>IF(Subject!L21="*  ..  ##34###34# ##334###334#","//--- END",Subject!L21)</f>
        <v/>
      </c>
    </row>
    <row r="77" spans="3:3">
      <c r="C77" s="12" t="str">
        <f>IF(Subject!L22="*  ..  ##34###34# ##334###334#","//--- END",Subject!L22)</f>
        <v/>
      </c>
    </row>
    <row r="78" spans="3:3">
      <c r="C78" s="12" t="str">
        <f>IF(Subject!L23="*  ..  ##34###34# ##334###334#","//--- END",Subject!L23)</f>
        <v/>
      </c>
    </row>
    <row r="79" spans="3:3">
      <c r="C79" s="12" t="str">
        <f>IF(Subject!L24="*  ..  ##34###34# ##334###334#","//--- END",Subject!L24)</f>
        <v/>
      </c>
    </row>
    <row r="80" spans="3:3">
      <c r="C80" s="12" t="str">
        <f>IF(Subject!L25="*  ..  ##34###34# ##334###334#","//--- END",Subject!L25)</f>
        <v/>
      </c>
    </row>
    <row r="81" spans="3:3">
      <c r="C81" s="12" t="str">
        <f>IF(Subject!L26="*  ..  ##34###34# ##334###334#","//--- END",Subject!L26)</f>
        <v/>
      </c>
    </row>
    <row r="82" spans="3:3">
      <c r="C82" s="12" t="str">
        <f>IF(Subject!L27="*  ..  ##34###34# ##334###334#","//--- END",Subject!L27)</f>
        <v/>
      </c>
    </row>
    <row r="83" spans="3:3">
      <c r="C83" s="12" t="str">
        <f>IF(Subject!L28="*  ..  ##34###34# ##334###334#","//--- END",Subject!L28)</f>
        <v/>
      </c>
    </row>
    <row r="84" spans="3:3">
      <c r="C84" s="12" t="str">
        <f>IF(Subject!L29="*  ..  ##34###34# ##334###334#","//--- END",Subject!L29)</f>
        <v/>
      </c>
    </row>
    <row r="85" spans="3:3">
      <c r="C85" s="12" t="str">
        <f>IF(Subject!L30="*  ..  ##34###34# ##334###334#","//--- END",Subject!L30)</f>
        <v/>
      </c>
    </row>
    <row r="86" spans="3:3">
      <c r="C86" s="12" t="str">
        <f>IF(Subject!L31="*  ..  ##34###34# ##334###334#","//--- END",Subject!L31)</f>
        <v/>
      </c>
    </row>
    <row r="87" spans="3:3">
      <c r="C87" s="12" t="str">
        <f>IF(Subject!L32="*  ..  ##34###34# ##334###334#","//--- END",Subject!L32)</f>
        <v/>
      </c>
    </row>
    <row r="88" spans="3:3">
      <c r="C88" s="12" t="str">
        <f>IF(Subject!L33="*  ..  ##34###34# ##334###334#","//--- END",Subject!L33)</f>
        <v/>
      </c>
    </row>
    <row r="89" spans="3:3">
      <c r="C89" s="12" t="str">
        <f>IF(Subject!L34="*  ..  ##34###34# ##334###334#","//--- END",Subject!L34)</f>
        <v/>
      </c>
    </row>
    <row r="90" spans="3:3">
      <c r="C90" s="12" t="str">
        <f>IF(Subject!L35="*  ..  ##34###34# ##334###334#","//--- END",Subject!L35)</f>
        <v/>
      </c>
    </row>
    <row r="91" spans="3:3">
      <c r="C91" s="12" t="str">
        <f>IF(Subject!L36="*  ..  ##34###34# ##334###334#","//--- END",Subject!L36)</f>
        <v/>
      </c>
    </row>
    <row r="92" spans="3:3">
      <c r="C92" s="12" t="str">
        <f>IF(Subject!L37="*  ..  ##34###34# ##334###334#","//--- END",Subject!L37)</f>
        <v/>
      </c>
    </row>
    <row r="93" spans="3:3">
      <c r="C93" s="12" t="str">
        <f>IF(Subject!L38="*  ..  ##34###34# ##334###334#","//--- END",Subject!L38)</f>
        <v/>
      </c>
    </row>
    <row r="94" spans="3:3" ht="118">
      <c r="C94" s="12" t="str">
        <f>IF(Subject!L39="*  ..  ##34###34# ##334###334#","//--- END",Subject!L39)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c r="C95" s="12" t="str">
        <f>IF(Subject!L40="*  ..  ##34###34# ##334###334#","//--- END",Subject!L40)</f>
        <v>* karnofsyIndexAtDiagnosis ^comment = ##334#KPS Scale
SONS Functional Neurologic Status - Karnofsky Performance Scale (KPS) - 35917688 ##334#</v>
      </c>
    </row>
    <row r="96" spans="3:3">
      <c r="C96" s="12" t="str">
        <f>IF(Subject!L41="*  ..  ##34###34# ##334###334#","//--- END",Subject!L41)</f>
        <v/>
      </c>
    </row>
    <row r="97" spans="3:3">
      <c r="C97" s="12" t="str">
        <f>IF(Subject!L42="*  ..  ##34###34# ##334###334#","//--- END",Subject!L42)</f>
        <v/>
      </c>
    </row>
    <row r="98" spans="3:3">
      <c r="C98" s="12" t="str">
        <f>IF(Subject!L43="*  ..  ##34###34# ##334###334#","//--- END",Subject!L43)</f>
        <v/>
      </c>
    </row>
    <row r="99" spans="3:3">
      <c r="C99" s="12" t="str">
        <f>IF(Subject!L44="*  ..  ##34###34# ##334###334#","//--- END",Subject!L44)</f>
        <v/>
      </c>
    </row>
    <row r="100" spans="3:3">
      <c r="C100" s="12" t="str">
        <f>IF(Subject!L45="*  ..  ##34###34# ##334###334#","//--- END",Subject!L45)</f>
        <v/>
      </c>
    </row>
    <row r="101" spans="3:3">
      <c r="C101" s="12" t="str">
        <f>IF(Subject!L46="*  ..  ##34###34# ##334###334#","//--- END",Subject!L46)</f>
        <v/>
      </c>
    </row>
    <row r="102" spans="3:3">
      <c r="C102" s="12" t="str">
        <f>IF(Subject!L47="*  ..  ##34###34# ##334###334#","//--- END",Subject!L47)</f>
        <v/>
      </c>
    </row>
    <row r="103" spans="3:3">
      <c r="C103" s="12" t="str">
        <f>IF(Subject!L48="*  ..  ##34###34# ##334###334#","//--- END",Subject!L48)</f>
        <v/>
      </c>
    </row>
    <row r="104" spans="3:3">
      <c r="C104" s="12" t="str">
        <f>IF(Subject!L49="*  ..  ##34###34# ##334###334#","//--- END",Subject!L49)</f>
        <v/>
      </c>
    </row>
    <row r="105" spans="3:3">
      <c r="C105" s="12" t="str">
        <f>IF(Subject!L50="*  ..  ##34###34# ##334###334#","//--- END",Subject!L50)</f>
        <v/>
      </c>
    </row>
    <row r="106" spans="3:3">
      <c r="C106" s="12" t="str">
        <f>IF(Subject!L51="*  ..  ##34###34# ##334###334#","//--- END",Subject!L51)</f>
        <v/>
      </c>
    </row>
    <row r="107" spans="3:3">
      <c r="C107" s="12" t="str">
        <f>IF(Subject!L52="*  ..  ##34###34# ##334###334#","//--- END",Subject!L52)</f>
        <v/>
      </c>
    </row>
    <row r="108" spans="3:3">
      <c r="C108" s="12" t="str">
        <f>IF(Subject!L53="*  ..  ##34###34# ##334###334#","//--- END",Subject!L53)</f>
        <v/>
      </c>
    </row>
    <row r="109" spans="3:3" ht="73.75">
      <c r="C109" s="12" t="str">
        <f>IF(Subject!L54="*  ..  ##34###34# ##334###334#","//--- END",Subject!L54)</f>
        <v>* previousCancerTreatment ^comment = ##334#Chemotherapy/radiation/surgery/other (site of radiotherapy)
Chemotherapy - 4273629
Radiation - 4029715
Surgery - 4121697 
Other - Needs to be specified##334#</v>
      </c>
    </row>
    <row r="110" spans="3:3">
      <c r="C110" s="12" t="str">
        <f>IF(Subject!L55="*  ..  ##34###34# ##334###334#","//--- END",Subject!L55)</f>
        <v/>
      </c>
    </row>
    <row r="111" spans="3:3">
      <c r="C111" s="12" t="str">
        <f>IF(Subject!L56="*  ..  ##34###34# ##334###334#","//--- END",Subject!L56)</f>
        <v>//--- END</v>
      </c>
    </row>
    <row r="112" spans="3:3">
      <c r="C112" s="12" t="str">
        <f>IF(Subject!L57="*  ..  ##34###34# ##334###334#","//--- END",Subject!L57)</f>
        <v>//--- END</v>
      </c>
    </row>
    <row r="113" spans="3:3">
      <c r="C113" s="12" t="str">
        <f>IF(Subject!L58="*  ..  ##34###34# ##334###334#","//--- END",Subject!L58)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0"/>
  <sheetViews>
    <sheetView topLeftCell="A17" zoomScale="85" zoomScaleNormal="85" workbookViewId="0">
      <selection activeCell="G28" sqref="G28:G3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68" t="s">
        <v>1886</v>
      </c>
      <c r="F4" s="169"/>
      <c r="G4" s="169"/>
    </row>
    <row r="5" spans="1:19">
      <c r="B5" s="62" t="s">
        <v>10</v>
      </c>
      <c r="C5" s="128" t="s">
        <v>1863</v>
      </c>
      <c r="D5" s="62"/>
      <c r="E5" s="7"/>
    </row>
    <row r="6" spans="1:19">
      <c r="B6" s="62" t="s">
        <v>18</v>
      </c>
      <c r="C6" s="129"/>
      <c r="D6" s="62" t="s">
        <v>1788</v>
      </c>
      <c r="E6" s="168" t="str">
        <f>E3</f>
        <v>http://hl7.eu/fhir/ig/idea4rc/StructureDefinition/Subject</v>
      </c>
      <c r="F6" s="169"/>
      <c r="G6" s="169"/>
    </row>
    <row r="7" spans="1:19">
      <c r="B7" s="62" t="s">
        <v>15</v>
      </c>
      <c r="C7" s="130"/>
      <c r="D7" s="62" t="s">
        <v>1789</v>
      </c>
      <c r="E7" s="168" t="s">
        <v>1886</v>
      </c>
      <c r="F7" s="169"/>
      <c r="G7" s="169"/>
    </row>
    <row r="8" spans="1:19" ht="44.25">
      <c r="B8" s="62" t="s">
        <v>1790</v>
      </c>
      <c r="C8" s="103" t="s">
        <v>1863</v>
      </c>
      <c r="D8" s="62"/>
      <c r="E8"/>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1866</v>
      </c>
      <c r="E15" s="12"/>
      <c r="F15" s="64" t="s">
        <v>1429</v>
      </c>
      <c r="G15" s="124" t="s">
        <v>1865</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INDEX('Subject-ConceptMap-1'!$I$15:$N$70,Q15+1,R15)</f>
        <v>* group[=].element[+].code = #Subject.sex</v>
      </c>
    </row>
    <row r="16" spans="1:19" ht="44.25" customHeight="1">
      <c r="A16" s="59"/>
      <c r="B16" s="11" t="str">
        <f>Subject!B9</f>
        <v>race</v>
      </c>
      <c r="C16" s="12" t="str">
        <f>Subject!C9</f>
        <v>Race</v>
      </c>
      <c r="D16" s="12" t="s">
        <v>1867</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8" si="13">IF(MOD(P16,$Q$8)=0,P16/$Q$8-1,INT(P16/$Q$8))</f>
        <v>0</v>
      </c>
      <c r="R16" s="11">
        <f t="shared" ref="R16:R38" si="14">IF(MOD(P16,$Q$8)=0,$Q$8,MOD(P16,$Q$8))</f>
        <v>2</v>
      </c>
      <c r="S16" s="12" t="str" cm="1">
        <f t="array" ref="S16">INDEX('Subject-ConceptMap-1'!$I$15:$N$70,Q16+1,R16)</f>
        <v>* group[=].element[=].display = ##34#Gender##34#</v>
      </c>
    </row>
    <row r="17" spans="1:19" ht="103.25" customHeight="1">
      <c r="A17" s="59"/>
      <c r="B17" s="11" t="str">
        <f>Subject!B10</f>
        <v>countryOfResidence</v>
      </c>
      <c r="C17" s="12" t="str">
        <f>Subject!C10</f>
        <v>Country of Residence</v>
      </c>
      <c r="D17" s="12" t="s">
        <v>1868</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INDEX('Subject-ConceptMap-1'!$I$15:$N$70,Q17+1,R17)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INDEX('Subject-ConceptMap-1'!$I$15:$N$70,Q18+1,R18)</f>
        <v>* group[=].element[=].target.display = ##34###34#</v>
      </c>
    </row>
    <row r="19" spans="1:19" ht="44.25">
      <c r="A19" s="59"/>
      <c r="B19" s="11" t="str">
        <f>Subject!B12</f>
        <v>smokingType</v>
      </c>
      <c r="C19" s="12" t="str">
        <f>Subject!C12</f>
        <v>Smoking type</v>
      </c>
      <c r="D19" s="12"/>
      <c r="E19" s="11"/>
      <c r="F19" s="64" t="s">
        <v>1424</v>
      </c>
      <c r="G19" s="64"/>
      <c r="H19" s="58"/>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INDEX('Subject-ConceptMap-1'!$I$15:$N$70,Q19+1,R19)</f>
        <v>* group[=].element[=].target.equivalence = #equivalent</v>
      </c>
    </row>
    <row r="20" spans="1:19" ht="29.5" customHeight="1">
      <c r="A20" s="59"/>
      <c r="B20" s="11" t="str">
        <f>Subject!B13</f>
        <v>cigSmokedPerDay</v>
      </c>
      <c r="C20" s="12" t="str">
        <f>Subject!C13</f>
        <v>Cigarettes/cigars smoked per day</v>
      </c>
      <c r="D20" s="12"/>
      <c r="E20" s="11"/>
      <c r="F20" s="64" t="s">
        <v>1424</v>
      </c>
      <c r="G20" s="64"/>
      <c r="H20" s="58"/>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INDEX('Subject-ConceptMap-1'!$I$15:$N$70,Q20+1,R20)</f>
        <v>* group[=].element[=].target.comment = ##34#to be checked for the time being assumed to be the administrative gender##34#</v>
      </c>
    </row>
    <row r="21" spans="1:19" ht="44.25">
      <c r="B21" s="11" t="str">
        <f>Subject!B14</f>
        <v>yearsAsSmoker</v>
      </c>
      <c r="C21" s="12" t="str">
        <f>Subject!C14</f>
        <v>Number of years as a smoker</v>
      </c>
      <c r="F21" s="64" t="s">
        <v>1424</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INDEX('Subject-ConceptMap-1'!$I$15:$N$70,Q21+1,R21)</f>
        <v>* group[=].element[+].code = #Subject.race</v>
      </c>
    </row>
    <row r="22" spans="1:19" ht="44.25">
      <c r="B22" s="11" t="str">
        <f>Subject!B15</f>
        <v>alcohol</v>
      </c>
      <c r="C22" s="12" t="str">
        <f>Subject!C15</f>
        <v>Alcohol</v>
      </c>
      <c r="F22" s="64" t="s">
        <v>1424</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INDEX('Subject-ConceptMap-1'!$I$15:$N$70,Q22+1,R22)</f>
        <v>* group[=].element[=].display = ##34#Race##34#</v>
      </c>
    </row>
    <row r="23" spans="1:19" ht="44.25">
      <c r="B23" s="11" t="str">
        <f>Subject!B16</f>
        <v>bMI</v>
      </c>
      <c r="C23" s="12" t="str">
        <f>Subject!C16</f>
        <v xml:space="preserve">Height/weight (BMI)
</v>
      </c>
      <c r="F23" s="64" t="s">
        <v>1424</v>
      </c>
      <c r="I23" s="12" t="str">
        <f t="shared" ref="I23:I32" si="15">"* group[=].element[+].code = #"&amp;$B$14&amp;"."&amp;B23</f>
        <v>* group[=].element[+].code = #Subject.bMI</v>
      </c>
      <c r="J23" s="12" t="str">
        <f t="shared" ref="J23:J32" si="16">"* group[=].element[=].display = ##34#"&amp;C23&amp;"##34#"</f>
        <v>* group[=].element[=].display = ##34#Height/weight (BMI)
##34#</v>
      </c>
      <c r="K23" s="12" t="str">
        <f t="shared" ref="K23:K32" si="17">IF(F23="unmatched","//-- unmatched","* group[=].element[=].target.code = #"&amp;$D$14&amp;"."&amp;D23)</f>
        <v>//-- unmatched</v>
      </c>
      <c r="L23" s="12" t="str">
        <f t="shared" ref="L23:L32" si="18">IF(F23="unmatched","//-- unmatched","* group[=].element[=].target.display = ##34#"&amp;E23&amp;"##34#")</f>
        <v>//-- unmatched</v>
      </c>
      <c r="M23" s="12" t="str">
        <f t="shared" ref="M23:M32" si="19">"* group[=].element[=].target.equivalence = #"&amp;F23</f>
        <v>* group[=].element[=].target.equivalence = #unmatched</v>
      </c>
      <c r="N23" s="12" t="str">
        <f t="shared" ref="N23:N42" si="20">IF(G23&lt;&gt;"",CONCATENATE("* group[=].element[=].target.comment = ","##34#",G23,"##34#"),"")</f>
        <v/>
      </c>
      <c r="P23" s="11">
        <v>9</v>
      </c>
      <c r="Q23" s="11">
        <f t="shared" si="13"/>
        <v>1</v>
      </c>
      <c r="R23" s="11">
        <f t="shared" si="14"/>
        <v>3</v>
      </c>
      <c r="S23" s="12" t="str" cm="1">
        <f t="array" ref="S23">INDEX('Subject-ConceptMap-1'!$I$15:$N$70,Q23+1,R23)</f>
        <v>* group[=].element[=].target.code = #Patient.extension:race.value[x]</v>
      </c>
    </row>
    <row r="24" spans="1:19" ht="44.25">
      <c r="B24" s="11" t="str">
        <f>Subject!B17</f>
        <v>charlsonComorbidityIndex</v>
      </c>
      <c r="C24" s="12" t="str">
        <f>Subject!C17</f>
        <v>Charlson Comorbidity index</v>
      </c>
      <c r="F24" s="64" t="s">
        <v>1424</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INDEX('Subject-ConceptMap-1'!$I$15:$N$70,Q24+1,R24)</f>
        <v>* group[=].element[=].target.display = ##34###34#</v>
      </c>
    </row>
    <row r="25" spans="1:19" ht="44.25">
      <c r="B25" s="11" t="str">
        <f>Subject!B18</f>
        <v>comorbidity</v>
      </c>
      <c r="C25" s="12" t="str">
        <f>Subject!C18</f>
        <v>Comorbidity</v>
      </c>
      <c r="F25" s="64" t="s">
        <v>1424</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INDEX('Subject-ConceptMap-1'!$I$15:$N$70,Q25+1,R25)</f>
        <v>* group[=].element[=].target.equivalence = #equivalent</v>
      </c>
    </row>
    <row r="26" spans="1:19" ht="44.25">
      <c r="B26" s="11" t="str">
        <f>Subject!B39</f>
        <v>ecogPsAtDiagnosis</v>
      </c>
      <c r="C26" s="12" t="str">
        <f>Subject!C39</f>
        <v>Eastern Cooperative Oncology Group performance status (ECOG PS)  at diagnosis</v>
      </c>
      <c r="F26" s="64" t="s">
        <v>1424</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INDEX('Subject-ConceptMap-1'!$I$15:$N$70,Q26+1,R26)</f>
        <v/>
      </c>
    </row>
    <row r="27" spans="1:19" ht="44.25">
      <c r="B27" s="11" t="str">
        <f>Subject!B40</f>
        <v>karnofsyIndexAtDiagnosis</v>
      </c>
      <c r="C27" s="12" t="str">
        <f>Subject!C40</f>
        <v>Karnofsy index at diagnosis</v>
      </c>
      <c r="F27" s="64" t="s">
        <v>1424</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INDEX('Subject-ConceptMap-1'!$I$15:$N$70,Q27+1,R27)</f>
        <v>* group[=].element[+].code = #Subject.countryOfResidence</v>
      </c>
    </row>
    <row r="28" spans="1:19" ht="44.25">
      <c r="B28" s="11" t="str">
        <f>Subject!B41</f>
        <v>noGeneticSyndromeWho2020</v>
      </c>
      <c r="C28" s="12" t="str">
        <f>Subject!C41</f>
        <v xml:space="preserve">No Genetic syndrome WHO 2020 </v>
      </c>
      <c r="F28" s="64" t="s">
        <v>1407</v>
      </c>
      <c r="G28" s="73" t="s">
        <v>2472</v>
      </c>
      <c r="I28" s="12" t="str">
        <f t="shared" si="15"/>
        <v>* group[=].element[+].code = #Subject.noGeneticSyndromeWho2020</v>
      </c>
      <c r="J28" s="12" t="str">
        <f t="shared" si="16"/>
        <v>* group[=].element[=].display = ##34#No Genetic syndrome WHO 2020 ##34#</v>
      </c>
      <c r="K28" s="12" t="str">
        <f t="shared" si="17"/>
        <v>* group[=].element[=].target.code = #Patient.</v>
      </c>
      <c r="L28" s="12" t="str">
        <f t="shared" si="18"/>
        <v>* group[=].element[=].target.display = ##34###34#</v>
      </c>
      <c r="M28" s="12" t="str">
        <f t="shared" si="19"/>
        <v>* group[=].element[=].target.equivalence = #relatedto</v>
      </c>
      <c r="N28" s="12" t="str">
        <f t="shared" si="20"/>
        <v>* group[=].element[=].target.comment = ##34#TO BE MAPPED##34#</v>
      </c>
      <c r="P28" s="11">
        <v>14</v>
      </c>
      <c r="Q28" s="11">
        <f t="shared" si="13"/>
        <v>2</v>
      </c>
      <c r="R28" s="11">
        <f t="shared" si="14"/>
        <v>2</v>
      </c>
      <c r="S28" s="12" t="str" cm="1">
        <f t="array" ref="S28">INDEX('Subject-ConceptMap-1'!$I$15:$N$70,Q28+1,R28)</f>
        <v>* group[=].element[=].display = ##34#Country of Residence##34#</v>
      </c>
    </row>
    <row r="29" spans="1:19" ht="44.25">
      <c r="B29" s="11" t="str">
        <f>Subject!B52</f>
        <v>otherGeneticSyndromeWho2020</v>
      </c>
      <c r="C29" s="12" t="str">
        <f>Subject!C52</f>
        <v xml:space="preserve">Other Genetic syndrome WHO 2020 </v>
      </c>
      <c r="F29" s="64" t="s">
        <v>1407</v>
      </c>
      <c r="G29" s="73" t="s">
        <v>2472</v>
      </c>
      <c r="I29" s="12" t="str">
        <f t="shared" si="15"/>
        <v>* group[=].element[+].code = #Subject.otherGeneticSyndromeWho2020</v>
      </c>
      <c r="J29" s="12" t="str">
        <f t="shared" si="16"/>
        <v>* group[=].element[=].display = ##34#Other Genetic syndrome WHO 2020 ##34#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15</v>
      </c>
      <c r="Q29" s="11">
        <f t="shared" si="13"/>
        <v>2</v>
      </c>
      <c r="R29" s="11">
        <f t="shared" si="14"/>
        <v>3</v>
      </c>
      <c r="S29" s="12" t="str" cm="1">
        <f t="array" ref="S29">INDEX('Subject-ConceptMap-1'!$I$15:$N$70,Q29+1,R29)</f>
        <v>* group[=].element[=].target.code = #Patient.address.country</v>
      </c>
    </row>
    <row r="30" spans="1:19" ht="44.25">
      <c r="B30" s="11" t="str">
        <f>Subject!B53</f>
        <v>occurrenceOfOtherCancer</v>
      </c>
      <c r="C30" s="12" t="str">
        <f>Subject!C53</f>
        <v>Occurrence of other cancer</v>
      </c>
      <c r="F30" s="64" t="s">
        <v>1407</v>
      </c>
      <c r="G30" s="73" t="s">
        <v>2472</v>
      </c>
      <c r="I30" s="12" t="str">
        <f t="shared" si="15"/>
        <v>* group[=].element[+].code = #Subject.occurrenceOfOtherCancer</v>
      </c>
      <c r="J30" s="12" t="str">
        <f t="shared" si="16"/>
        <v>* group[=].element[=].display = ##34#Occurrence of other cancer##34#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16</v>
      </c>
      <c r="Q30" s="11">
        <f t="shared" si="13"/>
        <v>2</v>
      </c>
      <c r="R30" s="11">
        <f t="shared" si="14"/>
        <v>4</v>
      </c>
      <c r="S30" s="12" t="str" cm="1">
        <f t="array" ref="S30">INDEX('Subject-ConceptMap-1'!$I$15:$N$70,Q30+1,R30)</f>
        <v>* group[=].element[=].target.display = ##34###34#</v>
      </c>
    </row>
    <row r="31" spans="1:19" ht="44.25">
      <c r="B31" s="11" t="str">
        <f>Subject!B54</f>
        <v>previousCancerTreatment</v>
      </c>
      <c r="C31" s="12" t="str">
        <f>Subject!C54</f>
        <v>Previous cancer treatment</v>
      </c>
      <c r="F31" s="64" t="s">
        <v>1407</v>
      </c>
      <c r="G31" s="73" t="s">
        <v>2472</v>
      </c>
      <c r="I31" s="12" t="str">
        <f t="shared" si="15"/>
        <v>* group[=].element[+].code = #Subject.previousCancerTreatment</v>
      </c>
      <c r="J31" s="12" t="str">
        <f t="shared" si="16"/>
        <v>* group[=].element[=].display = ##34#Previous cancer treatment##34#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17</v>
      </c>
      <c r="Q31" s="11">
        <f t="shared" si="13"/>
        <v>2</v>
      </c>
      <c r="R31" s="11">
        <f t="shared" si="14"/>
        <v>5</v>
      </c>
      <c r="S31" s="12" t="str" cm="1">
        <f t="array" ref="S31">INDEX('Subject-ConceptMap-1'!$I$15:$N$70,Q31+1,R31)</f>
        <v>* group[=].element[=].target.equivalence = #equivalent</v>
      </c>
    </row>
    <row r="32" spans="1:19" ht="44.25">
      <c r="B32" s="11" t="str">
        <f>Subject!B55</f>
        <v>lastContact</v>
      </c>
      <c r="C32" s="12" t="str">
        <f>Subject!C55</f>
        <v>Last Contact</v>
      </c>
      <c r="F32" s="64" t="s">
        <v>1407</v>
      </c>
      <c r="G32" s="73" t="s">
        <v>2472</v>
      </c>
      <c r="I32" s="12" t="str">
        <f t="shared" si="15"/>
        <v>* group[=].element[+].code = #Subject.lastContact</v>
      </c>
      <c r="J32" s="12" t="str">
        <f t="shared" si="16"/>
        <v>* group[=].element[=].display = ##34#Last Contact##34#</v>
      </c>
      <c r="K32" s="12" t="str">
        <f t="shared" si="17"/>
        <v>* group[=].element[=].target.code = #Patient.</v>
      </c>
      <c r="L32" s="12" t="str">
        <f t="shared" si="18"/>
        <v>* group[=].element[=].target.display = ##34###34#</v>
      </c>
      <c r="M32" s="12" t="str">
        <f t="shared" si="19"/>
        <v>* group[=].element[=].target.equivalence = #relatedto</v>
      </c>
      <c r="N32" s="12" t="str">
        <f t="shared" si="20"/>
        <v>* group[=].element[=].target.comment = ##34#TO BE MAPPED##34#</v>
      </c>
      <c r="P32" s="11">
        <v>18</v>
      </c>
      <c r="Q32" s="11">
        <f t="shared" si="13"/>
        <v>2</v>
      </c>
      <c r="R32" s="11">
        <f t="shared" si="14"/>
        <v>6</v>
      </c>
      <c r="S32" s="12" t="str" cm="1">
        <f t="array" ref="S32">INDEX('Subject-ConceptMap-1'!$I$15:$N$70,Q32+1,R32)</f>
        <v/>
      </c>
    </row>
    <row r="33" spans="2:19">
      <c r="B33" s="11"/>
      <c r="C33" s="12"/>
      <c r="I33" s="12"/>
      <c r="J33" s="12"/>
      <c r="K33" s="12"/>
      <c r="L33" s="12"/>
      <c r="M33" s="12"/>
      <c r="N33" s="12" t="str">
        <f t="shared" si="20"/>
        <v/>
      </c>
      <c r="P33" s="11">
        <v>19</v>
      </c>
      <c r="Q33" s="11">
        <f t="shared" si="13"/>
        <v>3</v>
      </c>
      <c r="R33" s="11">
        <f t="shared" si="14"/>
        <v>1</v>
      </c>
      <c r="S33" s="12" t="str" cm="1">
        <f t="array" ref="S33">INDEX('Subject-ConceptMap-1'!$I$15:$N$70,Q33+1,R33)</f>
        <v>* group[=].element[+].code = #Subject.smoking</v>
      </c>
    </row>
    <row r="34" spans="2:19">
      <c r="B34" s="11"/>
      <c r="C34" s="12"/>
      <c r="I34" s="12"/>
      <c r="J34" s="12"/>
      <c r="K34" s="12"/>
      <c r="L34" s="12"/>
      <c r="M34" s="12"/>
      <c r="N34" s="12" t="str">
        <f t="shared" si="20"/>
        <v/>
      </c>
      <c r="P34" s="11">
        <v>20</v>
      </c>
      <c r="Q34" s="11">
        <f t="shared" si="13"/>
        <v>3</v>
      </c>
      <c r="R34" s="11">
        <f t="shared" si="14"/>
        <v>2</v>
      </c>
      <c r="S34" s="12" t="str" cm="1">
        <f t="array" ref="S34">INDEX('Subject-ConceptMap-1'!$I$15:$N$70,Q34+1,R34)</f>
        <v>* group[=].element[=].display = ##34#Smoking##34#</v>
      </c>
    </row>
    <row r="35" spans="2:19">
      <c r="B35" s="11"/>
      <c r="C35" s="12"/>
      <c r="I35" s="12"/>
      <c r="J35" s="12"/>
      <c r="K35" s="12"/>
      <c r="L35" s="12"/>
      <c r="M35" s="12"/>
      <c r="N35" s="12" t="str">
        <f t="shared" si="20"/>
        <v/>
      </c>
      <c r="P35" s="11">
        <v>21</v>
      </c>
      <c r="Q35" s="11">
        <f t="shared" si="13"/>
        <v>3</v>
      </c>
      <c r="R35" s="11">
        <f t="shared" si="14"/>
        <v>3</v>
      </c>
      <c r="S35" s="12" t="str" cm="1">
        <f t="array" ref="S35">INDEX('Subject-ConceptMap-1'!$I$15:$N$70,Q35+1,R35)</f>
        <v>//-- unmatched</v>
      </c>
    </row>
    <row r="36" spans="2:19">
      <c r="B36" s="11"/>
      <c r="C36" s="12"/>
      <c r="I36" s="12"/>
      <c r="J36" s="12"/>
      <c r="K36" s="12"/>
      <c r="L36" s="12"/>
      <c r="M36" s="12"/>
      <c r="N36" s="12" t="str">
        <f t="shared" si="20"/>
        <v/>
      </c>
      <c r="P36" s="11">
        <v>22</v>
      </c>
      <c r="Q36" s="11">
        <f t="shared" si="13"/>
        <v>3</v>
      </c>
      <c r="R36" s="11">
        <f t="shared" si="14"/>
        <v>4</v>
      </c>
      <c r="S36" s="12" t="str" cm="1">
        <f t="array" ref="S36">INDEX('Subject-ConceptMap-1'!$I$15:$N$70,Q36+1,R36)</f>
        <v>//-- unmatched</v>
      </c>
    </row>
    <row r="37" spans="2:19">
      <c r="B37" s="11"/>
      <c r="C37" s="12"/>
      <c r="I37" s="12"/>
      <c r="J37" s="12"/>
      <c r="K37" s="12"/>
      <c r="L37" s="12"/>
      <c r="M37" s="12"/>
      <c r="N37" s="12" t="str">
        <f t="shared" si="20"/>
        <v/>
      </c>
      <c r="P37" s="11">
        <v>23</v>
      </c>
      <c r="Q37" s="11">
        <f t="shared" si="13"/>
        <v>3</v>
      </c>
      <c r="R37" s="11">
        <f t="shared" si="14"/>
        <v>5</v>
      </c>
      <c r="S37" s="12" t="str" cm="1">
        <f t="array" ref="S37">INDEX('Subject-ConceptMap-1'!$I$15:$N$70,Q37+1,R37)</f>
        <v>* group[=].element[=].target.equivalence = #unmatched</v>
      </c>
    </row>
    <row r="38" spans="2:19">
      <c r="B38" s="11"/>
      <c r="C38" s="12"/>
      <c r="I38" s="12"/>
      <c r="J38" s="12"/>
      <c r="K38" s="12"/>
      <c r="L38" s="12"/>
      <c r="M38" s="12"/>
      <c r="N38" s="12" t="str">
        <f t="shared" si="20"/>
        <v/>
      </c>
      <c r="P38" s="11">
        <v>24</v>
      </c>
      <c r="Q38" s="11">
        <f t="shared" si="13"/>
        <v>3</v>
      </c>
      <c r="R38" s="11">
        <f t="shared" si="14"/>
        <v>6</v>
      </c>
      <c r="S38" s="12" t="str" cm="1">
        <f t="array" ref="S38">INDEX('Subject-ConceptMap-1'!$I$15:$N$70,Q38+1,R38)</f>
        <v/>
      </c>
    </row>
    <row r="39" spans="2:19">
      <c r="B39" s="11"/>
      <c r="C39" s="12"/>
      <c r="I39" s="12"/>
      <c r="J39" s="12"/>
      <c r="K39" s="12"/>
      <c r="L39" s="12"/>
      <c r="M39" s="12"/>
      <c r="N39" s="12" t="str">
        <f t="shared" si="20"/>
        <v/>
      </c>
      <c r="P39" s="11">
        <v>25</v>
      </c>
      <c r="Q39" s="11">
        <f t="shared" ref="Q39:Q83" si="21">IF(MOD(P39,$Q$8)=0,P39/$Q$8-1,INT(P39/$Q$8))</f>
        <v>4</v>
      </c>
      <c r="R39" s="11">
        <f t="shared" ref="R39:R83" si="22">IF(MOD(P39,$Q$8)=0,$Q$8,MOD(P39,$Q$8))</f>
        <v>1</v>
      </c>
      <c r="S39" s="12" t="str" cm="1">
        <f t="array" ref="S39">INDEX('Subject-ConceptMap-1'!$I$15:$N$70,Q39+1,R39)</f>
        <v>* group[=].element[+].code = #Subject.smokingType</v>
      </c>
    </row>
    <row r="40" spans="2:19">
      <c r="I40" s="12"/>
      <c r="J40" s="12"/>
      <c r="K40" s="12"/>
      <c r="L40" s="12"/>
      <c r="M40" s="12"/>
      <c r="N40" s="12" t="str">
        <f t="shared" si="20"/>
        <v/>
      </c>
      <c r="P40" s="11">
        <v>26</v>
      </c>
      <c r="Q40" s="11">
        <f t="shared" si="21"/>
        <v>4</v>
      </c>
      <c r="R40" s="11">
        <f t="shared" si="22"/>
        <v>2</v>
      </c>
      <c r="S40" s="12" t="str" cm="1">
        <f t="array" ref="S40">INDEX('Subject-ConceptMap-1'!$I$15:$N$70,Q40+1,R40)</f>
        <v>* group[=].element[=].display = ##34#Smoking type##34#</v>
      </c>
    </row>
    <row r="41" spans="2:19">
      <c r="I41" s="12"/>
      <c r="J41" s="12"/>
      <c r="K41" s="12"/>
      <c r="L41" s="12"/>
      <c r="M41" s="12"/>
      <c r="N41" s="12" t="str">
        <f t="shared" si="20"/>
        <v/>
      </c>
      <c r="P41" s="11">
        <v>27</v>
      </c>
      <c r="Q41" s="11">
        <f t="shared" si="21"/>
        <v>4</v>
      </c>
      <c r="R41" s="11">
        <f t="shared" si="22"/>
        <v>3</v>
      </c>
      <c r="S41" s="12" t="str" cm="1">
        <f t="array" ref="S41">INDEX('Subject-ConceptMap-1'!$I$15:$N$70,Q41+1,R41)</f>
        <v>//-- unmatched</v>
      </c>
    </row>
    <row r="42" spans="2:19">
      <c r="I42" s="12"/>
      <c r="J42" s="12"/>
      <c r="K42" s="12"/>
      <c r="L42" s="12"/>
      <c r="M42" s="12"/>
      <c r="N42" s="12" t="str">
        <f t="shared" si="20"/>
        <v/>
      </c>
      <c r="P42" s="11">
        <v>28</v>
      </c>
      <c r="Q42" s="11">
        <f t="shared" si="21"/>
        <v>4</v>
      </c>
      <c r="R42" s="11">
        <f t="shared" si="22"/>
        <v>4</v>
      </c>
      <c r="S42" s="12" t="str" cm="1">
        <f t="array" ref="S42">INDEX('Subject-ConceptMap-1'!$I$15:$N$70,Q42+1,R42)</f>
        <v>//-- unmatched</v>
      </c>
    </row>
    <row r="43" spans="2:19">
      <c r="P43" s="11">
        <v>29</v>
      </c>
      <c r="Q43" s="11">
        <f t="shared" si="21"/>
        <v>4</v>
      </c>
      <c r="R43" s="11">
        <f t="shared" si="22"/>
        <v>5</v>
      </c>
      <c r="S43" s="12" t="str" cm="1">
        <f t="array" ref="S43">INDEX('Subject-ConceptMap-1'!$I$15:$N$70,Q43+1,R43)</f>
        <v>* group[=].element[=].target.equivalence = #unmatched</v>
      </c>
    </row>
    <row r="44" spans="2:19">
      <c r="P44" s="11">
        <v>30</v>
      </c>
      <c r="Q44" s="11">
        <f t="shared" si="21"/>
        <v>4</v>
      </c>
      <c r="R44" s="11">
        <f t="shared" si="22"/>
        <v>6</v>
      </c>
      <c r="S44" s="12" t="str" cm="1">
        <f t="array" ref="S44">INDEX('Subject-ConceptMap-1'!$I$15:$N$70,Q44+1,R44)</f>
        <v/>
      </c>
    </row>
    <row r="45" spans="2:19">
      <c r="P45" s="11">
        <v>31</v>
      </c>
      <c r="Q45" s="11">
        <f t="shared" si="21"/>
        <v>5</v>
      </c>
      <c r="R45" s="11">
        <f t="shared" si="22"/>
        <v>1</v>
      </c>
      <c r="S45" s="12" t="str" cm="1">
        <f t="array" ref="S45">INDEX('Subject-ConceptMap-1'!$I$15:$N$70,Q45+1,R45)</f>
        <v>* group[=].element[+].code = #Subject.cigSmokedPerDay</v>
      </c>
    </row>
    <row r="46" spans="2:19">
      <c r="P46" s="11">
        <v>32</v>
      </c>
      <c r="Q46" s="11">
        <f t="shared" si="21"/>
        <v>5</v>
      </c>
      <c r="R46" s="11">
        <f t="shared" si="22"/>
        <v>2</v>
      </c>
      <c r="S46" s="12" t="str" cm="1">
        <f t="array" ref="S46">INDEX('Subject-ConceptMap-1'!$I$15:$N$70,Q46+1,R46)</f>
        <v>* group[=].element[=].display = ##34#Cigarettes/cigars smoked per day##34#</v>
      </c>
    </row>
    <row r="47" spans="2:19">
      <c r="P47" s="11">
        <v>33</v>
      </c>
      <c r="Q47" s="11">
        <f t="shared" si="21"/>
        <v>5</v>
      </c>
      <c r="R47" s="11">
        <f t="shared" si="22"/>
        <v>3</v>
      </c>
      <c r="S47" s="12" t="str" cm="1">
        <f t="array" ref="S47">INDEX('Subject-ConceptMap-1'!$I$15:$N$70,Q47+1,R47)</f>
        <v>//-- unmatched</v>
      </c>
    </row>
    <row r="48" spans="2:19">
      <c r="P48" s="11">
        <v>34</v>
      </c>
      <c r="Q48" s="11">
        <f t="shared" si="21"/>
        <v>5</v>
      </c>
      <c r="R48" s="11">
        <f t="shared" si="22"/>
        <v>4</v>
      </c>
      <c r="S48" s="12" t="str" cm="1">
        <f t="array" ref="S48">INDEX('Subject-ConceptMap-1'!$I$15:$N$70,Q48+1,R48)</f>
        <v>//-- unmatched</v>
      </c>
    </row>
    <row r="49" spans="16:19">
      <c r="P49" s="11">
        <v>35</v>
      </c>
      <c r="Q49" s="11">
        <f t="shared" si="21"/>
        <v>5</v>
      </c>
      <c r="R49" s="11">
        <f t="shared" si="22"/>
        <v>5</v>
      </c>
      <c r="S49" s="12" t="str" cm="1">
        <f t="array" ref="S49">INDEX('Subject-ConceptMap-1'!$I$15:$N$70,Q49+1,R49)</f>
        <v>* group[=].element[=].target.equivalence = #unmatched</v>
      </c>
    </row>
    <row r="50" spans="16:19">
      <c r="P50" s="11">
        <v>36</v>
      </c>
      <c r="Q50" s="11">
        <f t="shared" si="21"/>
        <v>5</v>
      </c>
      <c r="R50" s="11">
        <f t="shared" si="22"/>
        <v>6</v>
      </c>
      <c r="S50" s="12" t="str" cm="1">
        <f t="array" ref="S50">INDEX('Subject-ConceptMap-1'!$I$15:$N$70,Q50+1,R50)</f>
        <v/>
      </c>
    </row>
    <row r="51" spans="16:19">
      <c r="P51" s="11">
        <v>37</v>
      </c>
      <c r="Q51" s="11">
        <f t="shared" si="21"/>
        <v>6</v>
      </c>
      <c r="R51" s="11">
        <f t="shared" si="22"/>
        <v>1</v>
      </c>
      <c r="S51" s="12" t="str" cm="1">
        <f t="array" ref="S51">INDEX('Subject-ConceptMap-1'!$I$15:$N$70,Q51+1,R51)</f>
        <v>* group[=].element[+].code = #Subject.yearsAsSmoker</v>
      </c>
    </row>
    <row r="52" spans="16:19">
      <c r="P52" s="11">
        <v>38</v>
      </c>
      <c r="Q52" s="11">
        <f t="shared" si="21"/>
        <v>6</v>
      </c>
      <c r="R52" s="11">
        <f t="shared" si="22"/>
        <v>2</v>
      </c>
      <c r="S52" s="12" t="str" cm="1">
        <f t="array" ref="S52">INDEX('Subject-ConceptMap-1'!$I$15:$N$70,Q52+1,R52)</f>
        <v>* group[=].element[=].display = ##34#Number of years as a smoker##34#</v>
      </c>
    </row>
    <row r="53" spans="16:19">
      <c r="P53" s="11">
        <v>39</v>
      </c>
      <c r="Q53" s="11">
        <f t="shared" si="21"/>
        <v>6</v>
      </c>
      <c r="R53" s="11">
        <f t="shared" si="22"/>
        <v>3</v>
      </c>
      <c r="S53" s="12" t="str" cm="1">
        <f t="array" ref="S53">INDEX('Subject-ConceptMap-1'!$I$15:$N$70,Q53+1,R53)</f>
        <v>//-- unmatched</v>
      </c>
    </row>
    <row r="54" spans="16:19">
      <c r="P54" s="11">
        <v>40</v>
      </c>
      <c r="Q54" s="11">
        <f t="shared" si="21"/>
        <v>6</v>
      </c>
      <c r="R54" s="11">
        <f t="shared" si="22"/>
        <v>4</v>
      </c>
      <c r="S54" s="12" t="str" cm="1">
        <f t="array" ref="S54">INDEX('Subject-ConceptMap-1'!$I$15:$N$70,Q54+1,R54)</f>
        <v>//-- unmatched</v>
      </c>
    </row>
    <row r="55" spans="16:19">
      <c r="P55" s="11">
        <v>41</v>
      </c>
      <c r="Q55" s="11">
        <f t="shared" si="21"/>
        <v>6</v>
      </c>
      <c r="R55" s="11">
        <f t="shared" si="22"/>
        <v>5</v>
      </c>
      <c r="S55" s="12" t="str" cm="1">
        <f t="array" ref="S55">INDEX('Subject-ConceptMap-1'!$I$15:$N$70,Q55+1,R55)</f>
        <v>* group[=].element[=].target.equivalence = #unmatched</v>
      </c>
    </row>
    <row r="56" spans="16:19">
      <c r="P56" s="11">
        <v>42</v>
      </c>
      <c r="Q56" s="11">
        <f t="shared" si="21"/>
        <v>6</v>
      </c>
      <c r="R56" s="11">
        <f t="shared" si="22"/>
        <v>6</v>
      </c>
      <c r="S56" s="12" t="str" cm="1">
        <f t="array" ref="S56">INDEX('Subject-ConceptMap-1'!$I$15:$N$70,Q56+1,R56)</f>
        <v/>
      </c>
    </row>
    <row r="57" spans="16:19">
      <c r="P57" s="11">
        <v>43</v>
      </c>
      <c r="Q57" s="11">
        <f t="shared" si="21"/>
        <v>7</v>
      </c>
      <c r="R57" s="11">
        <f t="shared" si="22"/>
        <v>1</v>
      </c>
      <c r="S57" s="12" t="str" cm="1">
        <f t="array" ref="S57">INDEX('Subject-ConceptMap-1'!$I$15:$N$70,Q57+1,R57)</f>
        <v>* group[=].element[+].code = #Subject.alcohol</v>
      </c>
    </row>
    <row r="58" spans="16:19">
      <c r="P58" s="11">
        <v>44</v>
      </c>
      <c r="Q58" s="11">
        <f t="shared" si="21"/>
        <v>7</v>
      </c>
      <c r="R58" s="11">
        <f t="shared" si="22"/>
        <v>2</v>
      </c>
      <c r="S58" s="12" t="str" cm="1">
        <f t="array" ref="S58">INDEX('Subject-ConceptMap-1'!$I$15:$N$70,Q58+1,R58)</f>
        <v>* group[=].element[=].display = ##34#Alcohol##34#</v>
      </c>
    </row>
    <row r="59" spans="16:19">
      <c r="P59" s="11">
        <v>45</v>
      </c>
      <c r="Q59" s="11">
        <f t="shared" si="21"/>
        <v>7</v>
      </c>
      <c r="R59" s="11">
        <f t="shared" si="22"/>
        <v>3</v>
      </c>
      <c r="S59" s="12" t="str" cm="1">
        <f t="array" ref="S59">INDEX('Subject-ConceptMap-1'!$I$15:$N$70,Q59+1,R59)</f>
        <v>//-- unmatched</v>
      </c>
    </row>
    <row r="60" spans="16:19">
      <c r="P60" s="11">
        <v>46</v>
      </c>
      <c r="Q60" s="11">
        <f t="shared" si="21"/>
        <v>7</v>
      </c>
      <c r="R60" s="11">
        <f t="shared" si="22"/>
        <v>4</v>
      </c>
      <c r="S60" s="12" t="str" cm="1">
        <f t="array" ref="S60">INDEX('Subject-ConceptMap-1'!$I$15:$N$70,Q60+1,R60)</f>
        <v>//-- unmatched</v>
      </c>
    </row>
    <row r="61" spans="16:19">
      <c r="P61" s="11">
        <v>47</v>
      </c>
      <c r="Q61" s="11">
        <f t="shared" si="21"/>
        <v>7</v>
      </c>
      <c r="R61" s="11">
        <f t="shared" si="22"/>
        <v>5</v>
      </c>
      <c r="S61" s="12" t="str" cm="1">
        <f t="array" ref="S61">INDEX('Subject-ConceptMap-1'!$I$15:$N$70,Q61+1,R61)</f>
        <v>* group[=].element[=].target.equivalence = #unmatched</v>
      </c>
    </row>
    <row r="62" spans="16:19">
      <c r="P62" s="11">
        <v>48</v>
      </c>
      <c r="Q62" s="11">
        <f t="shared" si="21"/>
        <v>7</v>
      </c>
      <c r="R62" s="11">
        <f t="shared" si="22"/>
        <v>6</v>
      </c>
      <c r="S62" s="12" t="str" cm="1">
        <f t="array" ref="S62">INDEX('Subject-ConceptMap-1'!$I$15:$N$70,Q62+1,R62)</f>
        <v/>
      </c>
    </row>
    <row r="63" spans="16:19">
      <c r="P63" s="11">
        <v>49</v>
      </c>
      <c r="Q63" s="11">
        <f t="shared" si="21"/>
        <v>8</v>
      </c>
      <c r="R63" s="11">
        <f t="shared" si="22"/>
        <v>1</v>
      </c>
      <c r="S63" s="12" t="str" cm="1">
        <f t="array" ref="S63">INDEX('Subject-ConceptMap-1'!$I$15:$N$70,Q63+1,R63)</f>
        <v>* group[=].element[+].code = #Subject.bMI</v>
      </c>
    </row>
    <row r="64" spans="16:19" ht="29.5">
      <c r="P64" s="11">
        <v>50</v>
      </c>
      <c r="Q64" s="11">
        <f t="shared" si="21"/>
        <v>8</v>
      </c>
      <c r="R64" s="11">
        <f t="shared" si="22"/>
        <v>2</v>
      </c>
      <c r="S64" s="12" t="str" cm="1">
        <f t="array" ref="S64">INDEX('Subject-ConceptMap-1'!$I$15:$N$70,Q64+1,R64)</f>
        <v>* group[=].element[=].display = ##34#Height/weight (BMI)
##34#</v>
      </c>
    </row>
    <row r="65" spans="16:19">
      <c r="P65" s="11">
        <v>51</v>
      </c>
      <c r="Q65" s="11">
        <f t="shared" si="21"/>
        <v>8</v>
      </c>
      <c r="R65" s="11">
        <f t="shared" si="22"/>
        <v>3</v>
      </c>
      <c r="S65" s="12" t="str" cm="1">
        <f t="array" ref="S65">INDEX('Subject-ConceptMap-1'!$I$15:$N$70,Q65+1,R65)</f>
        <v>//-- unmatched</v>
      </c>
    </row>
    <row r="66" spans="16:19">
      <c r="P66" s="11">
        <v>52</v>
      </c>
      <c r="Q66" s="11">
        <f t="shared" si="21"/>
        <v>8</v>
      </c>
      <c r="R66" s="11">
        <f t="shared" si="22"/>
        <v>4</v>
      </c>
      <c r="S66" s="12" t="str" cm="1">
        <f t="array" ref="S66">INDEX('Subject-ConceptMap-1'!$I$15:$N$70,Q66+1,R66)</f>
        <v>//-- unmatched</v>
      </c>
    </row>
    <row r="67" spans="16:19">
      <c r="P67" s="11">
        <v>53</v>
      </c>
      <c r="Q67" s="11">
        <f t="shared" si="21"/>
        <v>8</v>
      </c>
      <c r="R67" s="11">
        <f t="shared" si="22"/>
        <v>5</v>
      </c>
      <c r="S67" s="12" t="str" cm="1">
        <f t="array" ref="S67">INDEX('Subject-ConceptMap-1'!$I$15:$N$70,Q67+1,R67)</f>
        <v>* group[=].element[=].target.equivalence = #unmatched</v>
      </c>
    </row>
    <row r="68" spans="16:19">
      <c r="P68" s="11">
        <v>54</v>
      </c>
      <c r="Q68" s="11">
        <f t="shared" si="21"/>
        <v>8</v>
      </c>
      <c r="R68" s="11">
        <f t="shared" si="22"/>
        <v>6</v>
      </c>
      <c r="S68" s="12" t="str" cm="1">
        <f t="array" ref="S68">INDEX('Subject-ConceptMap-1'!$I$15:$N$70,Q68+1,R68)</f>
        <v/>
      </c>
    </row>
    <row r="69" spans="16:19">
      <c r="P69" s="11">
        <v>55</v>
      </c>
      <c r="Q69" s="11">
        <f t="shared" si="21"/>
        <v>9</v>
      </c>
      <c r="R69" s="11">
        <f t="shared" si="22"/>
        <v>1</v>
      </c>
      <c r="S69" s="12" t="str" cm="1">
        <f t="array" ref="S69">INDEX('Subject-ConceptMap-1'!$I$15:$N$70,Q69+1,R69)</f>
        <v>* group[=].element[+].code = #Subject.charlsonComorbidityIndex</v>
      </c>
    </row>
    <row r="70" spans="16:19">
      <c r="P70" s="11">
        <v>56</v>
      </c>
      <c r="Q70" s="11">
        <f t="shared" si="21"/>
        <v>9</v>
      </c>
      <c r="R70" s="11">
        <f t="shared" si="22"/>
        <v>2</v>
      </c>
      <c r="S70" s="12" t="str" cm="1">
        <f t="array" ref="S70">INDEX('Subject-ConceptMap-1'!$I$15:$N$70,Q70+1,R70)</f>
        <v>* group[=].element[=].display = ##34#Charlson Comorbidity index##34#</v>
      </c>
    </row>
    <row r="71" spans="16:19">
      <c r="P71" s="11">
        <v>57</v>
      </c>
      <c r="Q71" s="11">
        <f t="shared" si="21"/>
        <v>9</v>
      </c>
      <c r="R71" s="11">
        <f t="shared" si="22"/>
        <v>3</v>
      </c>
      <c r="S71" s="12" t="str" cm="1">
        <f t="array" ref="S71">INDEX('Subject-ConceptMap-1'!$I$15:$N$70,Q71+1,R71)</f>
        <v>//-- unmatched</v>
      </c>
    </row>
    <row r="72" spans="16:19">
      <c r="P72" s="11">
        <v>58</v>
      </c>
      <c r="Q72" s="11">
        <f t="shared" si="21"/>
        <v>9</v>
      </c>
      <c r="R72" s="11">
        <f t="shared" si="22"/>
        <v>4</v>
      </c>
      <c r="S72" s="12" t="str" cm="1">
        <f t="array" ref="S72">INDEX('Subject-ConceptMap-1'!$I$15:$N$70,Q72+1,R72)</f>
        <v>//-- unmatched</v>
      </c>
    </row>
    <row r="73" spans="16:19">
      <c r="P73" s="11">
        <v>59</v>
      </c>
      <c r="Q73" s="11">
        <f t="shared" si="21"/>
        <v>9</v>
      </c>
      <c r="R73" s="11">
        <f t="shared" si="22"/>
        <v>5</v>
      </c>
      <c r="S73" s="12" t="str" cm="1">
        <f t="array" ref="S73">INDEX('Subject-ConceptMap-1'!$I$15:$N$70,Q73+1,R73)</f>
        <v>* group[=].element[=].target.equivalence = #unmatched</v>
      </c>
    </row>
    <row r="74" spans="16:19">
      <c r="P74" s="11">
        <v>60</v>
      </c>
      <c r="Q74" s="11">
        <f t="shared" si="21"/>
        <v>9</v>
      </c>
      <c r="R74" s="11">
        <f t="shared" si="22"/>
        <v>6</v>
      </c>
      <c r="S74" s="12" t="str" cm="1">
        <f t="array" ref="S74">INDEX('Subject-ConceptMap-1'!$I$15:$N$70,Q74+1,R74)</f>
        <v/>
      </c>
    </row>
    <row r="75" spans="16:19">
      <c r="P75" s="11">
        <v>61</v>
      </c>
      <c r="Q75" s="11">
        <f t="shared" si="21"/>
        <v>10</v>
      </c>
      <c r="R75" s="11">
        <f t="shared" si="22"/>
        <v>1</v>
      </c>
      <c r="S75" s="12" t="str" cm="1">
        <f t="array" ref="S75">INDEX('Subject-ConceptMap-1'!$I$15:$N$70,Q75+1,R75)</f>
        <v>* group[=].element[+].code = #Subject.comorbidity</v>
      </c>
    </row>
    <row r="76" spans="16:19">
      <c r="P76" s="11">
        <v>62</v>
      </c>
      <c r="Q76" s="11">
        <f t="shared" si="21"/>
        <v>10</v>
      </c>
      <c r="R76" s="11">
        <f t="shared" si="22"/>
        <v>2</v>
      </c>
      <c r="S76" s="12" t="str" cm="1">
        <f t="array" ref="S76">INDEX('Subject-ConceptMap-1'!$I$15:$N$70,Q76+1,R76)</f>
        <v>* group[=].element[=].display = ##34#Comorbidity##34#</v>
      </c>
    </row>
    <row r="77" spans="16:19">
      <c r="P77" s="11">
        <v>63</v>
      </c>
      <c r="Q77" s="11">
        <f t="shared" si="21"/>
        <v>10</v>
      </c>
      <c r="R77" s="11">
        <f t="shared" si="22"/>
        <v>3</v>
      </c>
      <c r="S77" s="12" t="str" cm="1">
        <f t="array" ref="S77">INDEX('Subject-ConceptMap-1'!$I$15:$N$70,Q77+1,R77)</f>
        <v>//-- unmatched</v>
      </c>
    </row>
    <row r="78" spans="16:19">
      <c r="P78" s="11">
        <v>64</v>
      </c>
      <c r="Q78" s="11">
        <f t="shared" si="21"/>
        <v>10</v>
      </c>
      <c r="R78" s="11">
        <f t="shared" si="22"/>
        <v>4</v>
      </c>
      <c r="S78" s="12" t="str" cm="1">
        <f t="array" ref="S78">INDEX('Subject-ConceptMap-1'!$I$15:$N$70,Q78+1,R78)</f>
        <v>//-- unmatched</v>
      </c>
    </row>
    <row r="79" spans="16:19">
      <c r="P79" s="11">
        <v>65</v>
      </c>
      <c r="Q79" s="11">
        <f t="shared" si="21"/>
        <v>10</v>
      </c>
      <c r="R79" s="11">
        <f t="shared" si="22"/>
        <v>5</v>
      </c>
      <c r="S79" s="12" t="str" cm="1">
        <f t="array" ref="S79">INDEX('Subject-ConceptMap-1'!$I$15:$N$70,Q79+1,R79)</f>
        <v>* group[=].element[=].target.equivalence = #unmatched</v>
      </c>
    </row>
    <row r="80" spans="16:19">
      <c r="P80" s="11">
        <v>66</v>
      </c>
      <c r="Q80" s="11">
        <f t="shared" si="21"/>
        <v>10</v>
      </c>
      <c r="R80" s="11">
        <f t="shared" si="22"/>
        <v>6</v>
      </c>
      <c r="S80" s="12" t="str" cm="1">
        <f t="array" ref="S80">INDEX('Subject-ConceptMap-1'!$I$15:$N$70,Q80+1,R80)</f>
        <v/>
      </c>
    </row>
    <row r="81" spans="16:19">
      <c r="P81" s="11">
        <v>67</v>
      </c>
      <c r="Q81" s="11">
        <f t="shared" si="21"/>
        <v>11</v>
      </c>
      <c r="R81" s="11">
        <f t="shared" si="22"/>
        <v>1</v>
      </c>
      <c r="S81" s="12" t="str" cm="1">
        <f t="array" ref="S81">INDEX('Subject-ConceptMap-1'!$I$15:$N$70,Q81+1,R81)</f>
        <v>* group[=].element[+].code = #Subject.ecogPsAtDiagnosis</v>
      </c>
    </row>
    <row r="82" spans="16:19" ht="29.5">
      <c r="P82" s="11">
        <v>68</v>
      </c>
      <c r="Q82" s="11">
        <f t="shared" si="21"/>
        <v>11</v>
      </c>
      <c r="R82" s="11">
        <f t="shared" si="22"/>
        <v>2</v>
      </c>
      <c r="S82" s="12" t="str" cm="1">
        <f t="array" ref="S82">INDEX('Subject-ConceptMap-1'!$I$15:$N$70,Q82+1,R82)</f>
        <v>* group[=].element[=].display = ##34#Eastern Cooperative Oncology Group performance status (ECOG PS)  at diagnosis##34#</v>
      </c>
    </row>
    <row r="83" spans="16:19">
      <c r="P83" s="11">
        <v>69</v>
      </c>
      <c r="Q83" s="11">
        <f t="shared" si="21"/>
        <v>11</v>
      </c>
      <c r="R83" s="11">
        <f t="shared" si="22"/>
        <v>3</v>
      </c>
      <c r="S83" s="12" t="str" cm="1">
        <f t="array" ref="S83">INDEX('Subject-ConceptMap-1'!$I$15:$N$70,Q83+1,R83)</f>
        <v>//-- unmatched</v>
      </c>
    </row>
    <row r="84" spans="16:19">
      <c r="P84" s="11">
        <v>70</v>
      </c>
      <c r="Q84" s="11">
        <f t="shared" ref="Q84:Q121" si="23">IF(MOD(P84,$Q$8)=0,P84/$Q$8-1,INT(P84/$Q$8))</f>
        <v>11</v>
      </c>
      <c r="R84" s="11">
        <f t="shared" ref="R84:R121" si="24">IF(MOD(P84,$Q$8)=0,$Q$8,MOD(P84,$Q$8))</f>
        <v>4</v>
      </c>
      <c r="S84" s="12" t="str" cm="1">
        <f t="array" ref="S84">INDEX('Subject-ConceptMap-1'!$I$15:$N$70,Q84+1,R84)</f>
        <v>//-- unmatched</v>
      </c>
    </row>
    <row r="85" spans="16:19">
      <c r="P85" s="11">
        <v>71</v>
      </c>
      <c r="Q85" s="11">
        <f t="shared" si="23"/>
        <v>11</v>
      </c>
      <c r="R85" s="11">
        <f t="shared" si="24"/>
        <v>5</v>
      </c>
      <c r="S85" s="12" t="str" cm="1">
        <f t="array" ref="S85">INDEX('Subject-ConceptMap-1'!$I$15:$N$70,Q85+1,R85)</f>
        <v>* group[=].element[=].target.equivalence = #unmatched</v>
      </c>
    </row>
    <row r="86" spans="16:19">
      <c r="P86" s="11">
        <v>72</v>
      </c>
      <c r="Q86" s="11">
        <f t="shared" si="23"/>
        <v>11</v>
      </c>
      <c r="R86" s="11">
        <f t="shared" si="24"/>
        <v>6</v>
      </c>
      <c r="S86" s="12" t="str" cm="1">
        <f t="array" ref="S86">INDEX('Subject-ConceptMap-1'!$I$15:$N$70,Q86+1,R86)</f>
        <v/>
      </c>
    </row>
    <row r="87" spans="16:19">
      <c r="P87" s="11">
        <v>73</v>
      </c>
      <c r="Q87" s="11">
        <f t="shared" si="23"/>
        <v>12</v>
      </c>
      <c r="R87" s="11">
        <f t="shared" si="24"/>
        <v>1</v>
      </c>
      <c r="S87" s="12" t="str" cm="1">
        <f t="array" ref="S87">INDEX('Subject-ConceptMap-1'!$I$15:$N$70,Q87+1,R87)</f>
        <v>* group[=].element[+].code = #Subject.karnofsyIndexAtDiagnosis</v>
      </c>
    </row>
    <row r="88" spans="16:19">
      <c r="P88" s="11">
        <v>74</v>
      </c>
      <c r="Q88" s="11">
        <f t="shared" si="23"/>
        <v>12</v>
      </c>
      <c r="R88" s="11">
        <f t="shared" si="24"/>
        <v>2</v>
      </c>
      <c r="S88" s="12" t="str" cm="1">
        <f t="array" ref="S88">INDEX('Subject-ConceptMap-1'!$I$15:$N$70,Q88+1,R88)</f>
        <v>* group[=].element[=].display = ##34#Karnofsy index at diagnosis##34#</v>
      </c>
    </row>
    <row r="89" spans="16:19">
      <c r="P89" s="11">
        <v>75</v>
      </c>
      <c r="Q89" s="11">
        <f t="shared" si="23"/>
        <v>12</v>
      </c>
      <c r="R89" s="11">
        <f t="shared" si="24"/>
        <v>3</v>
      </c>
      <c r="S89" s="12" t="str" cm="1">
        <f t="array" ref="S89">INDEX('Subject-ConceptMap-1'!$I$15:$N$70,Q89+1,R89)</f>
        <v>//-- unmatched</v>
      </c>
    </row>
    <row r="90" spans="16:19">
      <c r="P90" s="11">
        <v>76</v>
      </c>
      <c r="Q90" s="11">
        <f t="shared" si="23"/>
        <v>12</v>
      </c>
      <c r="R90" s="11">
        <f t="shared" si="24"/>
        <v>4</v>
      </c>
      <c r="S90" s="12" t="str" cm="1">
        <f t="array" ref="S90">INDEX('Subject-ConceptMap-1'!$I$15:$N$70,Q90+1,R90)</f>
        <v>//-- unmatched</v>
      </c>
    </row>
    <row r="91" spans="16:19">
      <c r="P91" s="11">
        <v>77</v>
      </c>
      <c r="Q91" s="11">
        <f t="shared" si="23"/>
        <v>12</v>
      </c>
      <c r="R91" s="11">
        <f t="shared" si="24"/>
        <v>5</v>
      </c>
      <c r="S91" s="12" t="str" cm="1">
        <f t="array" ref="S91">INDEX('Subject-ConceptMap-1'!$I$15:$N$70,Q91+1,R91)</f>
        <v>* group[=].element[=].target.equivalence = #unmatched</v>
      </c>
    </row>
    <row r="92" spans="16:19">
      <c r="P92" s="11">
        <v>78</v>
      </c>
      <c r="Q92" s="11">
        <f t="shared" si="23"/>
        <v>12</v>
      </c>
      <c r="R92" s="11">
        <f t="shared" si="24"/>
        <v>6</v>
      </c>
      <c r="S92" s="12" t="str" cm="1">
        <f t="array" ref="S92">INDEX('Subject-ConceptMap-1'!$I$15:$N$70,Q92+1,R92)</f>
        <v/>
      </c>
    </row>
    <row r="93" spans="16:19">
      <c r="P93" s="11">
        <v>79</v>
      </c>
      <c r="Q93" s="11">
        <f t="shared" si="23"/>
        <v>13</v>
      </c>
      <c r="R93" s="11">
        <f t="shared" si="24"/>
        <v>1</v>
      </c>
      <c r="S93" s="12" t="str" cm="1">
        <f t="array" ref="S93">INDEX('Subject-ConceptMap-1'!$I$15:$N$70,Q93+1,R93)</f>
        <v>* group[=].element[+].code = #Subject.noGeneticSyndromeWho2020</v>
      </c>
    </row>
    <row r="94" spans="16:19">
      <c r="P94" s="11">
        <v>80</v>
      </c>
      <c r="Q94" s="11">
        <f t="shared" si="23"/>
        <v>13</v>
      </c>
      <c r="R94" s="11">
        <f t="shared" si="24"/>
        <v>2</v>
      </c>
      <c r="S94" s="12" t="str" cm="1">
        <f t="array" ref="S94">INDEX('Subject-ConceptMap-1'!$I$15:$N$70,Q94+1,R94)</f>
        <v>* group[=].element[=].display = ##34#No Genetic syndrome WHO 2020 ##34#</v>
      </c>
    </row>
    <row r="95" spans="16:19">
      <c r="P95" s="11">
        <v>81</v>
      </c>
      <c r="Q95" s="11">
        <f t="shared" si="23"/>
        <v>13</v>
      </c>
      <c r="R95" s="11">
        <f t="shared" si="24"/>
        <v>3</v>
      </c>
      <c r="S95" s="12" t="str" cm="1">
        <f t="array" ref="S95">INDEX('Subject-ConceptMap-1'!$I$15:$N$70,Q95+1,R95)</f>
        <v>* group[=].element[=].target.code = #Patient.</v>
      </c>
    </row>
    <row r="96" spans="16:19">
      <c r="P96" s="11">
        <v>82</v>
      </c>
      <c r="Q96" s="11">
        <f t="shared" si="23"/>
        <v>13</v>
      </c>
      <c r="R96" s="11">
        <f t="shared" si="24"/>
        <v>4</v>
      </c>
      <c r="S96" s="12" t="str" cm="1">
        <f t="array" ref="S96">INDEX('Subject-ConceptMap-1'!$I$15:$N$70,Q96+1,R96)</f>
        <v>* group[=].element[=].target.display = ##34###34#</v>
      </c>
    </row>
    <row r="97" spans="16:19">
      <c r="P97" s="11">
        <v>83</v>
      </c>
      <c r="Q97" s="11">
        <f t="shared" si="23"/>
        <v>13</v>
      </c>
      <c r="R97" s="11">
        <f t="shared" si="24"/>
        <v>5</v>
      </c>
      <c r="S97" s="12" t="str" cm="1">
        <f t="array" ref="S97">INDEX('Subject-ConceptMap-1'!$I$15:$N$70,Q97+1,R97)</f>
        <v>* group[=].element[=].target.equivalence = #relatedto</v>
      </c>
    </row>
    <row r="98" spans="16:19">
      <c r="P98" s="11">
        <v>84</v>
      </c>
      <c r="Q98" s="11">
        <f t="shared" si="23"/>
        <v>13</v>
      </c>
      <c r="R98" s="11">
        <f t="shared" si="24"/>
        <v>6</v>
      </c>
      <c r="S98" s="12" t="str" cm="1">
        <f t="array" ref="S98">INDEX('Subject-ConceptMap-1'!$I$15:$N$70,Q98+1,R98)</f>
        <v>* group[=].element[=].target.comment = ##34#TO BE MAPPED##34#</v>
      </c>
    </row>
    <row r="99" spans="16:19">
      <c r="P99" s="11">
        <v>85</v>
      </c>
      <c r="Q99" s="11">
        <f t="shared" si="23"/>
        <v>14</v>
      </c>
      <c r="R99" s="11">
        <f t="shared" si="24"/>
        <v>1</v>
      </c>
      <c r="S99" s="12" t="str" cm="1">
        <f t="array" ref="S99">INDEX('Subject-ConceptMap-1'!$I$15:$N$70,Q99+1,R99)</f>
        <v>* group[=].element[+].code = #Subject.otherGeneticSyndromeWho2020</v>
      </c>
    </row>
    <row r="100" spans="16:19">
      <c r="P100" s="11">
        <v>86</v>
      </c>
      <c r="Q100" s="11">
        <f t="shared" si="23"/>
        <v>14</v>
      </c>
      <c r="R100" s="11">
        <f t="shared" si="24"/>
        <v>2</v>
      </c>
      <c r="S100" s="12" t="str" cm="1">
        <f t="array" ref="S100">INDEX('Subject-ConceptMap-1'!$I$15:$N$70,Q100+1,R100)</f>
        <v>* group[=].element[=].display = ##34#Other Genetic syndrome WHO 2020 ##34#</v>
      </c>
    </row>
    <row r="101" spans="16:19">
      <c r="P101" s="11">
        <v>87</v>
      </c>
      <c r="Q101" s="11">
        <f t="shared" si="23"/>
        <v>14</v>
      </c>
      <c r="R101" s="11">
        <f t="shared" si="24"/>
        <v>3</v>
      </c>
      <c r="S101" s="12" t="str" cm="1">
        <f t="array" ref="S101">INDEX('Subject-ConceptMap-1'!$I$15:$N$70,Q101+1,R101)</f>
        <v>* group[=].element[=].target.code = #Patient.</v>
      </c>
    </row>
    <row r="102" spans="16:19">
      <c r="P102" s="11">
        <v>88</v>
      </c>
      <c r="Q102" s="11">
        <f t="shared" si="23"/>
        <v>14</v>
      </c>
      <c r="R102" s="11">
        <f t="shared" si="24"/>
        <v>4</v>
      </c>
      <c r="S102" s="12" t="str" cm="1">
        <f t="array" ref="S102">INDEX('Subject-ConceptMap-1'!$I$15:$N$70,Q102+1,R102)</f>
        <v>* group[=].element[=].target.display = ##34###34#</v>
      </c>
    </row>
    <row r="103" spans="16:19">
      <c r="P103" s="11">
        <v>89</v>
      </c>
      <c r="Q103" s="11">
        <f t="shared" si="23"/>
        <v>14</v>
      </c>
      <c r="R103" s="11">
        <f t="shared" si="24"/>
        <v>5</v>
      </c>
      <c r="S103" s="12" t="str" cm="1">
        <f t="array" ref="S103">INDEX('Subject-ConceptMap-1'!$I$15:$N$70,Q103+1,R103)</f>
        <v>* group[=].element[=].target.equivalence = #relatedto</v>
      </c>
    </row>
    <row r="104" spans="16:19">
      <c r="P104" s="11">
        <v>90</v>
      </c>
      <c r="Q104" s="11">
        <f t="shared" si="23"/>
        <v>14</v>
      </c>
      <c r="R104" s="11">
        <f t="shared" si="24"/>
        <v>6</v>
      </c>
      <c r="S104" s="12" t="str" cm="1">
        <f t="array" ref="S104">INDEX('Subject-ConceptMap-1'!$I$15:$N$70,Q104+1,R104)</f>
        <v>* group[=].element[=].target.comment = ##34#TO BE MAPPED##34#</v>
      </c>
    </row>
    <row r="105" spans="16:19">
      <c r="P105" s="11">
        <v>91</v>
      </c>
      <c r="Q105" s="11">
        <f t="shared" si="23"/>
        <v>15</v>
      </c>
      <c r="R105" s="11">
        <f t="shared" si="24"/>
        <v>1</v>
      </c>
      <c r="S105" s="12" t="str" cm="1">
        <f t="array" ref="S105">INDEX('Subject-ConceptMap-1'!$I$15:$N$70,Q105+1,R105)</f>
        <v>* group[=].element[+].code = #Subject.occurrenceOfOtherCancer</v>
      </c>
    </row>
    <row r="106" spans="16:19">
      <c r="P106" s="11">
        <v>92</v>
      </c>
      <c r="Q106" s="11">
        <f t="shared" si="23"/>
        <v>15</v>
      </c>
      <c r="R106" s="11">
        <f t="shared" si="24"/>
        <v>2</v>
      </c>
      <c r="S106" s="12" t="str" cm="1">
        <f t="array" ref="S106">INDEX('Subject-ConceptMap-1'!$I$15:$N$70,Q106+1,R106)</f>
        <v>* group[=].element[=].display = ##34#Occurrence of other cancer##34#</v>
      </c>
    </row>
    <row r="107" spans="16:19">
      <c r="P107" s="11">
        <v>93</v>
      </c>
      <c r="Q107" s="11">
        <f t="shared" si="23"/>
        <v>15</v>
      </c>
      <c r="R107" s="11">
        <f t="shared" si="24"/>
        <v>3</v>
      </c>
      <c r="S107" s="12" t="str" cm="1">
        <f t="array" ref="S107">INDEX('Subject-ConceptMap-1'!$I$15:$N$70,Q107+1,R107)</f>
        <v>* group[=].element[=].target.code = #Patient.</v>
      </c>
    </row>
    <row r="108" spans="16:19">
      <c r="P108" s="11">
        <v>94</v>
      </c>
      <c r="Q108" s="11">
        <f t="shared" si="23"/>
        <v>15</v>
      </c>
      <c r="R108" s="11">
        <f t="shared" si="24"/>
        <v>4</v>
      </c>
      <c r="S108" s="12" t="str" cm="1">
        <f t="array" ref="S108">INDEX('Subject-ConceptMap-1'!$I$15:$N$70,Q108+1,R108)</f>
        <v>* group[=].element[=].target.display = ##34###34#</v>
      </c>
    </row>
    <row r="109" spans="16:19">
      <c r="P109" s="11">
        <v>95</v>
      </c>
      <c r="Q109" s="11">
        <f t="shared" si="23"/>
        <v>15</v>
      </c>
      <c r="R109" s="11">
        <f t="shared" si="24"/>
        <v>5</v>
      </c>
      <c r="S109" s="12" t="str" cm="1">
        <f t="array" ref="S109">INDEX('Subject-ConceptMap-1'!$I$15:$N$70,Q109+1,R109)</f>
        <v>* group[=].element[=].target.equivalence = #relatedto</v>
      </c>
    </row>
    <row r="110" spans="16:19">
      <c r="P110" s="11">
        <v>96</v>
      </c>
      <c r="Q110" s="11">
        <f t="shared" si="23"/>
        <v>15</v>
      </c>
      <c r="R110" s="11">
        <f t="shared" si="24"/>
        <v>6</v>
      </c>
      <c r="S110" s="12" t="str" cm="1">
        <f t="array" ref="S110">INDEX('Subject-ConceptMap-1'!$I$15:$N$70,Q110+1,R110)</f>
        <v>* group[=].element[=].target.comment = ##34#TO BE MAPPED##34#</v>
      </c>
    </row>
    <row r="111" spans="16:19">
      <c r="P111" s="11">
        <v>97</v>
      </c>
      <c r="Q111" s="11">
        <f t="shared" si="23"/>
        <v>16</v>
      </c>
      <c r="R111" s="11">
        <f t="shared" si="24"/>
        <v>1</v>
      </c>
      <c r="S111" s="12" t="str" cm="1">
        <f t="array" ref="S111">INDEX('Subject-ConceptMap-1'!$I$15:$N$70,Q111+1,R111)</f>
        <v>* group[=].element[+].code = #Subject.previousCancerTreatment</v>
      </c>
    </row>
    <row r="112" spans="16:19">
      <c r="P112" s="11">
        <v>98</v>
      </c>
      <c r="Q112" s="11">
        <f t="shared" si="23"/>
        <v>16</v>
      </c>
      <c r="R112" s="11">
        <f t="shared" si="24"/>
        <v>2</v>
      </c>
      <c r="S112" s="12" t="str" cm="1">
        <f t="array" ref="S112">INDEX('Subject-ConceptMap-1'!$I$15:$N$70,Q112+1,R112)</f>
        <v>* group[=].element[=].display = ##34#Previous cancer treatment##34#</v>
      </c>
    </row>
    <row r="113" spans="16:19">
      <c r="P113" s="11">
        <v>99</v>
      </c>
      <c r="Q113" s="11">
        <f t="shared" si="23"/>
        <v>16</v>
      </c>
      <c r="R113" s="11">
        <f t="shared" si="24"/>
        <v>3</v>
      </c>
      <c r="S113" s="12" t="str" cm="1">
        <f t="array" ref="S113">INDEX('Subject-ConceptMap-1'!$I$15:$N$70,Q113+1,R113)</f>
        <v>* group[=].element[=].target.code = #Patient.</v>
      </c>
    </row>
    <row r="114" spans="16:19">
      <c r="P114" s="11">
        <v>100</v>
      </c>
      <c r="Q114" s="11">
        <f t="shared" si="23"/>
        <v>16</v>
      </c>
      <c r="R114" s="11">
        <f t="shared" si="24"/>
        <v>4</v>
      </c>
      <c r="S114" s="12" t="str" cm="1">
        <f t="array" ref="S114">INDEX('Subject-ConceptMap-1'!$I$15:$N$70,Q114+1,R114)</f>
        <v>* group[=].element[=].target.display = ##34###34#</v>
      </c>
    </row>
    <row r="115" spans="16:19">
      <c r="P115" s="11">
        <v>101</v>
      </c>
      <c r="Q115" s="11">
        <f t="shared" si="23"/>
        <v>16</v>
      </c>
      <c r="R115" s="11">
        <f t="shared" si="24"/>
        <v>5</v>
      </c>
      <c r="S115" s="12" t="str" cm="1">
        <f t="array" ref="S115">INDEX('Subject-ConceptMap-1'!$I$15:$N$70,Q115+1,R115)</f>
        <v>* group[=].element[=].target.equivalence = #relatedto</v>
      </c>
    </row>
    <row r="116" spans="16:19">
      <c r="P116" s="11">
        <v>102</v>
      </c>
      <c r="Q116" s="11">
        <f t="shared" si="23"/>
        <v>16</v>
      </c>
      <c r="R116" s="11">
        <f t="shared" si="24"/>
        <v>6</v>
      </c>
      <c r="S116" s="12" t="str" cm="1">
        <f t="array" ref="S116">INDEX('Subject-ConceptMap-1'!$I$15:$N$70,Q116+1,R116)</f>
        <v>* group[=].element[=].target.comment = ##34#TO BE MAPPED##34#</v>
      </c>
    </row>
    <row r="117" spans="16:19">
      <c r="P117" s="11">
        <v>103</v>
      </c>
      <c r="Q117" s="11">
        <f t="shared" si="23"/>
        <v>17</v>
      </c>
      <c r="R117" s="11">
        <f t="shared" si="24"/>
        <v>1</v>
      </c>
      <c r="S117" s="12" t="str" cm="1">
        <f t="array" ref="S117">INDEX('Subject-ConceptMap-1'!$I$15:$N$70,Q117+1,R117)</f>
        <v>* group[=].element[+].code = #Subject.lastContact</v>
      </c>
    </row>
    <row r="118" spans="16:19">
      <c r="P118" s="11">
        <v>104</v>
      </c>
      <c r="Q118" s="11">
        <f t="shared" si="23"/>
        <v>17</v>
      </c>
      <c r="R118" s="11">
        <f t="shared" si="24"/>
        <v>2</v>
      </c>
      <c r="S118" s="12" t="str" cm="1">
        <f t="array" ref="S118">INDEX('Subject-ConceptMap-1'!$I$15:$N$70,Q118+1,R118)</f>
        <v>* group[=].element[=].display = ##34#Last Contact##34#</v>
      </c>
    </row>
    <row r="119" spans="16:19">
      <c r="P119" s="11">
        <v>105</v>
      </c>
      <c r="Q119" s="11">
        <f t="shared" si="23"/>
        <v>17</v>
      </c>
      <c r="R119" s="11">
        <f t="shared" si="24"/>
        <v>3</v>
      </c>
      <c r="S119" s="12" t="str" cm="1">
        <f t="array" ref="S119">INDEX('Subject-ConceptMap-1'!$I$15:$N$70,Q119+1,R119)</f>
        <v>* group[=].element[=].target.code = #Patient.</v>
      </c>
    </row>
    <row r="120" spans="16:19">
      <c r="P120" s="11">
        <v>106</v>
      </c>
      <c r="Q120" s="11">
        <f t="shared" si="23"/>
        <v>17</v>
      </c>
      <c r="R120" s="11">
        <f t="shared" si="24"/>
        <v>4</v>
      </c>
      <c r="S120" s="12" t="str" cm="1">
        <f t="array" ref="S120">INDEX('Subject-ConceptMap-1'!$I$15:$N$70,Q120+1,R120)</f>
        <v>* group[=].element[=].target.display = ##34###34#</v>
      </c>
    </row>
    <row r="121" spans="16:19">
      <c r="P121" s="11">
        <v>107</v>
      </c>
      <c r="Q121" s="11">
        <f t="shared" si="23"/>
        <v>17</v>
      </c>
      <c r="R121" s="11">
        <f t="shared" si="24"/>
        <v>5</v>
      </c>
      <c r="S121" s="12" t="str" cm="1">
        <f t="array" ref="S121">INDEX('Subject-ConceptMap-1'!$I$15:$N$70,Q121+1,R121)</f>
        <v>* group[=].element[=].target.equivalence = #relatedto</v>
      </c>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J18" workbookViewId="0">
      <selection activeCell="S39" sqref="S39"/>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18" t="s">
        <v>1824</v>
      </c>
    </row>
    <row r="5" spans="1:19">
      <c r="B5" s="62" t="s">
        <v>10</v>
      </c>
      <c r="C5" s="128" t="s">
        <v>1863</v>
      </c>
      <c r="D5" s="62"/>
      <c r="E5" s="7"/>
    </row>
    <row r="6" spans="1:19">
      <c r="B6" s="62" t="s">
        <v>18</v>
      </c>
      <c r="C6" s="129"/>
      <c r="D6" s="62" t="s">
        <v>1788</v>
      </c>
      <c r="E6" s="168" t="str">
        <f>E3</f>
        <v>http://hl7.eu/fhir/ig/idea4rc/StructureDefinition/Subject</v>
      </c>
      <c r="F6" s="169"/>
      <c r="G6" s="169"/>
    </row>
    <row r="7" spans="1:19">
      <c r="B7" s="62" t="s">
        <v>15</v>
      </c>
      <c r="C7" s="130"/>
      <c r="D7" s="62" t="s">
        <v>1789</v>
      </c>
      <c r="E7" s="168" t="s">
        <v>1869</v>
      </c>
      <c r="F7" s="169"/>
      <c r="G7" s="169"/>
    </row>
    <row r="8" spans="1:19" ht="44.25">
      <c r="B8" s="62" t="s">
        <v>1790</v>
      </c>
      <c r="C8" s="103" t="s">
        <v>1863</v>
      </c>
      <c r="D8" s="62"/>
      <c r="E8" s="7"/>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1870</v>
      </c>
      <c r="E14" s="6"/>
      <c r="F14" s="64"/>
      <c r="G14" s="64"/>
      <c r="I14" s="12"/>
      <c r="J14" s="11"/>
      <c r="K14" s="11"/>
      <c r="L14" s="11"/>
      <c r="M14" s="63"/>
      <c r="N14" s="66"/>
    </row>
    <row r="15" spans="1:19" ht="88.5">
      <c r="A15" s="59"/>
      <c r="B15" s="11" t="str">
        <f>Subject!B11</f>
        <v>smoking</v>
      </c>
      <c r="C15" s="11" t="str">
        <f>Subject!C11</f>
        <v>Smoking</v>
      </c>
      <c r="D15" s="12" t="s">
        <v>1872</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1871</v>
      </c>
      <c r="E16" s="11"/>
      <c r="F16" s="64" t="s">
        <v>1429</v>
      </c>
      <c r="G16" s="64"/>
      <c r="H16" s="58"/>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1873</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1874</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c r="A19" s="59"/>
      <c r="B19" s="11"/>
      <c r="C19" s="11"/>
      <c r="D19" s="12"/>
      <c r="E19" s="11"/>
      <c r="F19" s="64"/>
      <c r="G19" s="64"/>
      <c r="H19" s="58"/>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c r="A20" s="59"/>
      <c r="B20" s="11"/>
      <c r="C20" s="11"/>
      <c r="D20" s="12"/>
      <c r="E20" s="11"/>
      <c r="F20" s="64"/>
      <c r="G20" s="64"/>
      <c r="H20" s="58"/>
      <c r="I20" s="12"/>
      <c r="J20" s="12"/>
      <c r="K20" s="12"/>
      <c r="L20" s="12"/>
      <c r="M20" s="12"/>
      <c r="N20" s="12"/>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cm="1">
        <f t="array" ref="S39">INDEX('Subject-ConceptMap-2'!$I$15:$N$123,Q39+1,R39)</f>
        <v>0</v>
      </c>
    </row>
    <row r="40" spans="1:19" s="2" customFormat="1">
      <c r="A40"/>
      <c r="B40" s="11"/>
      <c r="C40" s="12"/>
      <c r="D40" s="12"/>
      <c r="F40" s="64"/>
      <c r="G40" s="58"/>
      <c r="H40" s="58"/>
      <c r="J40"/>
      <c r="K40" s="58"/>
      <c r="L40" s="58"/>
      <c r="M40" s="66"/>
      <c r="N40" s="66"/>
      <c r="P40" s="11">
        <v>26</v>
      </c>
      <c r="Q40" s="11">
        <f t="shared" si="13"/>
        <v>4</v>
      </c>
      <c r="R40" s="11">
        <f t="shared" si="14"/>
        <v>2</v>
      </c>
      <c r="S40" s="12" cm="1">
        <f t="array" ref="S40">INDEX('Subject-ConceptMap-2'!$I$15:$N$123,Q40+1,R40)</f>
        <v>0</v>
      </c>
    </row>
    <row r="41" spans="1:19" s="2" customFormat="1">
      <c r="A41"/>
      <c r="B41" s="11"/>
      <c r="C41" s="12"/>
      <c r="D41" s="12"/>
      <c r="F41" s="64"/>
      <c r="G41" s="58"/>
      <c r="H41" s="58"/>
      <c r="J41"/>
      <c r="K41" s="58"/>
      <c r="L41" s="58"/>
      <c r="M41" s="66"/>
      <c r="N41" s="66"/>
      <c r="P41" s="11">
        <v>27</v>
      </c>
      <c r="Q41" s="11">
        <f t="shared" si="13"/>
        <v>4</v>
      </c>
      <c r="R41" s="11">
        <f t="shared" si="14"/>
        <v>3</v>
      </c>
      <c r="S41" s="12" cm="1">
        <f t="array" ref="S41">INDEX('Subject-ConceptMap-2'!$I$15:$N$123,Q41+1,R41)</f>
        <v>0</v>
      </c>
    </row>
    <row r="42" spans="1:19" s="2" customFormat="1">
      <c r="A42"/>
      <c r="B42" s="11"/>
      <c r="C42" s="12"/>
      <c r="D42" s="12"/>
      <c r="F42" s="64"/>
      <c r="G42" s="58"/>
      <c r="H42" s="58"/>
      <c r="J42" s="58"/>
      <c r="K42" s="58"/>
      <c r="L42" s="58"/>
      <c r="M42" s="66"/>
      <c r="N42" s="66"/>
      <c r="P42" s="11">
        <v>28</v>
      </c>
      <c r="Q42" s="11">
        <f t="shared" si="13"/>
        <v>4</v>
      </c>
      <c r="R42" s="11">
        <f t="shared" si="14"/>
        <v>4</v>
      </c>
      <c r="S42" s="12" cm="1">
        <f t="array" ref="S42">INDEX('Subject-ConceptMap-2'!$I$15:$N$123,Q42+1,R42)</f>
        <v>0</v>
      </c>
    </row>
    <row r="43" spans="1:19" s="2" customFormat="1">
      <c r="A43"/>
      <c r="B43" s="11"/>
      <c r="C43" s="12"/>
      <c r="F43" s="64"/>
      <c r="G43" s="58"/>
      <c r="H43" s="58"/>
      <c r="J43" s="58"/>
      <c r="K43" s="58"/>
      <c r="L43" s="58"/>
      <c r="M43" s="66"/>
      <c r="N43" s="66"/>
      <c r="P43" s="11">
        <v>29</v>
      </c>
      <c r="Q43" s="11">
        <f t="shared" si="13"/>
        <v>4</v>
      </c>
      <c r="R43" s="11">
        <f t="shared" si="14"/>
        <v>5</v>
      </c>
      <c r="S43" s="12" cm="1">
        <f t="array" ref="S43">INDEX('Subject-ConceptMap-2'!$I$15:$N$123,Q43+1,R43)</f>
        <v>0</v>
      </c>
    </row>
    <row r="44" spans="1:19">
      <c r="B44" s="11"/>
      <c r="C44" s="12"/>
      <c r="F44" s="64"/>
      <c r="P44" s="11">
        <v>30</v>
      </c>
      <c r="Q44" s="11">
        <f t="shared" si="13"/>
        <v>4</v>
      </c>
      <c r="R44" s="11">
        <f t="shared" si="14"/>
        <v>6</v>
      </c>
      <c r="S44" s="12" cm="1">
        <f t="array" ref="S44">INDEX('Subject-ConceptMap-2'!$I$15:$N$123,Q44+1,R44)</f>
        <v>0</v>
      </c>
    </row>
    <row r="45" spans="1:19">
      <c r="B45" s="11"/>
      <c r="C45" s="12"/>
      <c r="F45" s="64"/>
      <c r="P45" s="11">
        <v>31</v>
      </c>
      <c r="Q45" s="11">
        <f t="shared" si="13"/>
        <v>5</v>
      </c>
      <c r="R45" s="11">
        <f t="shared" si="14"/>
        <v>1</v>
      </c>
      <c r="S45" s="12" cm="1">
        <f t="array" ref="S45">INDEX('Subject-ConceptMap-2'!$I$15:$N$123,Q45+1,R45)</f>
        <v>0</v>
      </c>
    </row>
    <row r="46" spans="1:19">
      <c r="B46" s="11"/>
      <c r="C46" s="12"/>
      <c r="P46" s="11">
        <v>32</v>
      </c>
      <c r="Q46" s="11">
        <f t="shared" si="13"/>
        <v>5</v>
      </c>
      <c r="R46" s="11">
        <f t="shared" si="14"/>
        <v>2</v>
      </c>
      <c r="S46" s="12" cm="1">
        <f t="array" ref="S46">INDEX('Subject-ConceptMap-2'!$I$15:$N$123,Q46+1,R46)</f>
        <v>0</v>
      </c>
    </row>
    <row r="47" spans="1:19">
      <c r="B47" s="11"/>
      <c r="C47" s="12"/>
      <c r="P47" s="11">
        <v>33</v>
      </c>
      <c r="Q47" s="11">
        <f t="shared" si="13"/>
        <v>5</v>
      </c>
      <c r="R47" s="11">
        <f t="shared" si="14"/>
        <v>3</v>
      </c>
      <c r="S47" s="12" cm="1">
        <f t="array" ref="S47">INDEX('Subject-ConceptMap-2'!$I$15:$N$123,Q47+1,R47)</f>
        <v>0</v>
      </c>
    </row>
    <row r="48" spans="1:19">
      <c r="P48" s="11">
        <v>34</v>
      </c>
      <c r="Q48" s="11">
        <f t="shared" si="13"/>
        <v>5</v>
      </c>
      <c r="R48" s="11">
        <f t="shared" si="14"/>
        <v>4</v>
      </c>
      <c r="S48" s="12" cm="1">
        <f t="array" ref="S48">INDEX('Subject-ConceptMap-2'!$I$15:$N$123,Q48+1,R48)</f>
        <v>0</v>
      </c>
    </row>
    <row r="49" spans="16:19">
      <c r="P49" s="11">
        <v>35</v>
      </c>
      <c r="Q49" s="11">
        <f t="shared" si="13"/>
        <v>5</v>
      </c>
      <c r="R49" s="11">
        <f t="shared" si="14"/>
        <v>5</v>
      </c>
      <c r="S49" s="12" cm="1">
        <f t="array" ref="S49">INDEX('Subject-ConceptMap-2'!$I$15:$N$123,Q49+1,R49)</f>
        <v>0</v>
      </c>
    </row>
    <row r="50" spans="16:19">
      <c r="P50" s="11">
        <v>36</v>
      </c>
      <c r="Q50" s="11">
        <f t="shared" si="13"/>
        <v>5</v>
      </c>
      <c r="R50" s="11">
        <f t="shared" si="14"/>
        <v>6</v>
      </c>
      <c r="S50" s="12" cm="1">
        <f t="array" ref="S50">INDEX('Subject-ConceptMap-2'!$I$15:$N$123,Q50+1,R50)</f>
        <v>0</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G6" zoomScale="78" workbookViewId="0">
      <selection activeCell="B16" sqref="B16:O16"/>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18" t="s">
        <v>1824</v>
      </c>
    </row>
    <row r="5" spans="1:19">
      <c r="B5" s="62" t="s">
        <v>10</v>
      </c>
      <c r="C5" s="128" t="s">
        <v>1863</v>
      </c>
      <c r="D5" s="62"/>
      <c r="E5" s="7"/>
    </row>
    <row r="6" spans="1:19">
      <c r="B6" s="62" t="s">
        <v>18</v>
      </c>
      <c r="C6" s="129"/>
      <c r="D6" s="62" t="s">
        <v>1788</v>
      </c>
      <c r="E6" s="168" t="str">
        <f>E3</f>
        <v>http://hl7.eu/fhir/ig/idea4rc/StructureDefinition/Subject</v>
      </c>
      <c r="F6" s="169"/>
      <c r="G6" s="169"/>
    </row>
    <row r="7" spans="1:19">
      <c r="B7" s="62" t="s">
        <v>15</v>
      </c>
      <c r="C7" s="130"/>
      <c r="D7" s="62" t="s">
        <v>1789</v>
      </c>
      <c r="E7" s="168" t="s">
        <v>1875</v>
      </c>
      <c r="F7" s="169"/>
      <c r="G7" s="169"/>
    </row>
    <row r="8" spans="1:19" ht="44.25">
      <c r="B8" s="62" t="s">
        <v>1790</v>
      </c>
      <c r="C8" s="103" t="s">
        <v>1863</v>
      </c>
      <c r="D8" s="62"/>
      <c r="E8" s="7"/>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1870</v>
      </c>
      <c r="E14" s="6"/>
      <c r="F14" s="64"/>
      <c r="G14" s="64"/>
      <c r="I14" s="12"/>
      <c r="J14" s="11"/>
      <c r="K14" s="11"/>
      <c r="L14" s="11"/>
      <c r="M14" s="63"/>
      <c r="N14" s="66"/>
    </row>
    <row r="15" spans="1:19" ht="73.75">
      <c r="A15" s="59"/>
      <c r="B15" s="11" t="str">
        <f>Subject!B15</f>
        <v>alcohol</v>
      </c>
      <c r="C15" s="11" t="str">
        <f>Subject!C15</f>
        <v>Alcohol</v>
      </c>
      <c r="D15" s="12" t="s">
        <v>1876</v>
      </c>
      <c r="E15" s="12"/>
      <c r="F15" s="64" t="s">
        <v>1429</v>
      </c>
      <c r="G15" s="124"/>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c r="C16" s="11"/>
      <c r="D16" s="12"/>
      <c r="E16" s="11"/>
      <c r="F16" s="64"/>
      <c r="G16" s="64"/>
      <c r="H16" s="58"/>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cm="1">
        <f t="array" ref="S21">INDEX('Subject-ConceptMap-3'!$I$15:$N$123,Q21+1,R21)</f>
        <v>0</v>
      </c>
    </row>
    <row r="22" spans="1:19">
      <c r="A22" s="59"/>
      <c r="B22" s="11"/>
      <c r="C22" s="12"/>
      <c r="D22" s="12"/>
      <c r="E22" s="11"/>
      <c r="F22" s="64"/>
      <c r="G22" s="64"/>
      <c r="H22" s="58"/>
      <c r="K22" s="58"/>
      <c r="L22" s="58"/>
      <c r="M22" s="66"/>
      <c r="N22" s="66"/>
      <c r="P22" s="11">
        <v>8</v>
      </c>
      <c r="Q22" s="11">
        <f t="shared" si="5"/>
        <v>1</v>
      </c>
      <c r="R22" s="11">
        <f t="shared" si="6"/>
        <v>2</v>
      </c>
      <c r="S22" s="12" cm="1">
        <f t="array" ref="S22">INDEX('Subject-ConceptMap-3'!$I$15:$N$123,Q22+1,R22)</f>
        <v>0</v>
      </c>
    </row>
    <row r="23" spans="1:19" ht="29.5" customHeight="1">
      <c r="A23" s="59"/>
      <c r="B23" s="11"/>
      <c r="C23" s="12"/>
      <c r="D23" s="12"/>
      <c r="E23" s="11"/>
      <c r="F23" s="64"/>
      <c r="G23" s="64"/>
      <c r="H23" s="58"/>
      <c r="K23" s="58"/>
      <c r="L23" s="58"/>
      <c r="M23" s="66"/>
      <c r="N23" s="66"/>
      <c r="P23" s="11">
        <v>9</v>
      </c>
      <c r="Q23" s="11">
        <f t="shared" si="5"/>
        <v>1</v>
      </c>
      <c r="R23" s="11">
        <f t="shared" si="6"/>
        <v>3</v>
      </c>
      <c r="S23" s="12" cm="1">
        <f t="array" ref="S23">INDEX('Subject-ConceptMap-3'!$I$15:$N$123,Q23+1,R23)</f>
        <v>0</v>
      </c>
    </row>
    <row r="24" spans="1:19">
      <c r="A24" s="59"/>
      <c r="B24" s="11"/>
      <c r="C24" s="12"/>
      <c r="D24" s="12"/>
      <c r="E24" s="11"/>
      <c r="F24" s="64"/>
      <c r="G24" s="64"/>
      <c r="H24" s="58"/>
      <c r="K24" s="58"/>
      <c r="L24" s="58"/>
      <c r="M24" s="66"/>
      <c r="N24" s="66"/>
      <c r="P24" s="11">
        <v>10</v>
      </c>
      <c r="Q24" s="11">
        <f t="shared" si="5"/>
        <v>1</v>
      </c>
      <c r="R24" s="11">
        <f t="shared" si="6"/>
        <v>4</v>
      </c>
      <c r="S24" s="12" cm="1">
        <f t="array" ref="S24">INDEX('Subject-ConceptMap-3'!$I$15:$N$123,Q24+1,R24)</f>
        <v>0</v>
      </c>
    </row>
    <row r="25" spans="1:19">
      <c r="A25" s="59"/>
      <c r="B25" s="11"/>
      <c r="C25" s="12"/>
      <c r="D25" s="12"/>
      <c r="E25" s="12"/>
      <c r="F25" s="64"/>
      <c r="G25" s="64"/>
      <c r="H25" s="58"/>
      <c r="K25" s="58"/>
      <c r="L25" s="58"/>
      <c r="M25" s="66"/>
      <c r="N25" s="66"/>
      <c r="P25" s="11">
        <v>11</v>
      </c>
      <c r="Q25" s="11">
        <f t="shared" si="5"/>
        <v>1</v>
      </c>
      <c r="R25" s="11">
        <f t="shared" si="6"/>
        <v>5</v>
      </c>
      <c r="S25" s="12" cm="1">
        <f t="array" ref="S25">INDEX('Subject-ConceptMap-3'!$I$15:$N$123,Q25+1,R25)</f>
        <v>0</v>
      </c>
    </row>
    <row r="26" spans="1:19">
      <c r="A26" s="59"/>
      <c r="B26" s="11"/>
      <c r="C26" s="12"/>
      <c r="D26" s="12"/>
      <c r="E26" s="12"/>
      <c r="F26" s="64"/>
      <c r="G26" s="64"/>
      <c r="H26" s="58"/>
      <c r="K26" s="58"/>
      <c r="L26" s="58"/>
      <c r="M26" s="66"/>
      <c r="N26" s="66"/>
      <c r="P26" s="11">
        <v>12</v>
      </c>
      <c r="Q26" s="11">
        <f t="shared" si="5"/>
        <v>1</v>
      </c>
      <c r="R26" s="11">
        <f t="shared" si="6"/>
        <v>6</v>
      </c>
      <c r="S26" s="12" cm="1">
        <f t="array" ref="S26">INDEX('Subject-ConceptMap-3'!$I$15:$N$123,Q26+1,R26)</f>
        <v>0</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7">IF(MOD(P79,$Q$8)=0,P79/$Q$8-1,INT(P79/$Q$8))</f>
        <v>10</v>
      </c>
      <c r="R79" s="11">
        <f t="shared" ref="R79:R142" si="8">IF(MOD(P79,$Q$8)=0,$Q$8,MOD(P79,$Q$8))</f>
        <v>5</v>
      </c>
      <c r="S79" s="12" cm="1">
        <f t="array" ref="S79">INDEX('Subject-ConceptMap-3'!$I$15:$N$123,Q79+1,R79)</f>
        <v>0</v>
      </c>
    </row>
    <row r="80" spans="16:19">
      <c r="P80" s="11">
        <v>66</v>
      </c>
      <c r="Q80" s="11">
        <f t="shared" si="7"/>
        <v>10</v>
      </c>
      <c r="R80" s="11">
        <f t="shared" si="8"/>
        <v>6</v>
      </c>
      <c r="S80" s="12" cm="1">
        <f t="array" ref="S80">INDEX('Subject-ConceptMap-3'!$I$15:$N$123,Q80+1,R80)</f>
        <v>0</v>
      </c>
    </row>
    <row r="81" spans="16:19">
      <c r="P81" s="11">
        <v>67</v>
      </c>
      <c r="Q81" s="11">
        <f t="shared" si="7"/>
        <v>11</v>
      </c>
      <c r="R81" s="11">
        <f t="shared" si="8"/>
        <v>1</v>
      </c>
      <c r="S81" s="12" cm="1">
        <f t="array" ref="S81">INDEX('Subject-ConceptMap-3'!$I$15:$N$123,Q81+1,R81)</f>
        <v>0</v>
      </c>
    </row>
    <row r="82" spans="16:19">
      <c r="P82" s="11">
        <v>68</v>
      </c>
      <c r="Q82" s="11">
        <f t="shared" si="7"/>
        <v>11</v>
      </c>
      <c r="R82" s="11">
        <f t="shared" si="8"/>
        <v>2</v>
      </c>
      <c r="S82" s="12" cm="1">
        <f t="array" ref="S82">INDEX('Subject-ConceptMap-3'!$I$15:$N$123,Q82+1,R82)</f>
        <v>0</v>
      </c>
    </row>
    <row r="83" spans="16:19">
      <c r="P83" s="11">
        <v>69</v>
      </c>
      <c r="Q83" s="11">
        <f t="shared" si="7"/>
        <v>11</v>
      </c>
      <c r="R83" s="11">
        <f t="shared" si="8"/>
        <v>3</v>
      </c>
      <c r="S83" s="12" cm="1">
        <f t="array" ref="S83">INDEX('Subject-ConceptMap-3'!$I$15:$N$123,Q83+1,R83)</f>
        <v>0</v>
      </c>
    </row>
    <row r="84" spans="16:19">
      <c r="P84" s="11">
        <v>70</v>
      </c>
      <c r="Q84" s="11">
        <f t="shared" si="7"/>
        <v>11</v>
      </c>
      <c r="R84" s="11">
        <f t="shared" si="8"/>
        <v>4</v>
      </c>
      <c r="S84" s="12" cm="1">
        <f t="array" ref="S84">INDEX('Subject-ConceptMap-3'!$I$15:$N$123,Q84+1,R84)</f>
        <v>0</v>
      </c>
    </row>
    <row r="85" spans="16:19">
      <c r="P85" s="11">
        <v>71</v>
      </c>
      <c r="Q85" s="11">
        <f t="shared" si="7"/>
        <v>11</v>
      </c>
      <c r="R85" s="11">
        <f t="shared" si="8"/>
        <v>5</v>
      </c>
      <c r="S85" s="12" cm="1">
        <f t="array" ref="S85">INDEX('Subject-ConceptMap-3'!$I$15:$N$123,Q85+1,R85)</f>
        <v>0</v>
      </c>
    </row>
    <row r="86" spans="16:19">
      <c r="P86" s="11">
        <v>72</v>
      </c>
      <c r="Q86" s="11">
        <f t="shared" si="7"/>
        <v>11</v>
      </c>
      <c r="R86" s="11">
        <f t="shared" si="8"/>
        <v>6</v>
      </c>
      <c r="S86" s="12" cm="1">
        <f t="array" ref="S86">INDEX('Subject-ConceptMap-3'!$I$15:$N$123,Q86+1,R86)</f>
        <v>0</v>
      </c>
    </row>
    <row r="87" spans="16:19">
      <c r="P87" s="11">
        <v>73</v>
      </c>
      <c r="Q87" s="11">
        <f t="shared" si="7"/>
        <v>12</v>
      </c>
      <c r="R87" s="11">
        <f t="shared" si="8"/>
        <v>1</v>
      </c>
      <c r="S87" s="12" cm="1">
        <f t="array" ref="S87">INDEX('Subject-ConceptMap-3'!$I$15:$N$123,Q87+1,R87)</f>
        <v>0</v>
      </c>
    </row>
    <row r="88" spans="16:19">
      <c r="P88" s="11">
        <v>74</v>
      </c>
      <c r="Q88" s="11">
        <f t="shared" si="7"/>
        <v>12</v>
      </c>
      <c r="R88" s="11">
        <f t="shared" si="8"/>
        <v>2</v>
      </c>
      <c r="S88" s="12" cm="1">
        <f t="array" ref="S88">INDEX('Subject-ConceptMap-3'!$I$15:$N$123,Q88+1,R88)</f>
        <v>0</v>
      </c>
    </row>
    <row r="89" spans="16:19">
      <c r="P89" s="11">
        <v>75</v>
      </c>
      <c r="Q89" s="11">
        <f t="shared" si="7"/>
        <v>12</v>
      </c>
      <c r="R89" s="11">
        <f t="shared" si="8"/>
        <v>3</v>
      </c>
      <c r="S89" s="12" cm="1">
        <f t="array" ref="S89">INDEX('Subject-ConceptMap-3'!$I$15:$N$123,Q89+1,R89)</f>
        <v>0</v>
      </c>
    </row>
    <row r="90" spans="16:19">
      <c r="P90" s="11">
        <v>76</v>
      </c>
      <c r="Q90" s="11">
        <f t="shared" si="7"/>
        <v>12</v>
      </c>
      <c r="R90" s="11">
        <f t="shared" si="8"/>
        <v>4</v>
      </c>
      <c r="S90" s="12" cm="1">
        <f t="array" ref="S90">INDEX('Subject-ConceptMap-3'!$I$15:$N$123,Q90+1,R90)</f>
        <v>0</v>
      </c>
    </row>
    <row r="91" spans="16:19">
      <c r="P91" s="11">
        <v>77</v>
      </c>
      <c r="Q91" s="11">
        <f t="shared" si="7"/>
        <v>12</v>
      </c>
      <c r="R91" s="11">
        <f t="shared" si="8"/>
        <v>5</v>
      </c>
      <c r="S91" s="12" cm="1">
        <f t="array" ref="S91">INDEX('Subject-ConceptMap-3'!$I$15:$N$123,Q91+1,R91)</f>
        <v>0</v>
      </c>
    </row>
    <row r="92" spans="16:19">
      <c r="P92" s="11">
        <v>78</v>
      </c>
      <c r="Q92" s="11">
        <f t="shared" si="7"/>
        <v>12</v>
      </c>
      <c r="R92" s="11">
        <f t="shared" si="8"/>
        <v>6</v>
      </c>
      <c r="S92" s="12" cm="1">
        <f t="array" ref="S92">INDEX('Subject-ConceptMap-3'!$I$15:$N$123,Q92+1,R92)</f>
        <v>0</v>
      </c>
    </row>
    <row r="93" spans="16:19">
      <c r="P93" s="11">
        <v>79</v>
      </c>
      <c r="Q93" s="11">
        <f t="shared" si="7"/>
        <v>13</v>
      </c>
      <c r="R93" s="11">
        <f t="shared" si="8"/>
        <v>1</v>
      </c>
      <c r="S93" s="12" cm="1">
        <f t="array" ref="S93">INDEX('Subject-ConceptMap-3'!$I$15:$N$123,Q93+1,R93)</f>
        <v>0</v>
      </c>
    </row>
    <row r="94" spans="16:19">
      <c r="P94" s="11">
        <v>80</v>
      </c>
      <c r="Q94" s="11">
        <f t="shared" si="7"/>
        <v>13</v>
      </c>
      <c r="R94" s="11">
        <f t="shared" si="8"/>
        <v>2</v>
      </c>
      <c r="S94" s="12" cm="1">
        <f t="array" ref="S94">INDEX('Subject-ConceptMap-3'!$I$15:$N$123,Q94+1,R94)</f>
        <v>0</v>
      </c>
    </row>
    <row r="95" spans="16:19">
      <c r="P95" s="11">
        <v>81</v>
      </c>
      <c r="Q95" s="11">
        <f t="shared" si="7"/>
        <v>13</v>
      </c>
      <c r="R95" s="11">
        <f t="shared" si="8"/>
        <v>3</v>
      </c>
      <c r="S95" s="12" cm="1">
        <f t="array" ref="S95">INDEX('Subject-ConceptMap-3'!$I$15:$N$123,Q95+1,R95)</f>
        <v>0</v>
      </c>
    </row>
    <row r="96" spans="16:19">
      <c r="P96" s="11">
        <v>82</v>
      </c>
      <c r="Q96" s="11">
        <f t="shared" si="7"/>
        <v>13</v>
      </c>
      <c r="R96" s="11">
        <f t="shared" si="8"/>
        <v>4</v>
      </c>
      <c r="S96" s="12" cm="1">
        <f t="array" ref="S96">INDEX('Subject-ConceptMap-3'!$I$15:$N$123,Q96+1,R96)</f>
        <v>0</v>
      </c>
    </row>
    <row r="97" spans="16:19">
      <c r="P97" s="11">
        <v>83</v>
      </c>
      <c r="Q97" s="11">
        <f t="shared" si="7"/>
        <v>13</v>
      </c>
      <c r="R97" s="11">
        <f t="shared" si="8"/>
        <v>5</v>
      </c>
      <c r="S97" s="12" cm="1">
        <f t="array" ref="S97">INDEX('Subject-ConceptMap-3'!$I$15:$N$123,Q97+1,R97)</f>
        <v>0</v>
      </c>
    </row>
    <row r="98" spans="16:19">
      <c r="P98" s="11">
        <v>84</v>
      </c>
      <c r="Q98" s="11">
        <f t="shared" si="7"/>
        <v>13</v>
      </c>
      <c r="R98" s="11">
        <f t="shared" si="8"/>
        <v>6</v>
      </c>
      <c r="S98" s="12" cm="1">
        <f t="array" ref="S98">INDEX('Subject-ConceptMap-3'!$I$15:$N$123,Q98+1,R98)</f>
        <v>0</v>
      </c>
    </row>
    <row r="99" spans="16:19">
      <c r="P99" s="11">
        <v>85</v>
      </c>
      <c r="Q99" s="11">
        <f t="shared" si="7"/>
        <v>14</v>
      </c>
      <c r="R99" s="11">
        <f t="shared" si="8"/>
        <v>1</v>
      </c>
      <c r="S99" s="12" cm="1">
        <f t="array" ref="S99">INDEX('Subject-ConceptMap-3'!$I$15:$N$123,Q99+1,R99)</f>
        <v>0</v>
      </c>
    </row>
    <row r="100" spans="16:19">
      <c r="P100" s="11">
        <v>86</v>
      </c>
      <c r="Q100" s="11">
        <f t="shared" si="7"/>
        <v>14</v>
      </c>
      <c r="R100" s="11">
        <f t="shared" si="8"/>
        <v>2</v>
      </c>
      <c r="S100" s="12" cm="1">
        <f t="array" ref="S100">INDEX('Subject-ConceptMap-3'!$I$15:$N$123,Q100+1,R100)</f>
        <v>0</v>
      </c>
    </row>
    <row r="101" spans="16:19">
      <c r="P101" s="11">
        <v>87</v>
      </c>
      <c r="Q101" s="11">
        <f t="shared" si="7"/>
        <v>14</v>
      </c>
      <c r="R101" s="11">
        <f t="shared" si="8"/>
        <v>3</v>
      </c>
      <c r="S101" s="12" cm="1">
        <f t="array" ref="S101">INDEX('Subject-ConceptMap-3'!$I$15:$N$123,Q101+1,R101)</f>
        <v>0</v>
      </c>
    </row>
    <row r="102" spans="16:19">
      <c r="P102" s="11">
        <v>88</v>
      </c>
      <c r="Q102" s="11">
        <f t="shared" si="7"/>
        <v>14</v>
      </c>
      <c r="R102" s="11">
        <f t="shared" si="8"/>
        <v>4</v>
      </c>
      <c r="S102" s="12" cm="1">
        <f t="array" ref="S102">INDEX('Subject-ConceptMap-3'!$I$15:$N$123,Q102+1,R102)</f>
        <v>0</v>
      </c>
    </row>
    <row r="103" spans="16:19">
      <c r="P103" s="11">
        <v>89</v>
      </c>
      <c r="Q103" s="11">
        <f t="shared" si="7"/>
        <v>14</v>
      </c>
      <c r="R103" s="11">
        <f t="shared" si="8"/>
        <v>5</v>
      </c>
      <c r="S103" s="12" cm="1">
        <f t="array" ref="S103">INDEX('Subject-ConceptMap-3'!$I$15:$N$123,Q103+1,R103)</f>
        <v>0</v>
      </c>
    </row>
    <row r="104" spans="16:19">
      <c r="P104" s="11">
        <v>90</v>
      </c>
      <c r="Q104" s="11">
        <f t="shared" si="7"/>
        <v>14</v>
      </c>
      <c r="R104" s="11">
        <f t="shared" si="8"/>
        <v>6</v>
      </c>
      <c r="S104" s="12" cm="1">
        <f t="array" ref="S104">INDEX('Subject-ConceptMap-3'!$I$15:$N$123,Q104+1,R104)</f>
        <v>0</v>
      </c>
    </row>
    <row r="105" spans="16:19">
      <c r="P105" s="11">
        <v>91</v>
      </c>
      <c r="Q105" s="11">
        <f t="shared" si="7"/>
        <v>15</v>
      </c>
      <c r="R105" s="11">
        <f t="shared" si="8"/>
        <v>1</v>
      </c>
      <c r="S105" s="12" cm="1">
        <f t="array" ref="S105">INDEX('Subject-ConceptMap-3'!$I$15:$N$123,Q105+1,R105)</f>
        <v>0</v>
      </c>
    </row>
    <row r="106" spans="16:19">
      <c r="P106" s="11">
        <v>92</v>
      </c>
      <c r="Q106" s="11">
        <f t="shared" si="7"/>
        <v>15</v>
      </c>
      <c r="R106" s="11">
        <f t="shared" si="8"/>
        <v>2</v>
      </c>
      <c r="S106" s="12" cm="1">
        <f t="array" ref="S106">INDEX('Subject-ConceptMap-3'!$I$15:$N$123,Q106+1,R106)</f>
        <v>0</v>
      </c>
    </row>
    <row r="107" spans="16:19">
      <c r="P107" s="11">
        <v>93</v>
      </c>
      <c r="Q107" s="11">
        <f t="shared" si="7"/>
        <v>15</v>
      </c>
      <c r="R107" s="11">
        <f t="shared" si="8"/>
        <v>3</v>
      </c>
      <c r="S107" s="12" cm="1">
        <f t="array" ref="S107">INDEX('Subject-ConceptMap-3'!$I$15:$N$123,Q107+1,R107)</f>
        <v>0</v>
      </c>
    </row>
    <row r="108" spans="16:19">
      <c r="P108" s="11">
        <v>94</v>
      </c>
      <c r="Q108" s="11">
        <f t="shared" si="7"/>
        <v>15</v>
      </c>
      <c r="R108" s="11">
        <f t="shared" si="8"/>
        <v>4</v>
      </c>
      <c r="S108" s="12" cm="1">
        <f t="array" ref="S108">INDEX('Subject-ConceptMap-3'!$I$15:$N$123,Q108+1,R108)</f>
        <v>0</v>
      </c>
    </row>
    <row r="109" spans="16:19">
      <c r="P109" s="11">
        <v>95</v>
      </c>
      <c r="Q109" s="11">
        <f t="shared" si="7"/>
        <v>15</v>
      </c>
      <c r="R109" s="11">
        <f t="shared" si="8"/>
        <v>5</v>
      </c>
      <c r="S109" s="12" cm="1">
        <f t="array" ref="S109">INDEX('Subject-ConceptMap-3'!$I$15:$N$123,Q109+1,R109)</f>
        <v>0</v>
      </c>
    </row>
    <row r="110" spans="16:19">
      <c r="P110" s="11">
        <v>96</v>
      </c>
      <c r="Q110" s="11">
        <f t="shared" si="7"/>
        <v>15</v>
      </c>
      <c r="R110" s="11">
        <f t="shared" si="8"/>
        <v>6</v>
      </c>
      <c r="S110" s="12" cm="1">
        <f t="array" ref="S110">INDEX('Subject-ConceptMap-3'!$I$15:$N$123,Q110+1,R110)</f>
        <v>0</v>
      </c>
    </row>
    <row r="111" spans="16:19">
      <c r="P111" s="11">
        <v>97</v>
      </c>
      <c r="Q111" s="11">
        <f t="shared" si="7"/>
        <v>16</v>
      </c>
      <c r="R111" s="11">
        <f t="shared" si="8"/>
        <v>1</v>
      </c>
      <c r="S111" s="12" cm="1">
        <f t="array" ref="S111">INDEX('Subject-ConceptMap-3'!$I$15:$N$123,Q111+1,R111)</f>
        <v>0</v>
      </c>
    </row>
    <row r="112" spans="16:19">
      <c r="P112" s="11">
        <v>98</v>
      </c>
      <c r="Q112" s="11">
        <f t="shared" si="7"/>
        <v>16</v>
      </c>
      <c r="R112" s="11">
        <f t="shared" si="8"/>
        <v>2</v>
      </c>
      <c r="S112" s="12" cm="1">
        <f t="array" ref="S112">INDEX('Subject-ConceptMap-3'!$I$15:$N$123,Q112+1,R112)</f>
        <v>0</v>
      </c>
    </row>
    <row r="113" spans="16:19">
      <c r="P113" s="11">
        <v>99</v>
      </c>
      <c r="Q113" s="11">
        <f t="shared" si="7"/>
        <v>16</v>
      </c>
      <c r="R113" s="11">
        <f t="shared" si="8"/>
        <v>3</v>
      </c>
      <c r="S113" s="12" cm="1">
        <f t="array" ref="S113">INDEX('Subject-ConceptMap-3'!$I$15:$N$123,Q113+1,R113)</f>
        <v>0</v>
      </c>
    </row>
    <row r="114" spans="16:19">
      <c r="P114" s="11">
        <v>100</v>
      </c>
      <c r="Q114" s="11">
        <f t="shared" si="7"/>
        <v>16</v>
      </c>
      <c r="R114" s="11">
        <f t="shared" si="8"/>
        <v>4</v>
      </c>
      <c r="S114" s="12" cm="1">
        <f t="array" ref="S114">INDEX('Subject-ConceptMap-3'!$I$15:$N$123,Q114+1,R114)</f>
        <v>0</v>
      </c>
    </row>
    <row r="115" spans="16:19">
      <c r="P115" s="11">
        <v>101</v>
      </c>
      <c r="Q115" s="11">
        <f t="shared" si="7"/>
        <v>16</v>
      </c>
      <c r="R115" s="11">
        <f t="shared" si="8"/>
        <v>5</v>
      </c>
      <c r="S115" s="12" cm="1">
        <f t="array" ref="S115">INDEX('Subject-ConceptMap-3'!$I$15:$N$123,Q115+1,R115)</f>
        <v>0</v>
      </c>
    </row>
    <row r="116" spans="16:19">
      <c r="P116" s="11">
        <v>102</v>
      </c>
      <c r="Q116" s="11">
        <f t="shared" si="7"/>
        <v>16</v>
      </c>
      <c r="R116" s="11">
        <f t="shared" si="8"/>
        <v>6</v>
      </c>
      <c r="S116" s="12" cm="1">
        <f t="array" ref="S116">INDEX('Subject-ConceptMap-3'!$I$15:$N$123,Q116+1,R116)</f>
        <v>0</v>
      </c>
    </row>
    <row r="117" spans="16:19">
      <c r="P117" s="11">
        <v>103</v>
      </c>
      <c r="Q117" s="11">
        <f t="shared" si="7"/>
        <v>17</v>
      </c>
      <c r="R117" s="11">
        <f t="shared" si="8"/>
        <v>1</v>
      </c>
      <c r="S117" s="12" cm="1">
        <f t="array" ref="S117">INDEX('Subject-ConceptMap-3'!$I$15:$N$123,Q117+1,R117)</f>
        <v>0</v>
      </c>
    </row>
    <row r="118" spans="16:19">
      <c r="P118" s="11">
        <v>104</v>
      </c>
      <c r="Q118" s="11">
        <f t="shared" si="7"/>
        <v>17</v>
      </c>
      <c r="R118" s="11">
        <f t="shared" si="8"/>
        <v>2</v>
      </c>
      <c r="S118" s="12" cm="1">
        <f t="array" ref="S118">INDEX('Subject-ConceptMap-3'!$I$15:$N$123,Q118+1,R118)</f>
        <v>0</v>
      </c>
    </row>
    <row r="119" spans="16:19">
      <c r="P119" s="11">
        <v>105</v>
      </c>
      <c r="Q119" s="11">
        <f t="shared" si="7"/>
        <v>17</v>
      </c>
      <c r="R119" s="11">
        <f t="shared" si="8"/>
        <v>3</v>
      </c>
      <c r="S119" s="12" cm="1">
        <f t="array" ref="S119">INDEX('Subject-ConceptMap-3'!$I$15:$N$123,Q119+1,R119)</f>
        <v>0</v>
      </c>
    </row>
    <row r="120" spans="16:19">
      <c r="P120" s="11">
        <v>106</v>
      </c>
      <c r="Q120" s="11">
        <f t="shared" si="7"/>
        <v>17</v>
      </c>
      <c r="R120" s="11">
        <f t="shared" si="8"/>
        <v>4</v>
      </c>
      <c r="S120" s="12" cm="1">
        <f t="array" ref="S120">INDEX('Subject-ConceptMap-3'!$I$15:$N$123,Q120+1,R120)</f>
        <v>0</v>
      </c>
    </row>
    <row r="121" spans="16:19">
      <c r="P121" s="11">
        <v>107</v>
      </c>
      <c r="Q121" s="11">
        <f t="shared" si="7"/>
        <v>17</v>
      </c>
      <c r="R121" s="11">
        <f t="shared" si="8"/>
        <v>5</v>
      </c>
      <c r="S121" s="12" cm="1">
        <f t="array" ref="S121">INDEX('Subject-ConceptMap-3'!$I$15:$N$123,Q121+1,R121)</f>
        <v>0</v>
      </c>
    </row>
    <row r="122" spans="16:19">
      <c r="P122" s="11">
        <v>108</v>
      </c>
      <c r="Q122" s="11">
        <f t="shared" si="7"/>
        <v>17</v>
      </c>
      <c r="R122" s="11">
        <f t="shared" si="8"/>
        <v>6</v>
      </c>
      <c r="S122" s="12" cm="1">
        <f t="array" ref="S122">INDEX('Subject-ConceptMap-3'!$I$15:$N$123,Q122+1,R122)</f>
        <v>0</v>
      </c>
    </row>
    <row r="123" spans="16:19">
      <c r="P123" s="11">
        <v>109</v>
      </c>
      <c r="Q123" s="11">
        <f t="shared" si="7"/>
        <v>18</v>
      </c>
      <c r="R123" s="11">
        <f t="shared" si="8"/>
        <v>1</v>
      </c>
      <c r="S123" s="12" cm="1">
        <f t="array" ref="S123">INDEX('Subject-ConceptMap-3'!$I$15:$N$123,Q123+1,R123)</f>
        <v>0</v>
      </c>
    </row>
    <row r="124" spans="16:19">
      <c r="P124" s="11">
        <v>110</v>
      </c>
      <c r="Q124" s="11">
        <f t="shared" si="7"/>
        <v>18</v>
      </c>
      <c r="R124" s="11">
        <f t="shared" si="8"/>
        <v>2</v>
      </c>
      <c r="S124" s="12" cm="1">
        <f t="array" ref="S124">INDEX('Subject-ConceptMap-3'!$I$15:$N$123,Q124+1,R124)</f>
        <v>0</v>
      </c>
    </row>
    <row r="125" spans="16:19">
      <c r="P125" s="11">
        <v>111</v>
      </c>
      <c r="Q125" s="11">
        <f t="shared" si="7"/>
        <v>18</v>
      </c>
      <c r="R125" s="11">
        <f t="shared" si="8"/>
        <v>3</v>
      </c>
      <c r="S125" s="12" cm="1">
        <f t="array" ref="S125">INDEX('Subject-ConceptMap-3'!$I$15:$N$123,Q125+1,R125)</f>
        <v>0</v>
      </c>
    </row>
    <row r="126" spans="16:19">
      <c r="P126" s="11">
        <v>112</v>
      </c>
      <c r="Q126" s="11">
        <f t="shared" si="7"/>
        <v>18</v>
      </c>
      <c r="R126" s="11">
        <f t="shared" si="8"/>
        <v>4</v>
      </c>
      <c r="S126" s="12" cm="1">
        <f t="array" ref="S126">INDEX('Subject-ConceptMap-3'!$I$15:$N$123,Q126+1,R126)</f>
        <v>0</v>
      </c>
    </row>
    <row r="127" spans="16:19">
      <c r="P127" s="11">
        <v>113</v>
      </c>
      <c r="Q127" s="11">
        <f t="shared" si="7"/>
        <v>18</v>
      </c>
      <c r="R127" s="11">
        <f t="shared" si="8"/>
        <v>5</v>
      </c>
      <c r="S127" s="12" cm="1">
        <f t="array" ref="S127">INDEX('Subject-ConceptMap-3'!$I$15:$N$123,Q127+1,R127)</f>
        <v>0</v>
      </c>
    </row>
    <row r="128" spans="16:19">
      <c r="P128" s="11">
        <v>114</v>
      </c>
      <c r="Q128" s="11">
        <f t="shared" si="7"/>
        <v>18</v>
      </c>
      <c r="R128" s="11">
        <f t="shared" si="8"/>
        <v>6</v>
      </c>
      <c r="S128" s="12" cm="1">
        <f t="array" ref="S128">INDEX('Subject-ConceptMap-3'!$I$15:$N$123,Q128+1,R128)</f>
        <v>0</v>
      </c>
    </row>
    <row r="129" spans="16:19">
      <c r="P129" s="11">
        <v>115</v>
      </c>
      <c r="Q129" s="11">
        <f t="shared" si="7"/>
        <v>19</v>
      </c>
      <c r="R129" s="11">
        <f t="shared" si="8"/>
        <v>1</v>
      </c>
      <c r="S129" s="12" cm="1">
        <f t="array" ref="S129">INDEX('Subject-ConceptMap-3'!$I$15:$N$123,Q129+1,R129)</f>
        <v>0</v>
      </c>
    </row>
    <row r="130" spans="16:19">
      <c r="P130" s="11">
        <v>116</v>
      </c>
      <c r="Q130" s="11">
        <f t="shared" si="7"/>
        <v>19</v>
      </c>
      <c r="R130" s="11">
        <f t="shared" si="8"/>
        <v>2</v>
      </c>
      <c r="S130" s="12" cm="1">
        <f t="array" ref="S130">INDEX('Subject-ConceptMap-3'!$I$15:$N$123,Q130+1,R130)</f>
        <v>0</v>
      </c>
    </row>
    <row r="131" spans="16:19">
      <c r="P131" s="11">
        <v>117</v>
      </c>
      <c r="Q131" s="11">
        <f t="shared" si="7"/>
        <v>19</v>
      </c>
      <c r="R131" s="11">
        <f t="shared" si="8"/>
        <v>3</v>
      </c>
      <c r="S131" s="12" cm="1">
        <f t="array" ref="S131">INDEX('Subject-ConceptMap-3'!$I$15:$N$123,Q131+1,R131)</f>
        <v>0</v>
      </c>
    </row>
    <row r="132" spans="16:19">
      <c r="P132" s="11">
        <v>118</v>
      </c>
      <c r="Q132" s="11">
        <f t="shared" si="7"/>
        <v>19</v>
      </c>
      <c r="R132" s="11">
        <f t="shared" si="8"/>
        <v>4</v>
      </c>
      <c r="S132" s="12" cm="1">
        <f t="array" ref="S132">INDEX('Subject-ConceptMap-3'!$I$15:$N$123,Q132+1,R132)</f>
        <v>0</v>
      </c>
    </row>
    <row r="133" spans="16:19">
      <c r="P133" s="11">
        <v>119</v>
      </c>
      <c r="Q133" s="11">
        <f t="shared" si="7"/>
        <v>19</v>
      </c>
      <c r="R133" s="11">
        <f t="shared" si="8"/>
        <v>5</v>
      </c>
      <c r="S133" s="12" cm="1">
        <f t="array" ref="S133">INDEX('Subject-ConceptMap-3'!$I$15:$N$123,Q133+1,R133)</f>
        <v>0</v>
      </c>
    </row>
    <row r="134" spans="16:19">
      <c r="P134" s="11">
        <v>120</v>
      </c>
      <c r="Q134" s="11">
        <f t="shared" si="7"/>
        <v>19</v>
      </c>
      <c r="R134" s="11">
        <f t="shared" si="8"/>
        <v>6</v>
      </c>
      <c r="S134" s="12" cm="1">
        <f t="array" ref="S134">INDEX('Subject-ConceptMap-3'!$I$15:$N$123,Q134+1,R134)</f>
        <v>0</v>
      </c>
    </row>
    <row r="135" spans="16:19">
      <c r="P135" s="11">
        <v>121</v>
      </c>
      <c r="Q135" s="11">
        <f t="shared" si="7"/>
        <v>20</v>
      </c>
      <c r="R135" s="11">
        <f t="shared" si="8"/>
        <v>1</v>
      </c>
      <c r="S135" s="12" cm="1">
        <f t="array" ref="S135">INDEX('Subject-ConceptMap-3'!$I$15:$N$123,Q135+1,R135)</f>
        <v>0</v>
      </c>
    </row>
    <row r="136" spans="16:19">
      <c r="P136" s="11">
        <v>122</v>
      </c>
      <c r="Q136" s="11">
        <f t="shared" si="7"/>
        <v>20</v>
      </c>
      <c r="R136" s="11">
        <f t="shared" si="8"/>
        <v>2</v>
      </c>
      <c r="S136" s="12" cm="1">
        <f t="array" ref="S136">INDEX('Subject-ConceptMap-3'!$I$15:$N$123,Q136+1,R136)</f>
        <v>0</v>
      </c>
    </row>
    <row r="137" spans="16:19">
      <c r="P137" s="11">
        <v>123</v>
      </c>
      <c r="Q137" s="11">
        <f t="shared" si="7"/>
        <v>20</v>
      </c>
      <c r="R137" s="11">
        <f t="shared" si="8"/>
        <v>3</v>
      </c>
      <c r="S137" s="12" cm="1">
        <f t="array" ref="S137">INDEX('Subject-ConceptMap-3'!$I$15:$N$123,Q137+1,R137)</f>
        <v>0</v>
      </c>
    </row>
    <row r="138" spans="16:19">
      <c r="P138" s="11">
        <v>124</v>
      </c>
      <c r="Q138" s="11">
        <f t="shared" si="7"/>
        <v>20</v>
      </c>
      <c r="R138" s="11">
        <f t="shared" si="8"/>
        <v>4</v>
      </c>
      <c r="S138" s="12" cm="1">
        <f t="array" ref="S138">INDEX('Subject-ConceptMap-3'!$I$15:$N$123,Q138+1,R138)</f>
        <v>0</v>
      </c>
    </row>
    <row r="139" spans="16:19">
      <c r="P139" s="11">
        <v>125</v>
      </c>
      <c r="Q139" s="11">
        <f t="shared" si="7"/>
        <v>20</v>
      </c>
      <c r="R139" s="11">
        <f t="shared" si="8"/>
        <v>5</v>
      </c>
      <c r="S139" s="12" cm="1">
        <f t="array" ref="S139">INDEX('Subject-ConceptMap-3'!$I$15:$N$123,Q139+1,R139)</f>
        <v>0</v>
      </c>
    </row>
    <row r="140" spans="16:19">
      <c r="P140" s="11">
        <v>126</v>
      </c>
      <c r="Q140" s="11">
        <f t="shared" si="7"/>
        <v>20</v>
      </c>
      <c r="R140" s="11">
        <f t="shared" si="8"/>
        <v>6</v>
      </c>
      <c r="S140" s="12" cm="1">
        <f t="array" ref="S140">INDEX('Subject-ConceptMap-3'!$I$15:$N$123,Q140+1,R140)</f>
        <v>0</v>
      </c>
    </row>
    <row r="141" spans="16:19">
      <c r="P141" s="11">
        <v>127</v>
      </c>
      <c r="Q141" s="11">
        <f t="shared" si="7"/>
        <v>21</v>
      </c>
      <c r="R141" s="11">
        <f t="shared" si="8"/>
        <v>1</v>
      </c>
      <c r="S141" s="12" cm="1">
        <f t="array" ref="S141">INDEX('Subject-ConceptMap-3'!$I$15:$N$123,Q141+1,R141)</f>
        <v>0</v>
      </c>
    </row>
    <row r="142" spans="16:19">
      <c r="P142" s="11">
        <v>128</v>
      </c>
      <c r="Q142" s="11">
        <f t="shared" si="7"/>
        <v>21</v>
      </c>
      <c r="R142" s="11">
        <f t="shared" si="8"/>
        <v>2</v>
      </c>
      <c r="S142" s="12" cm="1">
        <f t="array" ref="S142">INDEX('Subject-ConceptMap-3'!$I$15:$N$123,Q142+1,R142)</f>
        <v>0</v>
      </c>
    </row>
    <row r="143" spans="16:19">
      <c r="P143" s="11">
        <v>129</v>
      </c>
      <c r="Q143" s="11">
        <f t="shared" ref="Q143:Q161" si="9">IF(MOD(P143,$Q$8)=0,P143/$Q$8-1,INT(P143/$Q$8))</f>
        <v>21</v>
      </c>
      <c r="R143" s="11">
        <f t="shared" ref="R143:R161" si="10">IF(MOD(P143,$Q$8)=0,$Q$8,MOD(P143,$Q$8))</f>
        <v>3</v>
      </c>
      <c r="S143" s="12" cm="1">
        <f t="array" ref="S143">INDEX('Subject-ConceptMap-3'!$I$15:$N$123,Q143+1,R143)</f>
        <v>0</v>
      </c>
    </row>
    <row r="144" spans="16:19">
      <c r="P144" s="11">
        <v>130</v>
      </c>
      <c r="Q144" s="11">
        <f t="shared" si="9"/>
        <v>21</v>
      </c>
      <c r="R144" s="11">
        <f t="shared" si="10"/>
        <v>4</v>
      </c>
      <c r="S144" s="12" cm="1">
        <f t="array" ref="S144">INDEX('Subject-ConceptMap-3'!$I$15:$N$123,Q144+1,R144)</f>
        <v>0</v>
      </c>
    </row>
    <row r="145" spans="16:19">
      <c r="P145" s="11">
        <v>131</v>
      </c>
      <c r="Q145" s="11">
        <f t="shared" si="9"/>
        <v>21</v>
      </c>
      <c r="R145" s="11">
        <f t="shared" si="10"/>
        <v>5</v>
      </c>
      <c r="S145" s="12" cm="1">
        <f t="array" ref="S145">INDEX('Subject-ConceptMap-3'!$I$15:$N$123,Q145+1,R145)</f>
        <v>0</v>
      </c>
    </row>
    <row r="146" spans="16:19">
      <c r="P146" s="11">
        <v>132</v>
      </c>
      <c r="Q146" s="11">
        <f t="shared" si="9"/>
        <v>21</v>
      </c>
      <c r="R146" s="11">
        <f t="shared" si="10"/>
        <v>6</v>
      </c>
      <c r="S146" s="12" cm="1">
        <f t="array" ref="S146">INDEX('Subject-ConceptMap-3'!$I$15:$N$123,Q146+1,R146)</f>
        <v>0</v>
      </c>
    </row>
    <row r="147" spans="16:19">
      <c r="P147" s="11">
        <v>133</v>
      </c>
      <c r="Q147" s="11">
        <f t="shared" si="9"/>
        <v>22</v>
      </c>
      <c r="R147" s="11">
        <f t="shared" si="10"/>
        <v>1</v>
      </c>
      <c r="S147" s="12" cm="1">
        <f t="array" ref="S147">INDEX('Subject-ConceptMap-3'!$I$15:$N$123,Q147+1,R147)</f>
        <v>0</v>
      </c>
    </row>
    <row r="148" spans="16:19">
      <c r="P148" s="11">
        <v>134</v>
      </c>
      <c r="Q148" s="11">
        <f t="shared" si="9"/>
        <v>22</v>
      </c>
      <c r="R148" s="11">
        <f t="shared" si="10"/>
        <v>2</v>
      </c>
      <c r="S148" s="12" cm="1">
        <f t="array" ref="S148">INDEX('Subject-ConceptMap-3'!$I$15:$N$123,Q148+1,R148)</f>
        <v>0</v>
      </c>
    </row>
    <row r="149" spans="16:19">
      <c r="P149" s="11">
        <v>135</v>
      </c>
      <c r="Q149" s="11">
        <f t="shared" si="9"/>
        <v>22</v>
      </c>
      <c r="R149" s="11">
        <f t="shared" si="10"/>
        <v>3</v>
      </c>
      <c r="S149" s="12" cm="1">
        <f t="array" ref="S149">INDEX('Subject-ConceptMap-3'!$I$15:$N$123,Q149+1,R149)</f>
        <v>0</v>
      </c>
    </row>
    <row r="150" spans="16:19">
      <c r="P150" s="11">
        <v>136</v>
      </c>
      <c r="Q150" s="11">
        <f t="shared" si="9"/>
        <v>22</v>
      </c>
      <c r="R150" s="11">
        <f t="shared" si="10"/>
        <v>4</v>
      </c>
      <c r="S150" s="12" cm="1">
        <f t="array" ref="S150">INDEX('Subject-ConceptMap-3'!$I$15:$N$123,Q150+1,R150)</f>
        <v>0</v>
      </c>
    </row>
    <row r="151" spans="16:19">
      <c r="P151" s="11">
        <v>137</v>
      </c>
      <c r="Q151" s="11">
        <f t="shared" si="9"/>
        <v>22</v>
      </c>
      <c r="R151" s="11">
        <f t="shared" si="10"/>
        <v>5</v>
      </c>
      <c r="S151" s="12" cm="1">
        <f t="array" ref="S151">INDEX('Subject-ConceptMap-3'!$I$15:$N$123,Q151+1,R151)</f>
        <v>0</v>
      </c>
    </row>
    <row r="152" spans="16:19">
      <c r="P152" s="11">
        <v>138</v>
      </c>
      <c r="Q152" s="11">
        <f t="shared" si="9"/>
        <v>22</v>
      </c>
      <c r="R152" s="11">
        <f t="shared" si="10"/>
        <v>6</v>
      </c>
      <c r="S152" s="12" cm="1">
        <f t="array" ref="S152">INDEX('Subject-ConceptMap-3'!$I$15:$N$123,Q152+1,R152)</f>
        <v>0</v>
      </c>
    </row>
    <row r="153" spans="16:19">
      <c r="P153" s="11">
        <v>139</v>
      </c>
      <c r="Q153" s="11">
        <f t="shared" si="9"/>
        <v>23</v>
      </c>
      <c r="R153" s="11">
        <f t="shared" si="10"/>
        <v>1</v>
      </c>
      <c r="S153" s="12" cm="1">
        <f t="array" ref="S153">INDEX('Subject-ConceptMap-3'!$I$15:$N$123,Q153+1,R153)</f>
        <v>0</v>
      </c>
    </row>
    <row r="154" spans="16:19">
      <c r="P154" s="11">
        <v>140</v>
      </c>
      <c r="Q154" s="11">
        <f t="shared" si="9"/>
        <v>23</v>
      </c>
      <c r="R154" s="11">
        <f t="shared" si="10"/>
        <v>2</v>
      </c>
      <c r="S154" s="12" cm="1">
        <f t="array" ref="S154">INDEX('Subject-ConceptMap-3'!$I$15:$N$123,Q154+1,R154)</f>
        <v>0</v>
      </c>
    </row>
    <row r="155" spans="16:19">
      <c r="P155" s="11">
        <v>141</v>
      </c>
      <c r="Q155" s="11">
        <f t="shared" si="9"/>
        <v>23</v>
      </c>
      <c r="R155" s="11">
        <f t="shared" si="10"/>
        <v>3</v>
      </c>
      <c r="S155" s="12" cm="1">
        <f t="array" ref="S155">INDEX('Subject-ConceptMap-3'!$I$15:$N$123,Q155+1,R155)</f>
        <v>0</v>
      </c>
    </row>
    <row r="156" spans="16:19">
      <c r="P156" s="11">
        <v>142</v>
      </c>
      <c r="Q156" s="11">
        <f t="shared" si="9"/>
        <v>23</v>
      </c>
      <c r="R156" s="11">
        <f t="shared" si="10"/>
        <v>4</v>
      </c>
      <c r="S156" s="12" cm="1">
        <f t="array" ref="S156">INDEX('Subject-ConceptMap-3'!$I$15:$N$123,Q156+1,R156)</f>
        <v>0</v>
      </c>
    </row>
    <row r="157" spans="16:19">
      <c r="P157" s="11">
        <v>143</v>
      </c>
      <c r="Q157" s="11">
        <f t="shared" si="9"/>
        <v>23</v>
      </c>
      <c r="R157" s="11">
        <f t="shared" si="10"/>
        <v>5</v>
      </c>
      <c r="S157" s="12" cm="1">
        <f t="array" ref="S157">INDEX('Subject-ConceptMap-3'!$I$15:$N$123,Q157+1,R157)</f>
        <v>0</v>
      </c>
    </row>
    <row r="158" spans="16:19">
      <c r="P158" s="11">
        <v>144</v>
      </c>
      <c r="Q158" s="11">
        <f t="shared" si="9"/>
        <v>23</v>
      </c>
      <c r="R158" s="11">
        <f t="shared" si="10"/>
        <v>6</v>
      </c>
      <c r="S158" s="12" cm="1">
        <f t="array" ref="S158">INDEX('Subject-ConceptMap-3'!$I$15:$N$123,Q158+1,R158)</f>
        <v>0</v>
      </c>
    </row>
    <row r="159" spans="16:19">
      <c r="P159" s="11">
        <v>145</v>
      </c>
      <c r="Q159" s="11">
        <f t="shared" si="9"/>
        <v>24</v>
      </c>
      <c r="R159" s="11">
        <f t="shared" si="10"/>
        <v>1</v>
      </c>
      <c r="S159" s="12" cm="1">
        <f t="array" ref="S159">INDEX('Subject-ConceptMap-3'!$I$15:$N$123,Q159+1,R159)</f>
        <v>0</v>
      </c>
    </row>
    <row r="160" spans="16:19">
      <c r="P160" s="11">
        <v>146</v>
      </c>
      <c r="Q160" s="11">
        <f t="shared" si="9"/>
        <v>24</v>
      </c>
      <c r="R160" s="11">
        <f t="shared" si="10"/>
        <v>2</v>
      </c>
      <c r="S160" s="12" cm="1">
        <f t="array" ref="S160">INDEX('Subject-ConceptMap-3'!$I$15:$N$123,Q160+1,R160)</f>
        <v>0</v>
      </c>
    </row>
    <row r="161" spans="16:19">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A25" zoomScale="85" zoomScaleNormal="85"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18" t="s">
        <v>1824</v>
      </c>
    </row>
    <row r="5" spans="1:19">
      <c r="B5" s="62" t="s">
        <v>10</v>
      </c>
      <c r="C5" s="128" t="s">
        <v>1863</v>
      </c>
      <c r="D5" s="62"/>
      <c r="E5" s="7"/>
    </row>
    <row r="6" spans="1:19">
      <c r="B6" s="62" t="s">
        <v>18</v>
      </c>
      <c r="C6" s="129"/>
      <c r="D6" s="62" t="s">
        <v>1788</v>
      </c>
      <c r="E6" s="168" t="str">
        <f>E3</f>
        <v>http://hl7.eu/fhir/ig/idea4rc/StructureDefinition/Subject</v>
      </c>
      <c r="F6" s="169"/>
      <c r="G6" s="169"/>
    </row>
    <row r="7" spans="1:19">
      <c r="B7" s="62" t="s">
        <v>15</v>
      </c>
      <c r="C7" s="130"/>
      <c r="D7" s="62" t="s">
        <v>1789</v>
      </c>
      <c r="E7" s="168" t="s">
        <v>1877</v>
      </c>
      <c r="F7" s="169"/>
      <c r="G7" s="169"/>
    </row>
    <row r="8" spans="1:19" ht="44.25">
      <c r="B8" s="62" t="s">
        <v>1790</v>
      </c>
      <c r="C8" s="103" t="s">
        <v>1863</v>
      </c>
      <c r="D8" s="62"/>
      <c r="E8" s="7"/>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1870</v>
      </c>
      <c r="E14" s="6"/>
      <c r="F14" s="64"/>
      <c r="G14" s="64"/>
      <c r="I14" s="12"/>
      <c r="J14" s="11"/>
      <c r="K14" s="11"/>
      <c r="L14" s="11"/>
      <c r="M14" s="63"/>
      <c r="N14" s="66"/>
    </row>
    <row r="15" spans="1:19" ht="250.75">
      <c r="A15" s="59"/>
      <c r="B15" s="11" t="str">
        <f>Subject!B18</f>
        <v>comorbidity</v>
      </c>
      <c r="C15" s="11" t="str">
        <f>Subject!C18</f>
        <v>Comorbidity</v>
      </c>
      <c r="D15" s="12"/>
      <c r="E15" s="12"/>
      <c r="F15" s="64" t="s">
        <v>1407</v>
      </c>
      <c r="G15" s="124" t="s">
        <v>2467</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INDEX('Subject-ConceptMap-4'!$I$15:$N$123,Q15+1,R15)</f>
        <v>* group[=].element[+].code = #Subject.comorbidity</v>
      </c>
    </row>
    <row r="16" spans="1:19" ht="44.25" customHeight="1">
      <c r="A16" s="59"/>
      <c r="B16" s="11" t="str">
        <f>Subject!B19</f>
        <v>comorbidity.myocardialInfarction</v>
      </c>
      <c r="C16" s="11" t="str">
        <f>Subject!C19</f>
        <v>Myocardial infarction</v>
      </c>
      <c r="D16" s="12" t="s">
        <v>1878</v>
      </c>
      <c r="E16" s="11"/>
      <c r="F16" s="64" t="s">
        <v>1407</v>
      </c>
      <c r="G16" s="124"/>
      <c r="H16" s="58"/>
      <c r="I16" s="12" t="str">
        <f t="shared" ref="I16:I35" si="7">"* group[=].element[+].code = #"&amp;$B$14&amp;"."&amp;B16</f>
        <v>* group[=].element[+].code = #Subject.comorbidity.myocardialInfarction</v>
      </c>
      <c r="J16" s="12" t="str">
        <f t="shared" ref="J16:J35" si="8">"* group[=].element[=].display = ##34#"&amp;C16&amp;"##34#"</f>
        <v>* group[=].element[=].display = ##34#Myocardial infarction##34#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c>
      <c r="P16" s="11">
        <v>2</v>
      </c>
      <c r="Q16" s="11">
        <f t="shared" ref="Q16:Q79" si="13">IF(MOD(P16,$Q$8)=0,P16/$Q$8-1,INT(P16/$Q$8))</f>
        <v>0</v>
      </c>
      <c r="R16" s="11">
        <f t="shared" ref="R16:R79" si="14">IF(MOD(P16,$Q$8)=0,$Q$8,MOD(P16,$Q$8))</f>
        <v>2</v>
      </c>
      <c r="S16" s="12" t="str" cm="1">
        <f t="array" ref="S16">INDEX('Subject-ConceptMap-4'!$I$15:$N$123,Q16+1,R16)</f>
        <v>* group[=].element[=].display = ##34#Comorbidity##34#</v>
      </c>
    </row>
    <row r="17" spans="1:19" ht="103.25" customHeight="1">
      <c r="A17" s="59"/>
      <c r="B17" s="11" t="str">
        <f>Subject!B20</f>
        <v>comorbidity.congestiveHeartFailure</v>
      </c>
      <c r="C17" s="11" t="str">
        <f>Subject!C20</f>
        <v>Congestive heart failure</v>
      </c>
      <c r="D17" s="12" t="s">
        <v>1878</v>
      </c>
      <c r="E17" s="11"/>
      <c r="F17" s="64" t="s">
        <v>1429</v>
      </c>
      <c r="G17" s="124"/>
      <c r="H17" s="58"/>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INDEX('Subject-ConceptMap-4'!$I$15:$N$123,Q17+1,R17)</f>
        <v>* group[=].element[=].target.code = #Observation.</v>
      </c>
    </row>
    <row r="18" spans="1:19" ht="73.75">
      <c r="A18" s="59"/>
      <c r="B18" s="11" t="str">
        <f>Subject!B21</f>
        <v>comorbidity.peripheralVascularDisease</v>
      </c>
      <c r="C18" s="11" t="str">
        <f>Subject!C21</f>
        <v>Peripheral vascular disease</v>
      </c>
      <c r="D18" s="12" t="s">
        <v>1878</v>
      </c>
      <c r="E18" s="11"/>
      <c r="F18" s="64" t="s">
        <v>1429</v>
      </c>
      <c r="G18" s="124"/>
      <c r="H18" s="58"/>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INDEX('Subject-ConceptMap-4'!$I$15:$N$123,Q18+1,R18)</f>
        <v>* group[=].element[=].target.display = ##34###34#</v>
      </c>
    </row>
    <row r="19" spans="1:19" ht="73.75">
      <c r="A19" s="59"/>
      <c r="B19" s="11" t="str">
        <f>Subject!B22</f>
        <v>comorbidity.cerebrovascularAccidentExceptHemiplegia</v>
      </c>
      <c r="C19" s="11" t="str">
        <f>Subject!C22</f>
        <v>Cerebrovascular accident  (except hemiplegia)</v>
      </c>
      <c r="D19" s="12" t="s">
        <v>1878</v>
      </c>
      <c r="E19" s="11"/>
      <c r="F19" s="64" t="s">
        <v>1429</v>
      </c>
      <c r="G19" s="124"/>
      <c r="H19" s="58"/>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INDEX('Subject-ConceptMap-4'!$I$15:$N$123,Q19+1,R19)</f>
        <v>* group[=].element[=].target.equivalence = #relatedto</v>
      </c>
    </row>
    <row r="20" spans="1:19" ht="118">
      <c r="A20" s="59"/>
      <c r="B20" s="11" t="str">
        <f>Subject!B23</f>
        <v>comorbidity.dementia</v>
      </c>
      <c r="C20" s="11" t="str">
        <f>Subject!C23</f>
        <v>Dementia</v>
      </c>
      <c r="D20" s="12" t="s">
        <v>1878</v>
      </c>
      <c r="E20" s="11"/>
      <c r="F20" s="64" t="s">
        <v>1429</v>
      </c>
      <c r="G20" s="124"/>
      <c r="H20" s="58"/>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INDEX('Subject-ConceptMap-4'!$I$15:$N$123,Q20+1,R20)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c r="A21" s="59"/>
      <c r="B21" s="11" t="str">
        <f>Subject!B24</f>
        <v>comorbidity.chronicPulmonaryDisease</v>
      </c>
      <c r="C21" s="11" t="str">
        <f>Subject!C24</f>
        <v>Chronic pulmonary disease</v>
      </c>
      <c r="D21" s="12" t="s">
        <v>1878</v>
      </c>
      <c r="E21" s="11"/>
      <c r="F21" s="64" t="s">
        <v>1429</v>
      </c>
      <c r="G21" s="124"/>
      <c r="H21" s="58"/>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INDEX('Subject-ConceptMap-4'!$I$15:$N$123,Q21+1,R21)</f>
        <v>* group[=].element[+].code = #Subject.comorbidity.myocardialInfarction</v>
      </c>
    </row>
    <row r="22" spans="1:19" ht="73.75">
      <c r="A22" s="59"/>
      <c r="B22" s="11" t="str">
        <f>Subject!B25</f>
        <v>comorbidity.connectiveTissueDisease</v>
      </c>
      <c r="C22" s="11" t="str">
        <f>Subject!C25</f>
        <v>Connective tissue disease</v>
      </c>
      <c r="D22" s="12" t="s">
        <v>1878</v>
      </c>
      <c r="E22" s="11"/>
      <c r="F22" s="64" t="s">
        <v>1429</v>
      </c>
      <c r="G22" s="124"/>
      <c r="H22" s="58"/>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INDEX('Subject-ConceptMap-4'!$I$15:$N$123,Q22+1,R22)</f>
        <v>* group[=].element[=].display = ##34#Myocardial infarction##34#</v>
      </c>
    </row>
    <row r="23" spans="1:19" ht="29.5" customHeight="1">
      <c r="A23" s="59"/>
      <c r="B23" s="11" t="str">
        <f>Subject!B26</f>
        <v>comorbidity.ulcer</v>
      </c>
      <c r="C23" s="11" t="str">
        <f>Subject!C26</f>
        <v>Ulcer</v>
      </c>
      <c r="D23" s="12" t="s">
        <v>1878</v>
      </c>
      <c r="E23" s="11"/>
      <c r="F23" s="64" t="s">
        <v>1429</v>
      </c>
      <c r="G23" s="124"/>
      <c r="H23" s="58"/>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INDEX('Subject-ConceptMap-4'!$I$15:$N$123,Q23+1,R23)</f>
        <v>* group[=].element[=].target.code = #Observation.extension:comorbidConditionPresent</v>
      </c>
    </row>
    <row r="24" spans="1:19" ht="73.75">
      <c r="A24" s="59"/>
      <c r="B24" s="11" t="str">
        <f>Subject!B27</f>
        <v>comorbidity.mildLiverDisease</v>
      </c>
      <c r="C24" s="11" t="str">
        <f>Subject!C27</f>
        <v>Mild liver disease</v>
      </c>
      <c r="D24" s="12" t="s">
        <v>1878</v>
      </c>
      <c r="E24" s="11"/>
      <c r="F24" s="64" t="s">
        <v>1429</v>
      </c>
      <c r="G24" s="124"/>
      <c r="H24" s="58"/>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INDEX('Subject-ConceptMap-4'!$I$15:$N$123,Q24+1,R24)</f>
        <v>* group[=].element[=].target.display = ##34###34#</v>
      </c>
    </row>
    <row r="25" spans="1:19" ht="73.75">
      <c r="A25" s="59"/>
      <c r="B25" s="11" t="str">
        <f>Subject!B28</f>
        <v>comorbidity.moderateToSevereLiverDisease</v>
      </c>
      <c r="C25" s="11" t="str">
        <f>Subject!C28</f>
        <v>Moderate to severe liver disease</v>
      </c>
      <c r="D25" s="12" t="s">
        <v>1878</v>
      </c>
      <c r="E25" s="12"/>
      <c r="F25" s="64" t="s">
        <v>1429</v>
      </c>
      <c r="G25" s="124"/>
      <c r="H25" s="58"/>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INDEX('Subject-ConceptMap-4'!$I$15:$N$123,Q25+1,R25)</f>
        <v>* group[=].element[=].target.equivalence = #relatedto</v>
      </c>
    </row>
    <row r="26" spans="1:19" ht="73.75">
      <c r="A26" s="59"/>
      <c r="B26" s="11" t="str">
        <f>Subject!B29</f>
        <v>comorbidity.diabetesWithoutComplications</v>
      </c>
      <c r="C26" s="11" t="str">
        <f>Subject!C29</f>
        <v>Diabetes (without complications)</v>
      </c>
      <c r="D26" s="12" t="s">
        <v>1878</v>
      </c>
      <c r="E26" s="12"/>
      <c r="F26" s="64" t="s">
        <v>1429</v>
      </c>
      <c r="G26" s="124"/>
      <c r="H26" s="58"/>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INDEX('Subject-ConceptMap-4'!$I$15:$N$123,Q26+1,R26)</f>
        <v/>
      </c>
    </row>
    <row r="27" spans="1:19" ht="73.75">
      <c r="B27" s="11" t="str">
        <f>Subject!B30</f>
        <v>comorbidity.diabetesWithEndOrganDamage</v>
      </c>
      <c r="C27" s="11" t="str">
        <f>Subject!C30</f>
        <v>Diabetes with end organ damage</v>
      </c>
      <c r="D27" s="12" t="s">
        <v>1878</v>
      </c>
      <c r="E27" s="12"/>
      <c r="F27" s="64" t="s">
        <v>1429</v>
      </c>
      <c r="G27" s="124"/>
      <c r="H27" s="58"/>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INDEX('Subject-ConceptMap-4'!$I$15:$N$123,Q27+1,R27)</f>
        <v>* group[=].element[+].code = #Subject.comorbidity.congestiveHeartFailure</v>
      </c>
    </row>
    <row r="28" spans="1:19" ht="73.75">
      <c r="B28" s="11" t="str">
        <f>Subject!B31</f>
        <v>comorbidity.hemiplegia</v>
      </c>
      <c r="C28" s="11" t="str">
        <f>Subject!C31</f>
        <v>Hemiplegia</v>
      </c>
      <c r="D28" s="12" t="s">
        <v>1878</v>
      </c>
      <c r="E28" s="12"/>
      <c r="F28" s="64" t="s">
        <v>1429</v>
      </c>
      <c r="G28" s="124"/>
      <c r="H28" s="58"/>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INDEX('Subject-ConceptMap-4'!$I$15:$N$123,Q28+1,R28)</f>
        <v>* group[=].element[=].display = ##34#Congestive heart failure##34#</v>
      </c>
    </row>
    <row r="29" spans="1:19" ht="73.75">
      <c r="B29" s="11" t="str">
        <f>Subject!B32</f>
        <v>comorbidity.moderateToSevereRenalDisease</v>
      </c>
      <c r="C29" s="11" t="str">
        <f>Subject!C32</f>
        <v>Moderate to severe renal disease</v>
      </c>
      <c r="D29" s="12" t="s">
        <v>1878</v>
      </c>
      <c r="E29" s="12"/>
      <c r="F29" s="64" t="s">
        <v>1429</v>
      </c>
      <c r="G29" s="124"/>
      <c r="H29" s="58"/>
      <c r="I29" s="12" t="str">
        <f t="shared" si="7"/>
        <v>* group[=].element[+].code = #Subject.comorbidity.moderateToSevereRenalDisease</v>
      </c>
      <c r="J29" s="12" t="str">
        <f t="shared" si="8"/>
        <v>* group[=].element[=].display = ##34#Moderate to severe renal disease##34#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INDEX('Subject-ConceptMap-4'!$I$15:$N$123,Q29+1,R29)</f>
        <v>* group[=].element[=].target.code = #Observation.extension:comorbidConditionPresent</v>
      </c>
    </row>
    <row r="30" spans="1:19" ht="73.75">
      <c r="B30" s="11" t="str">
        <f>Subject!B33</f>
        <v>comorbidity.solidTumorNonMetastatic</v>
      </c>
      <c r="C30" s="11" t="str">
        <f>Subject!C33</f>
        <v>Solid tumor (non metastatic)</v>
      </c>
      <c r="D30" s="12" t="s">
        <v>1878</v>
      </c>
      <c r="E30" s="12"/>
      <c r="F30" s="64" t="s">
        <v>1429</v>
      </c>
      <c r="G30" s="124"/>
      <c r="H30" s="58"/>
      <c r="I30" s="12" t="str">
        <f t="shared" si="7"/>
        <v>* group[=].element[+].code = #Subject.comorbidity.solidTumorNonMetastatic</v>
      </c>
      <c r="J30" s="12" t="str">
        <f t="shared" si="8"/>
        <v>* group[=].element[=].display = ##34#Solid tumor (non metastatic)##34#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c>
      <c r="P30" s="11">
        <v>16</v>
      </c>
      <c r="Q30" s="11">
        <f t="shared" si="13"/>
        <v>2</v>
      </c>
      <c r="R30" s="11">
        <f t="shared" si="14"/>
        <v>4</v>
      </c>
      <c r="S30" s="12" t="str" cm="1">
        <f t="array" ref="S30">INDEX('Subject-ConceptMap-4'!$I$15:$N$123,Q30+1,R30)</f>
        <v>* group[=].element[=].target.display = ##34###34#</v>
      </c>
    </row>
    <row r="31" spans="1:19" ht="73.75">
      <c r="B31" s="11" t="str">
        <f>Subject!B34</f>
        <v>comorbidity.metastaticSolidTumor</v>
      </c>
      <c r="C31" s="11" t="str">
        <f>Subject!C34</f>
        <v>Metastatic solid tumor</v>
      </c>
      <c r="D31" s="12" t="s">
        <v>1878</v>
      </c>
      <c r="E31" s="12"/>
      <c r="F31" s="64" t="s">
        <v>1429</v>
      </c>
      <c r="G31" s="124"/>
      <c r="H31" s="58"/>
      <c r="I31" s="12" t="str">
        <f t="shared" si="7"/>
        <v>* group[=].element[+].code = #Subject.comorbidity.metastaticSolidTumor</v>
      </c>
      <c r="J31" s="12" t="str">
        <f t="shared" si="8"/>
        <v>* group[=].element[=].display = ##34#Metastatic solid tumor##34#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c>
      <c r="P31" s="11">
        <v>17</v>
      </c>
      <c r="Q31" s="11">
        <f t="shared" si="13"/>
        <v>2</v>
      </c>
      <c r="R31" s="11">
        <f t="shared" si="14"/>
        <v>5</v>
      </c>
      <c r="S31" s="12" t="str" cm="1">
        <f t="array" ref="S31">INDEX('Subject-ConceptMap-4'!$I$15:$N$123,Q31+1,R31)</f>
        <v>* group[=].element[=].target.equivalence = #equivalent</v>
      </c>
    </row>
    <row r="32" spans="1:19" ht="73.75">
      <c r="B32" s="11" t="str">
        <f>Subject!B35</f>
        <v>comorbidity.leukemia</v>
      </c>
      <c r="C32" s="11" t="str">
        <f>Subject!C35</f>
        <v>Leukemia</v>
      </c>
      <c r="D32" s="12" t="s">
        <v>1878</v>
      </c>
      <c r="E32" s="12"/>
      <c r="F32" s="64" t="s">
        <v>1429</v>
      </c>
      <c r="G32" s="124"/>
      <c r="H32" s="58"/>
      <c r="I32" s="12" t="str">
        <f t="shared" si="7"/>
        <v>* group[=].element[+].code = #Subject.comorbidity.leukemia</v>
      </c>
      <c r="J32" s="12" t="str">
        <f t="shared" si="8"/>
        <v>* group[=].element[=].display = ##34#Leukemia##34#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c>
      <c r="P32" s="11">
        <v>18</v>
      </c>
      <c r="Q32" s="11">
        <f t="shared" si="13"/>
        <v>2</v>
      </c>
      <c r="R32" s="11">
        <f t="shared" si="14"/>
        <v>6</v>
      </c>
      <c r="S32" s="12" t="str" cm="1">
        <f t="array" ref="S32">INDEX('Subject-ConceptMap-4'!$I$15:$N$123,Q32+1,R32)</f>
        <v/>
      </c>
    </row>
    <row r="33" spans="1:19" ht="73.75">
      <c r="B33" s="11" t="str">
        <f>Subject!B36</f>
        <v>comorbidity.lymphoma</v>
      </c>
      <c r="C33" s="11" t="str">
        <f>Subject!C36</f>
        <v>Lymphoma</v>
      </c>
      <c r="D33" s="12" t="s">
        <v>1878</v>
      </c>
      <c r="E33" s="12"/>
      <c r="F33" s="64" t="s">
        <v>1429</v>
      </c>
      <c r="G33" s="124"/>
      <c r="H33" s="58"/>
      <c r="I33" s="12" t="str">
        <f t="shared" si="7"/>
        <v>* group[=].element[+].code = #Subject.comorbidity.lymphoma</v>
      </c>
      <c r="J33" s="12" t="str">
        <f t="shared" si="8"/>
        <v>* group[=].element[=].display = ##34#Lymphoma##34#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c>
      <c r="P33" s="11">
        <v>19</v>
      </c>
      <c r="Q33" s="11">
        <f t="shared" si="13"/>
        <v>3</v>
      </c>
      <c r="R33" s="11">
        <f t="shared" si="14"/>
        <v>1</v>
      </c>
      <c r="S33" s="12" t="str" cm="1">
        <f t="array" ref="S33">INDEX('Subject-ConceptMap-4'!$I$15:$N$123,Q33+1,R33)</f>
        <v>* group[=].element[+].code = #Subject.comorbidity.peripheralVascularDisease</v>
      </c>
    </row>
    <row r="34" spans="1:19" ht="73.75">
      <c r="B34" s="11" t="str">
        <f>Subject!B37</f>
        <v>comorbidity.multipleMyeloma</v>
      </c>
      <c r="C34" s="11" t="str">
        <f>Subject!C37</f>
        <v>Multiple myeloma</v>
      </c>
      <c r="D34" s="12" t="s">
        <v>1878</v>
      </c>
      <c r="E34" s="12"/>
      <c r="F34" s="64" t="s">
        <v>1429</v>
      </c>
      <c r="G34" s="124"/>
      <c r="H34" s="58"/>
      <c r="I34" s="12" t="str">
        <f t="shared" si="7"/>
        <v>* group[=].element[+].code = #Subject.comorbidity.multipleMyeloma</v>
      </c>
      <c r="J34" s="12" t="str">
        <f t="shared" si="8"/>
        <v>* group[=].element[=].display = ##34#Multiple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c>
      <c r="P34" s="11">
        <v>20</v>
      </c>
      <c r="Q34" s="11">
        <f t="shared" si="13"/>
        <v>3</v>
      </c>
      <c r="R34" s="11">
        <f t="shared" si="14"/>
        <v>2</v>
      </c>
      <c r="S34" s="12" t="str" cm="1">
        <f t="array" ref="S34">INDEX('Subject-ConceptMap-4'!$I$15:$N$123,Q34+1,R34)</f>
        <v>* group[=].element[=].display = ##34#Peripheral vascular disease##34#</v>
      </c>
    </row>
    <row r="35" spans="1:19" ht="73.75">
      <c r="B35" s="11" t="str">
        <f>Subject!B38</f>
        <v>comorbidity.aids</v>
      </c>
      <c r="C35" s="11" t="str">
        <f>Subject!C38</f>
        <v>AIDS</v>
      </c>
      <c r="D35" s="12" t="s">
        <v>1878</v>
      </c>
      <c r="E35" s="12"/>
      <c r="F35" s="64" t="s">
        <v>1429</v>
      </c>
      <c r="G35" s="124"/>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c>
      <c r="P35" s="11">
        <v>21</v>
      </c>
      <c r="Q35" s="11">
        <f t="shared" si="13"/>
        <v>3</v>
      </c>
      <c r="R35" s="11">
        <f t="shared" si="14"/>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INDEX('Subject-ConceptMap-4'!$I$15:$N$123,Q37+1,R37)</f>
        <v>* group[=].element[=].target.equivalence = #equivalent</v>
      </c>
    </row>
    <row r="38" spans="1:19">
      <c r="B38" s="11"/>
      <c r="C38" s="11"/>
      <c r="D38" s="12"/>
      <c r="E38" s="12"/>
      <c r="F38" s="64"/>
      <c r="G38" s="64"/>
      <c r="H38" s="58"/>
      <c r="K38" s="58"/>
      <c r="L38" s="58"/>
      <c r="M38" s="66"/>
      <c r="N38" s="66"/>
      <c r="P38" s="11">
        <v>24</v>
      </c>
      <c r="Q38" s="11">
        <f t="shared" si="13"/>
        <v>3</v>
      </c>
      <c r="R38" s="11">
        <f t="shared" si="14"/>
        <v>6</v>
      </c>
      <c r="S38" s="12" t="str" cm="1">
        <f t="array" ref="S38">INDEX('Subject-ConceptMap-4'!$I$15:$N$123,Q38+1,R38)</f>
        <v/>
      </c>
    </row>
    <row r="39" spans="1:19" s="2" customFormat="1" ht="29.5">
      <c r="A39"/>
      <c r="B39" s="11"/>
      <c r="C39" s="11"/>
      <c r="D39" s="12"/>
      <c r="E39" s="12"/>
      <c r="F39" s="64"/>
      <c r="G39" s="58"/>
      <c r="H39" s="58"/>
      <c r="J39"/>
      <c r="K39" s="58"/>
      <c r="L39" s="58"/>
      <c r="M39" s="66"/>
      <c r="N39" s="66"/>
      <c r="P39" s="11">
        <v>25</v>
      </c>
      <c r="Q39" s="11">
        <f t="shared" si="13"/>
        <v>4</v>
      </c>
      <c r="R39" s="11">
        <f t="shared" si="14"/>
        <v>1</v>
      </c>
      <c r="S39" s="12" t="str" cm="1">
        <f t="array" ref="S39">INDEX('Subject-ConceptMap-4'!$I$15:$N$123,Q39+1,R39)</f>
        <v>* group[=].element[+].code = #Subject.comorbidity.cerebrovascularAccidentExceptHemiplegia</v>
      </c>
    </row>
    <row r="40" spans="1:19" s="2" customFormat="1" ht="29.5">
      <c r="A40"/>
      <c r="B40" s="11"/>
      <c r="C40" s="11"/>
      <c r="D40" s="12"/>
      <c r="F40" s="64"/>
      <c r="G40" s="58"/>
      <c r="H40" s="58"/>
      <c r="J40"/>
      <c r="K40" s="58"/>
      <c r="L40" s="58"/>
      <c r="M40" s="66"/>
      <c r="N40" s="66"/>
      <c r="P40" s="11">
        <v>26</v>
      </c>
      <c r="Q40" s="11">
        <f t="shared" si="13"/>
        <v>4</v>
      </c>
      <c r="R40" s="11">
        <f t="shared" si="14"/>
        <v>2</v>
      </c>
      <c r="S40" s="12" t="str" cm="1">
        <f t="array" ref="S40">INDEX('Subject-ConceptMap-4'!$I$15:$N$123,Q40+1,R40)</f>
        <v>* group[=].element[=].display = ##34#Cerebrovascular accident  (except hemiplegia)##34#</v>
      </c>
    </row>
    <row r="41" spans="1:19" s="2" customFormat="1" ht="29.5">
      <c r="A41"/>
      <c r="B41" s="11"/>
      <c r="C41" s="12"/>
      <c r="D41" s="12"/>
      <c r="F41" s="64"/>
      <c r="G41" s="58"/>
      <c r="H41" s="58"/>
      <c r="J41"/>
      <c r="K41" s="58"/>
      <c r="L41" s="58"/>
      <c r="M41" s="66"/>
      <c r="N41" s="66"/>
      <c r="P41" s="11">
        <v>27</v>
      </c>
      <c r="Q41" s="11">
        <f t="shared" si="13"/>
        <v>4</v>
      </c>
      <c r="R41" s="11">
        <f t="shared" si="14"/>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INDEX('Subject-ConceptMap-4'!$I$15:$N$123,Q43+1,R43)</f>
        <v>* group[=].element[=].target.equivalence = #equivalent</v>
      </c>
    </row>
    <row r="44" spans="1:19">
      <c r="B44" s="11"/>
      <c r="C44" s="12"/>
      <c r="F44" s="64"/>
      <c r="P44" s="11">
        <v>30</v>
      </c>
      <c r="Q44" s="11">
        <f t="shared" si="13"/>
        <v>4</v>
      </c>
      <c r="R44" s="11">
        <f t="shared" si="14"/>
        <v>6</v>
      </c>
      <c r="S44" s="12" t="str" cm="1">
        <f t="array" ref="S44">INDEX('Subject-ConceptMap-4'!$I$15:$N$123,Q44+1,R44)</f>
        <v/>
      </c>
    </row>
    <row r="45" spans="1:19">
      <c r="B45" s="11"/>
      <c r="C45" s="12"/>
      <c r="F45" s="64"/>
      <c r="P45" s="11">
        <v>31</v>
      </c>
      <c r="Q45" s="11">
        <f t="shared" si="13"/>
        <v>5</v>
      </c>
      <c r="R45" s="11">
        <f t="shared" si="14"/>
        <v>1</v>
      </c>
      <c r="S45" s="12" t="str" cm="1">
        <f t="array" ref="S45">INDEX('Subject-ConceptMap-4'!$I$15:$N$123,Q45+1,R45)</f>
        <v>* group[=].element[+].code = #Subject.comorbidity.dementia</v>
      </c>
    </row>
    <row r="46" spans="1:19">
      <c r="B46" s="11"/>
      <c r="C46" s="12"/>
      <c r="P46" s="11">
        <v>32</v>
      </c>
      <c r="Q46" s="11">
        <f t="shared" si="13"/>
        <v>5</v>
      </c>
      <c r="R46" s="11">
        <f t="shared" si="14"/>
        <v>2</v>
      </c>
      <c r="S46" s="12" t="str" cm="1">
        <f t="array" ref="S46">INDEX('Subject-ConceptMap-4'!$I$15:$N$123,Q46+1,R46)</f>
        <v>* group[=].element[=].display = ##34#Dementia##34#</v>
      </c>
    </row>
    <row r="47" spans="1:19" ht="29.5">
      <c r="B47" s="11"/>
      <c r="C47" s="12"/>
      <c r="P47" s="11">
        <v>33</v>
      </c>
      <c r="Q47" s="11">
        <f t="shared" si="13"/>
        <v>5</v>
      </c>
      <c r="R47" s="11">
        <f t="shared" si="14"/>
        <v>3</v>
      </c>
      <c r="S47" s="12" t="str" cm="1">
        <f t="array" ref="S47">INDEX('Subject-ConceptMap-4'!$I$15:$N$123,Q47+1,R47)</f>
        <v>* group[=].element[=].target.code = #Observation.extension:comorbidConditionPresent</v>
      </c>
    </row>
    <row r="48" spans="1:19">
      <c r="P48" s="11">
        <v>34</v>
      </c>
      <c r="Q48" s="11">
        <f t="shared" si="13"/>
        <v>5</v>
      </c>
      <c r="R48" s="11">
        <f t="shared" si="14"/>
        <v>4</v>
      </c>
      <c r="S48" s="12" t="str" cm="1">
        <f t="array" ref="S48">INDEX('Subject-ConceptMap-4'!$I$15:$N$123,Q48+1,R48)</f>
        <v>* group[=].element[=].target.display = ##34###34#</v>
      </c>
    </row>
    <row r="49" spans="16:19">
      <c r="P49" s="11">
        <v>35</v>
      </c>
      <c r="Q49" s="11">
        <f t="shared" si="13"/>
        <v>5</v>
      </c>
      <c r="R49" s="11">
        <f t="shared" si="14"/>
        <v>5</v>
      </c>
      <c r="S49" s="12" t="str" cm="1">
        <f t="array" ref="S49">INDEX('Subject-ConceptMap-4'!$I$15:$N$123,Q49+1,R49)</f>
        <v>* group[=].element[=].target.equivalence = #equivalent</v>
      </c>
    </row>
    <row r="50" spans="16:19">
      <c r="P50" s="11">
        <v>36</v>
      </c>
      <c r="Q50" s="11">
        <f t="shared" si="13"/>
        <v>5</v>
      </c>
      <c r="R50" s="11">
        <f t="shared" si="14"/>
        <v>6</v>
      </c>
      <c r="S50" s="12" t="str" cm="1">
        <f t="array" ref="S50">INDEX('Subject-ConceptMap-4'!$I$15:$N$123,Q50+1,R50)</f>
        <v/>
      </c>
    </row>
    <row r="51" spans="16:19">
      <c r="P51" s="11">
        <v>37</v>
      </c>
      <c r="Q51" s="11">
        <f t="shared" si="13"/>
        <v>6</v>
      </c>
      <c r="R51" s="11">
        <f t="shared" si="14"/>
        <v>1</v>
      </c>
      <c r="S51" s="12" t="str" cm="1">
        <f t="array" ref="S51">INDEX('Subject-ConceptMap-4'!$I$15:$N$123,Q51+1,R51)</f>
        <v>* group[=].element[+].code = #Subject.comorbidity.chronicPulmonaryDisease</v>
      </c>
    </row>
    <row r="52" spans="16:19">
      <c r="P52" s="11">
        <v>38</v>
      </c>
      <c r="Q52" s="11">
        <f t="shared" si="13"/>
        <v>6</v>
      </c>
      <c r="R52" s="11">
        <f t="shared" si="14"/>
        <v>2</v>
      </c>
      <c r="S52" s="12" t="str" cm="1">
        <f t="array" ref="S52">INDEX('Subject-ConceptMap-4'!$I$15:$N$123,Q52+1,R52)</f>
        <v>* group[=].element[=].display = ##34#Chronic pulmonary disease##34#</v>
      </c>
    </row>
    <row r="53" spans="16:19" ht="29.5">
      <c r="P53" s="11">
        <v>39</v>
      </c>
      <c r="Q53" s="11">
        <f t="shared" si="13"/>
        <v>6</v>
      </c>
      <c r="R53" s="11">
        <f t="shared" si="14"/>
        <v>3</v>
      </c>
      <c r="S53" s="12" t="str" cm="1">
        <f t="array" ref="S53">INDEX('Subject-ConceptMap-4'!$I$15:$N$123,Q53+1,R53)</f>
        <v>* group[=].element[=].target.code = #Observation.extension:comorbidConditionPresent</v>
      </c>
    </row>
    <row r="54" spans="16:19">
      <c r="P54" s="11">
        <v>40</v>
      </c>
      <c r="Q54" s="11">
        <f t="shared" si="13"/>
        <v>6</v>
      </c>
      <c r="R54" s="11">
        <f t="shared" si="14"/>
        <v>4</v>
      </c>
      <c r="S54" s="12" t="str" cm="1">
        <f t="array" ref="S54">INDEX('Subject-ConceptMap-4'!$I$15:$N$123,Q54+1,R54)</f>
        <v>* group[=].element[=].target.display = ##34###34#</v>
      </c>
    </row>
    <row r="55" spans="16:19">
      <c r="P55" s="11">
        <v>41</v>
      </c>
      <c r="Q55" s="11">
        <f t="shared" si="13"/>
        <v>6</v>
      </c>
      <c r="R55" s="11">
        <f t="shared" si="14"/>
        <v>5</v>
      </c>
      <c r="S55" s="12" t="str" cm="1">
        <f t="array" ref="S55">INDEX('Subject-ConceptMap-4'!$I$15:$N$123,Q55+1,R55)</f>
        <v>* group[=].element[=].target.equivalence = #equivalent</v>
      </c>
    </row>
    <row r="56" spans="16:19">
      <c r="P56" s="11">
        <v>42</v>
      </c>
      <c r="Q56" s="11">
        <f t="shared" si="13"/>
        <v>6</v>
      </c>
      <c r="R56" s="11">
        <f t="shared" si="14"/>
        <v>6</v>
      </c>
      <c r="S56" s="12" t="str" cm="1">
        <f t="array" ref="S56">INDEX('Subject-ConceptMap-4'!$I$15:$N$123,Q56+1,R56)</f>
        <v/>
      </c>
    </row>
    <row r="57" spans="16:19">
      <c r="P57" s="11">
        <v>43</v>
      </c>
      <c r="Q57" s="11">
        <f t="shared" si="13"/>
        <v>7</v>
      </c>
      <c r="R57" s="11">
        <f t="shared" si="14"/>
        <v>1</v>
      </c>
      <c r="S57" s="12" t="str" cm="1">
        <f t="array" ref="S57">INDEX('Subject-ConceptMap-4'!$I$15:$N$123,Q57+1,R57)</f>
        <v>* group[=].element[+].code = #Subject.comorbidity.connectiveTissueDisease</v>
      </c>
    </row>
    <row r="58" spans="16:19">
      <c r="P58" s="11">
        <v>44</v>
      </c>
      <c r="Q58" s="11">
        <f t="shared" si="13"/>
        <v>7</v>
      </c>
      <c r="R58" s="11">
        <f t="shared" si="14"/>
        <v>2</v>
      </c>
      <c r="S58" s="12" t="str" cm="1">
        <f t="array" ref="S58">INDEX('Subject-ConceptMap-4'!$I$15:$N$123,Q58+1,R58)</f>
        <v>* group[=].element[=].display = ##34#Connective tissue disease##34#</v>
      </c>
    </row>
    <row r="59" spans="16:19" ht="29.5">
      <c r="P59" s="11">
        <v>45</v>
      </c>
      <c r="Q59" s="11">
        <f t="shared" si="13"/>
        <v>7</v>
      </c>
      <c r="R59" s="11">
        <f t="shared" si="14"/>
        <v>3</v>
      </c>
      <c r="S59" s="12" t="str" cm="1">
        <f t="array" ref="S59">INDEX('Subject-ConceptMap-4'!$I$15:$N$123,Q59+1,R59)</f>
        <v>* group[=].element[=].target.code = #Observation.extension:comorbidConditionPresent</v>
      </c>
    </row>
    <row r="60" spans="16:19">
      <c r="P60" s="11">
        <v>46</v>
      </c>
      <c r="Q60" s="11">
        <f t="shared" si="13"/>
        <v>7</v>
      </c>
      <c r="R60" s="11">
        <f t="shared" si="14"/>
        <v>4</v>
      </c>
      <c r="S60" s="12" t="str" cm="1">
        <f t="array" ref="S60">INDEX('Subject-ConceptMap-4'!$I$15:$N$123,Q60+1,R60)</f>
        <v>* group[=].element[=].target.display = ##34###34#</v>
      </c>
    </row>
    <row r="61" spans="16:19">
      <c r="P61" s="11">
        <v>47</v>
      </c>
      <c r="Q61" s="11">
        <f t="shared" si="13"/>
        <v>7</v>
      </c>
      <c r="R61" s="11">
        <f t="shared" si="14"/>
        <v>5</v>
      </c>
      <c r="S61" s="12" t="str" cm="1">
        <f t="array" ref="S61">INDEX('Subject-ConceptMap-4'!$I$15:$N$123,Q61+1,R61)</f>
        <v>* group[=].element[=].target.equivalence = #equivalent</v>
      </c>
    </row>
    <row r="62" spans="16:19">
      <c r="P62" s="11">
        <v>48</v>
      </c>
      <c r="Q62" s="11">
        <f t="shared" si="13"/>
        <v>7</v>
      </c>
      <c r="R62" s="11">
        <f t="shared" si="14"/>
        <v>6</v>
      </c>
      <c r="S62" s="12" t="str" cm="1">
        <f t="array" ref="S62">INDEX('Subject-ConceptMap-4'!$I$15:$N$123,Q62+1,R62)</f>
        <v/>
      </c>
    </row>
    <row r="63" spans="16:19">
      <c r="P63" s="11">
        <v>49</v>
      </c>
      <c r="Q63" s="11">
        <f t="shared" si="13"/>
        <v>8</v>
      </c>
      <c r="R63" s="11">
        <f t="shared" si="14"/>
        <v>1</v>
      </c>
      <c r="S63" s="12" t="str" cm="1">
        <f t="array" ref="S63">INDEX('Subject-ConceptMap-4'!$I$15:$N$123,Q63+1,R63)</f>
        <v>* group[=].element[+].code = #Subject.comorbidity.ulcer</v>
      </c>
    </row>
    <row r="64" spans="16:19">
      <c r="P64" s="11">
        <v>50</v>
      </c>
      <c r="Q64" s="11">
        <f t="shared" si="13"/>
        <v>8</v>
      </c>
      <c r="R64" s="11">
        <f t="shared" si="14"/>
        <v>2</v>
      </c>
      <c r="S64" s="12" t="str" cm="1">
        <f t="array" ref="S64">INDEX('Subject-ConceptMap-4'!$I$15:$N$123,Q64+1,R64)</f>
        <v>* group[=].element[=].display = ##34#Ulcer##34#</v>
      </c>
    </row>
    <row r="65" spans="16:19" ht="29.5">
      <c r="P65" s="11">
        <v>51</v>
      </c>
      <c r="Q65" s="11">
        <f t="shared" si="13"/>
        <v>8</v>
      </c>
      <c r="R65" s="11">
        <f t="shared" si="14"/>
        <v>3</v>
      </c>
      <c r="S65" s="12" t="str" cm="1">
        <f t="array" ref="S65">INDEX('Subject-ConceptMap-4'!$I$15:$N$123,Q65+1,R65)</f>
        <v>* group[=].element[=].target.code = #Observation.extension:comorbidConditionPresent</v>
      </c>
    </row>
    <row r="66" spans="16:19">
      <c r="P66" s="11">
        <v>52</v>
      </c>
      <c r="Q66" s="11">
        <f t="shared" si="13"/>
        <v>8</v>
      </c>
      <c r="R66" s="11">
        <f t="shared" si="14"/>
        <v>4</v>
      </c>
      <c r="S66" s="12" t="str" cm="1">
        <f t="array" ref="S66">INDEX('Subject-ConceptMap-4'!$I$15:$N$123,Q66+1,R66)</f>
        <v>* group[=].element[=].target.display = ##34###34#</v>
      </c>
    </row>
    <row r="67" spans="16:19">
      <c r="P67" s="11">
        <v>53</v>
      </c>
      <c r="Q67" s="11">
        <f t="shared" si="13"/>
        <v>8</v>
      </c>
      <c r="R67" s="11">
        <f t="shared" si="14"/>
        <v>5</v>
      </c>
      <c r="S67" s="12" t="str" cm="1">
        <f t="array" ref="S67">INDEX('Subject-ConceptMap-4'!$I$15:$N$123,Q67+1,R67)</f>
        <v>* group[=].element[=].target.equivalence = #equivalent</v>
      </c>
    </row>
    <row r="68" spans="16:19">
      <c r="P68" s="11">
        <v>54</v>
      </c>
      <c r="Q68" s="11">
        <f t="shared" si="13"/>
        <v>8</v>
      </c>
      <c r="R68" s="11">
        <f t="shared" si="14"/>
        <v>6</v>
      </c>
      <c r="S68" s="12" t="str" cm="1">
        <f t="array" ref="S68">INDEX('Subject-ConceptMap-4'!$I$15:$N$123,Q68+1,R68)</f>
        <v/>
      </c>
    </row>
    <row r="69" spans="16:19">
      <c r="P69" s="11">
        <v>55</v>
      </c>
      <c r="Q69" s="11">
        <f t="shared" si="13"/>
        <v>9</v>
      </c>
      <c r="R69" s="11">
        <f t="shared" si="14"/>
        <v>1</v>
      </c>
      <c r="S69" s="12" t="str" cm="1">
        <f t="array" ref="S69">INDEX('Subject-ConceptMap-4'!$I$15:$N$123,Q69+1,R69)</f>
        <v>* group[=].element[+].code = #Subject.comorbidity.mildLiverDisease</v>
      </c>
    </row>
    <row r="70" spans="16:19">
      <c r="P70" s="11">
        <v>56</v>
      </c>
      <c r="Q70" s="11">
        <f t="shared" si="13"/>
        <v>9</v>
      </c>
      <c r="R70" s="11">
        <f t="shared" si="14"/>
        <v>2</v>
      </c>
      <c r="S70" s="12" t="str" cm="1">
        <f t="array" ref="S70">INDEX('Subject-ConceptMap-4'!$I$15:$N$123,Q70+1,R70)</f>
        <v>* group[=].element[=].display = ##34#Mild liver disease##34#</v>
      </c>
    </row>
    <row r="71" spans="16:19" ht="29.5">
      <c r="P71" s="11">
        <v>57</v>
      </c>
      <c r="Q71" s="11">
        <f t="shared" si="13"/>
        <v>9</v>
      </c>
      <c r="R71" s="11">
        <f t="shared" si="14"/>
        <v>3</v>
      </c>
      <c r="S71" s="12" t="str" cm="1">
        <f t="array" ref="S71">INDEX('Subject-ConceptMap-4'!$I$15:$N$123,Q71+1,R71)</f>
        <v>* group[=].element[=].target.code = #Observation.extension:comorbidConditionPresent</v>
      </c>
    </row>
    <row r="72" spans="16:19">
      <c r="P72" s="11">
        <v>58</v>
      </c>
      <c r="Q72" s="11">
        <f t="shared" si="13"/>
        <v>9</v>
      </c>
      <c r="R72" s="11">
        <f t="shared" si="14"/>
        <v>4</v>
      </c>
      <c r="S72" s="12" t="str" cm="1">
        <f t="array" ref="S72">INDEX('Subject-ConceptMap-4'!$I$15:$N$123,Q72+1,R72)</f>
        <v>* group[=].element[=].target.display = ##34###34#</v>
      </c>
    </row>
    <row r="73" spans="16:19">
      <c r="P73" s="11">
        <v>59</v>
      </c>
      <c r="Q73" s="11">
        <f t="shared" si="13"/>
        <v>9</v>
      </c>
      <c r="R73" s="11">
        <f t="shared" si="14"/>
        <v>5</v>
      </c>
      <c r="S73" s="12" t="str" cm="1">
        <f t="array" ref="S73">INDEX('Subject-ConceptMap-4'!$I$15:$N$123,Q73+1,R73)</f>
        <v>* group[=].element[=].target.equivalence = #equivalent</v>
      </c>
    </row>
    <row r="74" spans="16:19">
      <c r="P74" s="11">
        <v>60</v>
      </c>
      <c r="Q74" s="11">
        <f t="shared" si="13"/>
        <v>9</v>
      </c>
      <c r="R74" s="11">
        <f t="shared" si="14"/>
        <v>6</v>
      </c>
      <c r="S74" s="12" t="str" cm="1">
        <f t="array" ref="S74">INDEX('Subject-ConceptMap-4'!$I$15:$N$123,Q74+1,R74)</f>
        <v/>
      </c>
    </row>
    <row r="75" spans="16:19">
      <c r="P75" s="11">
        <v>61</v>
      </c>
      <c r="Q75" s="11">
        <f t="shared" si="13"/>
        <v>10</v>
      </c>
      <c r="R75" s="11">
        <f t="shared" si="14"/>
        <v>1</v>
      </c>
      <c r="S75" s="12" t="str" cm="1">
        <f t="array" ref="S75">INDEX('Subject-ConceptMap-4'!$I$15:$N$123,Q75+1,R75)</f>
        <v>* group[=].element[+].code = #Subject.comorbidity.moderateToSevereLiverDisease</v>
      </c>
    </row>
    <row r="76" spans="16:19">
      <c r="P76" s="11">
        <v>62</v>
      </c>
      <c r="Q76" s="11">
        <f t="shared" si="13"/>
        <v>10</v>
      </c>
      <c r="R76" s="11">
        <f t="shared" si="14"/>
        <v>2</v>
      </c>
      <c r="S76" s="12" t="str" cm="1">
        <f t="array" ref="S76">INDEX('Subject-ConceptMap-4'!$I$15:$N$123,Q76+1,R76)</f>
        <v>* group[=].element[=].display = ##34#Moderate to severe liver disease##34#</v>
      </c>
    </row>
    <row r="77" spans="16:19" ht="29.5">
      <c r="P77" s="11">
        <v>63</v>
      </c>
      <c r="Q77" s="11">
        <f t="shared" si="13"/>
        <v>10</v>
      </c>
      <c r="R77" s="11">
        <f t="shared" si="14"/>
        <v>3</v>
      </c>
      <c r="S77" s="12" t="str" cm="1">
        <f t="array" ref="S77">INDEX('Subject-ConceptMap-4'!$I$15:$N$123,Q77+1,R77)</f>
        <v>* group[=].element[=].target.code = #Observation.extension:comorbidConditionPresent</v>
      </c>
    </row>
    <row r="78" spans="16:19">
      <c r="P78" s="11">
        <v>64</v>
      </c>
      <c r="Q78" s="11">
        <f t="shared" si="13"/>
        <v>10</v>
      </c>
      <c r="R78" s="11">
        <f t="shared" si="14"/>
        <v>4</v>
      </c>
      <c r="S78" s="12" t="str" cm="1">
        <f t="array" ref="S78">INDEX('Subject-ConceptMap-4'!$I$15:$N$123,Q78+1,R78)</f>
        <v>* group[=].element[=].target.display = ##34###34#</v>
      </c>
    </row>
    <row r="79" spans="16:19">
      <c r="P79" s="11">
        <v>65</v>
      </c>
      <c r="Q79" s="11">
        <f t="shared" si="13"/>
        <v>10</v>
      </c>
      <c r="R79" s="11">
        <f t="shared" si="14"/>
        <v>5</v>
      </c>
      <c r="S79" s="12" t="str" cm="1">
        <f t="array" ref="S79">INDEX('Subject-ConceptMap-4'!$I$15:$N$123,Q79+1,R79)</f>
        <v>* group[=].element[=].target.equivalence = #equivalent</v>
      </c>
    </row>
    <row r="80" spans="16:19">
      <c r="P80" s="11">
        <v>66</v>
      </c>
      <c r="Q80" s="11">
        <f t="shared" ref="Q80:Q143" si="15">IF(MOD(P80,$Q$8)=0,P80/$Q$8-1,INT(P80/$Q$8))</f>
        <v>10</v>
      </c>
      <c r="R80" s="11">
        <f t="shared" ref="R80:R143" si="16">IF(MOD(P80,$Q$8)=0,$Q$8,MOD(P80,$Q$8))</f>
        <v>6</v>
      </c>
      <c r="S80" s="12" t="str" cm="1">
        <f t="array" ref="S80">INDEX('Subject-ConceptMap-4'!$I$15:$N$123,Q80+1,R80)</f>
        <v/>
      </c>
    </row>
    <row r="81" spans="16:19">
      <c r="P81" s="11">
        <v>67</v>
      </c>
      <c r="Q81" s="11">
        <f t="shared" si="15"/>
        <v>11</v>
      </c>
      <c r="R81" s="11">
        <f t="shared" si="16"/>
        <v>1</v>
      </c>
      <c r="S81" s="12" t="str" cm="1">
        <f t="array" ref="S81">INDEX('Subject-ConceptMap-4'!$I$15:$N$123,Q81+1,R81)</f>
        <v>* group[=].element[+].code = #Subject.comorbidity.diabetesWithoutComplications</v>
      </c>
    </row>
    <row r="82" spans="16:19">
      <c r="P82" s="11">
        <v>68</v>
      </c>
      <c r="Q82" s="11">
        <f t="shared" si="15"/>
        <v>11</v>
      </c>
      <c r="R82" s="11">
        <f t="shared" si="16"/>
        <v>2</v>
      </c>
      <c r="S82" s="12" t="str" cm="1">
        <f t="array" ref="S82">INDEX('Subject-ConceptMap-4'!$I$15:$N$123,Q82+1,R82)</f>
        <v>* group[=].element[=].display = ##34#Diabetes (without complications)##34#</v>
      </c>
    </row>
    <row r="83" spans="16:19" ht="29.5">
      <c r="P83" s="11">
        <v>69</v>
      </c>
      <c r="Q83" s="11">
        <f t="shared" si="15"/>
        <v>11</v>
      </c>
      <c r="R83" s="11">
        <f t="shared" si="16"/>
        <v>3</v>
      </c>
      <c r="S83" s="12" t="str" cm="1">
        <f t="array" ref="S83">INDEX('Subject-ConceptMap-4'!$I$15:$N$123,Q83+1,R83)</f>
        <v>* group[=].element[=].target.code = #Observation.extension:comorbidConditionPresent</v>
      </c>
    </row>
    <row r="84" spans="16:19">
      <c r="P84" s="11">
        <v>70</v>
      </c>
      <c r="Q84" s="11">
        <f t="shared" si="15"/>
        <v>11</v>
      </c>
      <c r="R84" s="11">
        <f t="shared" si="16"/>
        <v>4</v>
      </c>
      <c r="S84" s="12" t="str" cm="1">
        <f t="array" ref="S84">INDEX('Subject-ConceptMap-4'!$I$15:$N$123,Q84+1,R84)</f>
        <v>* group[=].element[=].target.display = ##34###34#</v>
      </c>
    </row>
    <row r="85" spans="16:19">
      <c r="P85" s="11">
        <v>71</v>
      </c>
      <c r="Q85" s="11">
        <f t="shared" si="15"/>
        <v>11</v>
      </c>
      <c r="R85" s="11">
        <f t="shared" si="16"/>
        <v>5</v>
      </c>
      <c r="S85" s="12" t="str" cm="1">
        <f t="array" ref="S85">INDEX('Subject-ConceptMap-4'!$I$15:$N$123,Q85+1,R85)</f>
        <v>* group[=].element[=].target.equivalence = #equivalent</v>
      </c>
    </row>
    <row r="86" spans="16:19">
      <c r="P86" s="11">
        <v>72</v>
      </c>
      <c r="Q86" s="11">
        <f t="shared" si="15"/>
        <v>11</v>
      </c>
      <c r="R86" s="11">
        <f t="shared" si="16"/>
        <v>6</v>
      </c>
      <c r="S86" s="12" t="str" cm="1">
        <f t="array" ref="S86">INDEX('Subject-ConceptMap-4'!$I$15:$N$123,Q86+1,R86)</f>
        <v/>
      </c>
    </row>
    <row r="87" spans="16:19">
      <c r="P87" s="11">
        <v>73</v>
      </c>
      <c r="Q87" s="11">
        <f t="shared" si="15"/>
        <v>12</v>
      </c>
      <c r="R87" s="11">
        <f t="shared" si="16"/>
        <v>1</v>
      </c>
      <c r="S87" s="12" t="str" cm="1">
        <f t="array" ref="S87">INDEX('Subject-ConceptMap-4'!$I$15:$N$123,Q87+1,R87)</f>
        <v>* group[=].element[+].code = #Subject.comorbidity.diabetesWithEndOrganDamage</v>
      </c>
    </row>
    <row r="88" spans="16:19">
      <c r="P88" s="11">
        <v>74</v>
      </c>
      <c r="Q88" s="11">
        <f t="shared" si="15"/>
        <v>12</v>
      </c>
      <c r="R88" s="11">
        <f t="shared" si="16"/>
        <v>2</v>
      </c>
      <c r="S88" s="12" t="str" cm="1">
        <f t="array" ref="S88">INDEX('Subject-ConceptMap-4'!$I$15:$N$123,Q88+1,R88)</f>
        <v>* group[=].element[=].display = ##34#Diabetes with end organ damage##34#</v>
      </c>
    </row>
    <row r="89" spans="16:19" ht="29.5">
      <c r="P89" s="11">
        <v>75</v>
      </c>
      <c r="Q89" s="11">
        <f t="shared" si="15"/>
        <v>12</v>
      </c>
      <c r="R89" s="11">
        <f t="shared" si="16"/>
        <v>3</v>
      </c>
      <c r="S89" s="12" t="str" cm="1">
        <f t="array" ref="S89">INDEX('Subject-ConceptMap-4'!$I$15:$N$123,Q89+1,R89)</f>
        <v>* group[=].element[=].target.code = #Observation.extension:comorbidConditionPresent</v>
      </c>
    </row>
    <row r="90" spans="16:19">
      <c r="P90" s="11">
        <v>76</v>
      </c>
      <c r="Q90" s="11">
        <f t="shared" si="15"/>
        <v>12</v>
      </c>
      <c r="R90" s="11">
        <f t="shared" si="16"/>
        <v>4</v>
      </c>
      <c r="S90" s="12" t="str" cm="1">
        <f t="array" ref="S90">INDEX('Subject-ConceptMap-4'!$I$15:$N$123,Q90+1,R90)</f>
        <v>* group[=].element[=].target.display = ##34###34#</v>
      </c>
    </row>
    <row r="91" spans="16:19">
      <c r="P91" s="11">
        <v>77</v>
      </c>
      <c r="Q91" s="11">
        <f t="shared" si="15"/>
        <v>12</v>
      </c>
      <c r="R91" s="11">
        <f t="shared" si="16"/>
        <v>5</v>
      </c>
      <c r="S91" s="12" t="str" cm="1">
        <f t="array" ref="S91">INDEX('Subject-ConceptMap-4'!$I$15:$N$123,Q91+1,R91)</f>
        <v>* group[=].element[=].target.equivalence = #equivalent</v>
      </c>
    </row>
    <row r="92" spans="16:19">
      <c r="P92" s="11">
        <v>78</v>
      </c>
      <c r="Q92" s="11">
        <f t="shared" si="15"/>
        <v>12</v>
      </c>
      <c r="R92" s="11">
        <f t="shared" si="16"/>
        <v>6</v>
      </c>
      <c r="S92" s="12" t="str" cm="1">
        <f t="array" ref="S92">INDEX('Subject-ConceptMap-4'!$I$15:$N$123,Q92+1,R92)</f>
        <v/>
      </c>
    </row>
    <row r="93" spans="16:19">
      <c r="P93" s="11">
        <v>79</v>
      </c>
      <c r="Q93" s="11">
        <f t="shared" si="15"/>
        <v>13</v>
      </c>
      <c r="R93" s="11">
        <f t="shared" si="16"/>
        <v>1</v>
      </c>
      <c r="S93" s="12" t="str" cm="1">
        <f t="array" ref="S93">INDEX('Subject-ConceptMap-4'!$I$15:$N$123,Q93+1,R93)</f>
        <v>* group[=].element[+].code = #Subject.comorbidity.hemiplegia</v>
      </c>
    </row>
    <row r="94" spans="16:19">
      <c r="P94" s="11">
        <v>80</v>
      </c>
      <c r="Q94" s="11">
        <f t="shared" si="15"/>
        <v>13</v>
      </c>
      <c r="R94" s="11">
        <f t="shared" si="16"/>
        <v>2</v>
      </c>
      <c r="S94" s="12" t="str" cm="1">
        <f t="array" ref="S94">INDEX('Subject-ConceptMap-4'!$I$15:$N$123,Q94+1,R94)</f>
        <v>* group[=].element[=].display = ##34#Hemiplegia##34#</v>
      </c>
    </row>
    <row r="95" spans="16:19" ht="29.5">
      <c r="P95" s="11">
        <v>81</v>
      </c>
      <c r="Q95" s="11">
        <f t="shared" si="15"/>
        <v>13</v>
      </c>
      <c r="R95" s="11">
        <f t="shared" si="16"/>
        <v>3</v>
      </c>
      <c r="S95" s="12" t="str" cm="1">
        <f t="array" ref="S95">INDEX('Subject-ConceptMap-4'!$I$15:$N$123,Q95+1,R95)</f>
        <v>* group[=].element[=].target.code = #Observation.extension:comorbidConditionPresent</v>
      </c>
    </row>
    <row r="96" spans="16:19">
      <c r="P96" s="11">
        <v>82</v>
      </c>
      <c r="Q96" s="11">
        <f t="shared" si="15"/>
        <v>13</v>
      </c>
      <c r="R96" s="11">
        <f t="shared" si="16"/>
        <v>4</v>
      </c>
      <c r="S96" s="12" t="str" cm="1">
        <f t="array" ref="S96">INDEX('Subject-ConceptMap-4'!$I$15:$N$123,Q96+1,R96)</f>
        <v>* group[=].element[=].target.display = ##34###34#</v>
      </c>
    </row>
    <row r="97" spans="16:19">
      <c r="P97" s="11">
        <v>83</v>
      </c>
      <c r="Q97" s="11">
        <f t="shared" si="15"/>
        <v>13</v>
      </c>
      <c r="R97" s="11">
        <f t="shared" si="16"/>
        <v>5</v>
      </c>
      <c r="S97" s="12" t="str" cm="1">
        <f t="array" ref="S97">INDEX('Subject-ConceptMap-4'!$I$15:$N$123,Q97+1,R97)</f>
        <v>* group[=].element[=].target.equivalence = #equivalent</v>
      </c>
    </row>
    <row r="98" spans="16:19">
      <c r="P98" s="11">
        <v>84</v>
      </c>
      <c r="Q98" s="11">
        <f t="shared" si="15"/>
        <v>13</v>
      </c>
      <c r="R98" s="11">
        <f t="shared" si="16"/>
        <v>6</v>
      </c>
      <c r="S98" s="12" t="str" cm="1">
        <f t="array" ref="S98">INDEX('Subject-ConceptMap-4'!$I$15:$N$123,Q98+1,R98)</f>
        <v/>
      </c>
    </row>
    <row r="99" spans="16:19">
      <c r="P99" s="11">
        <v>85</v>
      </c>
      <c r="Q99" s="11">
        <f t="shared" si="15"/>
        <v>14</v>
      </c>
      <c r="R99" s="11">
        <f t="shared" si="16"/>
        <v>1</v>
      </c>
      <c r="S99" s="12" t="str" cm="1">
        <f t="array" ref="S99">INDEX('Subject-ConceptMap-4'!$I$15:$N$123,Q99+1,R99)</f>
        <v>* group[=].element[+].code = #Subject.comorbidity.moderateToSevereRenalDisease</v>
      </c>
    </row>
    <row r="100" spans="16:19">
      <c r="P100" s="11">
        <v>86</v>
      </c>
      <c r="Q100" s="11">
        <f t="shared" si="15"/>
        <v>14</v>
      </c>
      <c r="R100" s="11">
        <f t="shared" si="16"/>
        <v>2</v>
      </c>
      <c r="S100" s="12" t="str" cm="1">
        <f t="array" ref="S100">INDEX('Subject-ConceptMap-4'!$I$15:$N$123,Q100+1,R100)</f>
        <v>* group[=].element[=].display = ##34#Moderate to severe renal disease##34#</v>
      </c>
    </row>
    <row r="101" spans="16:19" ht="29.5">
      <c r="P101" s="11">
        <v>87</v>
      </c>
      <c r="Q101" s="11">
        <f t="shared" si="15"/>
        <v>14</v>
      </c>
      <c r="R101" s="11">
        <f t="shared" si="16"/>
        <v>3</v>
      </c>
      <c r="S101" s="12" t="str" cm="1">
        <f t="array" ref="S101">INDEX('Subject-ConceptMap-4'!$I$15:$N$123,Q101+1,R101)</f>
        <v>* group[=].element[=].target.code = #Observation.extension:comorbidConditionPresent</v>
      </c>
    </row>
    <row r="102" spans="16:19">
      <c r="P102" s="11">
        <v>88</v>
      </c>
      <c r="Q102" s="11">
        <f t="shared" si="15"/>
        <v>14</v>
      </c>
      <c r="R102" s="11">
        <f t="shared" si="16"/>
        <v>4</v>
      </c>
      <c r="S102" s="12" t="str" cm="1">
        <f t="array" ref="S102">INDEX('Subject-ConceptMap-4'!$I$15:$N$123,Q102+1,R102)</f>
        <v>* group[=].element[=].target.display = ##34###34#</v>
      </c>
    </row>
    <row r="103" spans="16:19">
      <c r="P103" s="11">
        <v>89</v>
      </c>
      <c r="Q103" s="11">
        <f t="shared" si="15"/>
        <v>14</v>
      </c>
      <c r="R103" s="11">
        <f t="shared" si="16"/>
        <v>5</v>
      </c>
      <c r="S103" s="12" t="str" cm="1">
        <f t="array" ref="S103">INDEX('Subject-ConceptMap-4'!$I$15:$N$123,Q103+1,R103)</f>
        <v>* group[=].element[=].target.equivalence = #equivalent</v>
      </c>
    </row>
    <row r="104" spans="16:19">
      <c r="P104" s="11">
        <v>90</v>
      </c>
      <c r="Q104" s="11">
        <f t="shared" si="15"/>
        <v>14</v>
      </c>
      <c r="R104" s="11">
        <f t="shared" si="16"/>
        <v>6</v>
      </c>
      <c r="S104" s="12" t="str" cm="1">
        <f t="array" ref="S104">INDEX('Subject-ConceptMap-4'!$I$15:$N$123,Q104+1,R104)</f>
        <v/>
      </c>
    </row>
    <row r="105" spans="16:19">
      <c r="P105" s="11">
        <v>91</v>
      </c>
      <c r="Q105" s="11">
        <f t="shared" si="15"/>
        <v>15</v>
      </c>
      <c r="R105" s="11">
        <f t="shared" si="16"/>
        <v>1</v>
      </c>
      <c r="S105" s="12" t="str" cm="1">
        <f t="array" ref="S105">INDEX('Subject-ConceptMap-4'!$I$15:$N$123,Q105+1,R105)</f>
        <v>* group[=].element[+].code = #Subject.comorbidity.solidTumorNonMetastatic</v>
      </c>
    </row>
    <row r="106" spans="16:19">
      <c r="P106" s="11">
        <v>92</v>
      </c>
      <c r="Q106" s="11">
        <f t="shared" si="15"/>
        <v>15</v>
      </c>
      <c r="R106" s="11">
        <f t="shared" si="16"/>
        <v>2</v>
      </c>
      <c r="S106" s="12" t="str" cm="1">
        <f t="array" ref="S106">INDEX('Subject-ConceptMap-4'!$I$15:$N$123,Q106+1,R106)</f>
        <v>* group[=].element[=].display = ##34#Solid tumor (non metastatic)##34#</v>
      </c>
    </row>
    <row r="107" spans="16:19" ht="29.5">
      <c r="P107" s="11">
        <v>93</v>
      </c>
      <c r="Q107" s="11">
        <f t="shared" si="15"/>
        <v>15</v>
      </c>
      <c r="R107" s="11">
        <f t="shared" si="16"/>
        <v>3</v>
      </c>
      <c r="S107" s="12" t="str" cm="1">
        <f t="array" ref="S107">INDEX('Subject-ConceptMap-4'!$I$15:$N$123,Q107+1,R107)</f>
        <v>* group[=].element[=].target.code = #Observation.extension:comorbidConditionPresent</v>
      </c>
    </row>
    <row r="108" spans="16:19">
      <c r="P108" s="11">
        <v>94</v>
      </c>
      <c r="Q108" s="11">
        <f t="shared" si="15"/>
        <v>15</v>
      </c>
      <c r="R108" s="11">
        <f t="shared" si="16"/>
        <v>4</v>
      </c>
      <c r="S108" s="12" t="str" cm="1">
        <f t="array" ref="S108">INDEX('Subject-ConceptMap-4'!$I$15:$N$123,Q108+1,R108)</f>
        <v>* group[=].element[=].target.display = ##34###34#</v>
      </c>
    </row>
    <row r="109" spans="16:19">
      <c r="P109" s="11">
        <v>95</v>
      </c>
      <c r="Q109" s="11">
        <f t="shared" si="15"/>
        <v>15</v>
      </c>
      <c r="R109" s="11">
        <f t="shared" si="16"/>
        <v>5</v>
      </c>
      <c r="S109" s="12" t="str" cm="1">
        <f t="array" ref="S109">INDEX('Subject-ConceptMap-4'!$I$15:$N$123,Q109+1,R109)</f>
        <v>* group[=].element[=].target.equivalence = #equivalent</v>
      </c>
    </row>
    <row r="110" spans="16:19">
      <c r="P110" s="11">
        <v>96</v>
      </c>
      <c r="Q110" s="11">
        <f t="shared" si="15"/>
        <v>15</v>
      </c>
      <c r="R110" s="11">
        <f t="shared" si="16"/>
        <v>6</v>
      </c>
      <c r="S110" s="12" t="str" cm="1">
        <f t="array" ref="S110">INDEX('Subject-ConceptMap-4'!$I$15:$N$123,Q110+1,R110)</f>
        <v/>
      </c>
    </row>
    <row r="111" spans="16:19">
      <c r="P111" s="11">
        <v>97</v>
      </c>
      <c r="Q111" s="11">
        <f t="shared" si="15"/>
        <v>16</v>
      </c>
      <c r="R111" s="11">
        <f t="shared" si="16"/>
        <v>1</v>
      </c>
      <c r="S111" s="12" t="str" cm="1">
        <f t="array" ref="S111">INDEX('Subject-ConceptMap-4'!$I$15:$N$123,Q111+1,R111)</f>
        <v>* group[=].element[+].code = #Subject.comorbidity.metastaticSolidTumor</v>
      </c>
    </row>
    <row r="112" spans="16:19">
      <c r="P112" s="11">
        <v>98</v>
      </c>
      <c r="Q112" s="11">
        <f t="shared" si="15"/>
        <v>16</v>
      </c>
      <c r="R112" s="11">
        <f t="shared" si="16"/>
        <v>2</v>
      </c>
      <c r="S112" s="12" t="str" cm="1">
        <f t="array" ref="S112">INDEX('Subject-ConceptMap-4'!$I$15:$N$123,Q112+1,R112)</f>
        <v>* group[=].element[=].display = ##34#Metastatic solid tumor##34#</v>
      </c>
    </row>
    <row r="113" spans="16:19" ht="29.5">
      <c r="P113" s="11">
        <v>99</v>
      </c>
      <c r="Q113" s="11">
        <f t="shared" si="15"/>
        <v>16</v>
      </c>
      <c r="R113" s="11">
        <f t="shared" si="16"/>
        <v>3</v>
      </c>
      <c r="S113" s="12" t="str" cm="1">
        <f t="array" ref="S113">INDEX('Subject-ConceptMap-4'!$I$15:$N$123,Q113+1,R113)</f>
        <v>* group[=].element[=].target.code = #Observation.extension:comorbidConditionPresent</v>
      </c>
    </row>
    <row r="114" spans="16:19">
      <c r="P114" s="11">
        <v>100</v>
      </c>
      <c r="Q114" s="11">
        <f t="shared" si="15"/>
        <v>16</v>
      </c>
      <c r="R114" s="11">
        <f t="shared" si="16"/>
        <v>4</v>
      </c>
      <c r="S114" s="12" t="str" cm="1">
        <f t="array" ref="S114">INDEX('Subject-ConceptMap-4'!$I$15:$N$123,Q114+1,R114)</f>
        <v>* group[=].element[=].target.display = ##34###34#</v>
      </c>
    </row>
    <row r="115" spans="16:19">
      <c r="P115" s="11">
        <v>101</v>
      </c>
      <c r="Q115" s="11">
        <f t="shared" si="15"/>
        <v>16</v>
      </c>
      <c r="R115" s="11">
        <f t="shared" si="16"/>
        <v>5</v>
      </c>
      <c r="S115" s="12" t="str" cm="1">
        <f t="array" ref="S115">INDEX('Subject-ConceptMap-4'!$I$15:$N$123,Q115+1,R115)</f>
        <v>* group[=].element[=].target.equivalence = #equivalent</v>
      </c>
    </row>
    <row r="116" spans="16:19">
      <c r="P116" s="11">
        <v>102</v>
      </c>
      <c r="Q116" s="11">
        <f t="shared" si="15"/>
        <v>16</v>
      </c>
      <c r="R116" s="11">
        <f t="shared" si="16"/>
        <v>6</v>
      </c>
      <c r="S116" s="12" t="str" cm="1">
        <f t="array" ref="S116">INDEX('Subject-ConceptMap-4'!$I$15:$N$123,Q116+1,R116)</f>
        <v/>
      </c>
    </row>
    <row r="117" spans="16:19">
      <c r="P117" s="11">
        <v>103</v>
      </c>
      <c r="Q117" s="11">
        <f t="shared" si="15"/>
        <v>17</v>
      </c>
      <c r="R117" s="11">
        <f t="shared" si="16"/>
        <v>1</v>
      </c>
      <c r="S117" s="12" t="str" cm="1">
        <f t="array" ref="S117">INDEX('Subject-ConceptMap-4'!$I$15:$N$123,Q117+1,R117)</f>
        <v>* group[=].element[+].code = #Subject.comorbidity.leukemia</v>
      </c>
    </row>
    <row r="118" spans="16:19">
      <c r="P118" s="11">
        <v>104</v>
      </c>
      <c r="Q118" s="11">
        <f t="shared" si="15"/>
        <v>17</v>
      </c>
      <c r="R118" s="11">
        <f t="shared" si="16"/>
        <v>2</v>
      </c>
      <c r="S118" s="12" t="str" cm="1">
        <f t="array" ref="S118">INDEX('Subject-ConceptMap-4'!$I$15:$N$123,Q118+1,R118)</f>
        <v>* group[=].element[=].display = ##34#Leukemia##34#</v>
      </c>
    </row>
    <row r="119" spans="16:19" ht="29.5">
      <c r="P119" s="11">
        <v>105</v>
      </c>
      <c r="Q119" s="11">
        <f t="shared" si="15"/>
        <v>17</v>
      </c>
      <c r="R119" s="11">
        <f t="shared" si="16"/>
        <v>3</v>
      </c>
      <c r="S119" s="12" t="str" cm="1">
        <f t="array" ref="S119">INDEX('Subject-ConceptMap-4'!$I$15:$N$123,Q119+1,R119)</f>
        <v>* group[=].element[=].target.code = #Observation.extension:comorbidConditionPresent</v>
      </c>
    </row>
    <row r="120" spans="16:19">
      <c r="P120" s="11">
        <v>106</v>
      </c>
      <c r="Q120" s="11">
        <f t="shared" si="15"/>
        <v>17</v>
      </c>
      <c r="R120" s="11">
        <f t="shared" si="16"/>
        <v>4</v>
      </c>
      <c r="S120" s="12" t="str" cm="1">
        <f t="array" ref="S120">INDEX('Subject-ConceptMap-4'!$I$15:$N$123,Q120+1,R120)</f>
        <v>* group[=].element[=].target.display = ##34###34#</v>
      </c>
    </row>
    <row r="121" spans="16:19">
      <c r="P121" s="11">
        <v>107</v>
      </c>
      <c r="Q121" s="11">
        <f t="shared" si="15"/>
        <v>17</v>
      </c>
      <c r="R121" s="11">
        <f t="shared" si="16"/>
        <v>5</v>
      </c>
      <c r="S121" s="12" t="str" cm="1">
        <f t="array" ref="S121">INDEX('Subject-ConceptMap-4'!$I$15:$N$123,Q121+1,R121)</f>
        <v>* group[=].element[=].target.equivalence = #equivalent</v>
      </c>
    </row>
    <row r="122" spans="16:19">
      <c r="P122" s="11">
        <v>108</v>
      </c>
      <c r="Q122" s="11">
        <f t="shared" si="15"/>
        <v>17</v>
      </c>
      <c r="R122" s="11">
        <f t="shared" si="16"/>
        <v>6</v>
      </c>
      <c r="S122" s="12" t="str" cm="1">
        <f t="array" ref="S122">INDEX('Subject-ConceptMap-4'!$I$15:$N$123,Q122+1,R122)</f>
        <v/>
      </c>
    </row>
    <row r="123" spans="16:19">
      <c r="P123" s="11">
        <v>109</v>
      </c>
      <c r="Q123" s="11">
        <f t="shared" si="15"/>
        <v>18</v>
      </c>
      <c r="R123" s="11">
        <f t="shared" si="16"/>
        <v>1</v>
      </c>
      <c r="S123" s="12" t="str" cm="1">
        <f t="array" ref="S123">INDEX('Subject-ConceptMap-4'!$I$15:$N$123,Q123+1,R123)</f>
        <v>* group[=].element[+].code = #Subject.comorbidity.lymphoma</v>
      </c>
    </row>
    <row r="124" spans="16:19">
      <c r="P124" s="11">
        <v>110</v>
      </c>
      <c r="Q124" s="11">
        <f t="shared" si="15"/>
        <v>18</v>
      </c>
      <c r="R124" s="11">
        <f t="shared" si="16"/>
        <v>2</v>
      </c>
      <c r="S124" s="12" t="str" cm="1">
        <f t="array" ref="S124">INDEX('Subject-ConceptMap-4'!$I$15:$N$123,Q124+1,R124)</f>
        <v>* group[=].element[=].display = ##34#Lymphoma##34#</v>
      </c>
    </row>
    <row r="125" spans="16:19" ht="29.5">
      <c r="P125" s="11">
        <v>111</v>
      </c>
      <c r="Q125" s="11">
        <f t="shared" si="15"/>
        <v>18</v>
      </c>
      <c r="R125" s="11">
        <f t="shared" si="16"/>
        <v>3</v>
      </c>
      <c r="S125" s="12" t="str" cm="1">
        <f t="array" ref="S125">INDEX('Subject-ConceptMap-4'!$I$15:$N$123,Q125+1,R125)</f>
        <v>* group[=].element[=].target.code = #Observation.extension:comorbidConditionPresent</v>
      </c>
    </row>
    <row r="126" spans="16:19">
      <c r="P126" s="11">
        <v>112</v>
      </c>
      <c r="Q126" s="11">
        <f t="shared" si="15"/>
        <v>18</v>
      </c>
      <c r="R126" s="11">
        <f t="shared" si="16"/>
        <v>4</v>
      </c>
      <c r="S126" s="12" t="str" cm="1">
        <f t="array" ref="S126">INDEX('Subject-ConceptMap-4'!$I$15:$N$123,Q126+1,R126)</f>
        <v>* group[=].element[=].target.display = ##34###34#</v>
      </c>
    </row>
    <row r="127" spans="16:19">
      <c r="P127" s="11">
        <v>113</v>
      </c>
      <c r="Q127" s="11">
        <f t="shared" si="15"/>
        <v>18</v>
      </c>
      <c r="R127" s="11">
        <f t="shared" si="16"/>
        <v>5</v>
      </c>
      <c r="S127" s="12" t="str" cm="1">
        <f t="array" ref="S127">INDEX('Subject-ConceptMap-4'!$I$15:$N$123,Q127+1,R127)</f>
        <v>* group[=].element[=].target.equivalence = #equivalent</v>
      </c>
    </row>
    <row r="128" spans="16:19">
      <c r="P128" s="11">
        <v>114</v>
      </c>
      <c r="Q128" s="11">
        <f t="shared" si="15"/>
        <v>18</v>
      </c>
      <c r="R128" s="11">
        <f t="shared" si="16"/>
        <v>6</v>
      </c>
      <c r="S128" s="12" t="str" cm="1">
        <f t="array" ref="S128">INDEX('Subject-ConceptMap-4'!$I$15:$N$123,Q128+1,R128)</f>
        <v/>
      </c>
    </row>
    <row r="129" spans="16:19">
      <c r="P129" s="11">
        <v>115</v>
      </c>
      <c r="Q129" s="11">
        <f t="shared" si="15"/>
        <v>19</v>
      </c>
      <c r="R129" s="11">
        <f t="shared" si="16"/>
        <v>1</v>
      </c>
      <c r="S129" s="12" t="str" cm="1">
        <f t="array" ref="S129">INDEX('Subject-ConceptMap-4'!$I$15:$N$123,Q129+1,R129)</f>
        <v>* group[=].element[+].code = #Subject.comorbidity.multipleMyeloma</v>
      </c>
    </row>
    <row r="130" spans="16:19">
      <c r="P130" s="11">
        <v>116</v>
      </c>
      <c r="Q130" s="11">
        <f t="shared" si="15"/>
        <v>19</v>
      </c>
      <c r="R130" s="11">
        <f t="shared" si="16"/>
        <v>2</v>
      </c>
      <c r="S130" s="12" t="str" cm="1">
        <f t="array" ref="S130">INDEX('Subject-ConceptMap-4'!$I$15:$N$123,Q130+1,R130)</f>
        <v>* group[=].element[=].display = ##34#Multiple myeloma##34#</v>
      </c>
    </row>
    <row r="131" spans="16:19" ht="29.5">
      <c r="P131" s="11">
        <v>117</v>
      </c>
      <c r="Q131" s="11">
        <f t="shared" si="15"/>
        <v>19</v>
      </c>
      <c r="R131" s="11">
        <f t="shared" si="16"/>
        <v>3</v>
      </c>
      <c r="S131" s="12" t="str" cm="1">
        <f t="array" ref="S131">INDEX('Subject-ConceptMap-4'!$I$15:$N$123,Q131+1,R131)</f>
        <v>* group[=].element[=].target.code = #Observation.extension:comorbidConditionPresent</v>
      </c>
    </row>
    <row r="132" spans="16:19">
      <c r="P132" s="11">
        <v>118</v>
      </c>
      <c r="Q132" s="11">
        <f t="shared" si="15"/>
        <v>19</v>
      </c>
      <c r="R132" s="11">
        <f t="shared" si="16"/>
        <v>4</v>
      </c>
      <c r="S132" s="12" t="str" cm="1">
        <f t="array" ref="S132">INDEX('Subject-ConceptMap-4'!$I$15:$N$123,Q132+1,R132)</f>
        <v>* group[=].element[=].target.display = ##34###34#</v>
      </c>
    </row>
    <row r="133" spans="16:19">
      <c r="P133" s="11">
        <v>119</v>
      </c>
      <c r="Q133" s="11">
        <f t="shared" si="15"/>
        <v>19</v>
      </c>
      <c r="R133" s="11">
        <f t="shared" si="16"/>
        <v>5</v>
      </c>
      <c r="S133" s="12" t="str" cm="1">
        <f t="array" ref="S133">INDEX('Subject-ConceptMap-4'!$I$15:$N$123,Q133+1,R133)</f>
        <v>* group[=].element[=].target.equivalence = #equivalent</v>
      </c>
    </row>
    <row r="134" spans="16:19">
      <c r="P134" s="11">
        <v>120</v>
      </c>
      <c r="Q134" s="11">
        <f t="shared" si="15"/>
        <v>19</v>
      </c>
      <c r="R134" s="11">
        <f t="shared" si="16"/>
        <v>6</v>
      </c>
      <c r="S134" s="12" t="str" cm="1">
        <f t="array" ref="S134">INDEX('Subject-ConceptMap-4'!$I$15:$N$123,Q134+1,R134)</f>
        <v/>
      </c>
    </row>
    <row r="135" spans="16:19">
      <c r="P135" s="11">
        <v>121</v>
      </c>
      <c r="Q135" s="11">
        <f t="shared" si="15"/>
        <v>20</v>
      </c>
      <c r="R135" s="11">
        <f t="shared" si="16"/>
        <v>1</v>
      </c>
      <c r="S135" s="12" t="str" cm="1">
        <f t="array" ref="S135">INDEX('Subject-ConceptMap-4'!$I$15:$N$123,Q135+1,R135)</f>
        <v>* group[=].element[+].code = #Subject.comorbidity.aids</v>
      </c>
    </row>
    <row r="136" spans="16:19">
      <c r="P136" s="11">
        <v>122</v>
      </c>
      <c r="Q136" s="11">
        <f t="shared" si="15"/>
        <v>20</v>
      </c>
      <c r="R136" s="11">
        <f t="shared" si="16"/>
        <v>2</v>
      </c>
      <c r="S136" s="12" t="str" cm="1">
        <f t="array" ref="S136">INDEX('Subject-ConceptMap-4'!$I$15:$N$123,Q136+1,R136)</f>
        <v>* group[=].element[=].display = ##34#AIDS##34#</v>
      </c>
    </row>
    <row r="137" spans="16:19" ht="29.5">
      <c r="P137" s="11">
        <v>123</v>
      </c>
      <c r="Q137" s="11">
        <f t="shared" si="15"/>
        <v>20</v>
      </c>
      <c r="R137" s="11">
        <f t="shared" si="16"/>
        <v>3</v>
      </c>
      <c r="S137" s="12" t="str" cm="1">
        <f t="array" ref="S137">INDEX('Subject-ConceptMap-4'!$I$15:$N$123,Q137+1,R137)</f>
        <v>* group[=].element[=].target.code = #Observation.extension:comorbidConditionPresent</v>
      </c>
    </row>
    <row r="138" spans="16:19">
      <c r="P138" s="11">
        <v>124</v>
      </c>
      <c r="Q138" s="11">
        <f t="shared" si="15"/>
        <v>20</v>
      </c>
      <c r="R138" s="11">
        <f t="shared" si="16"/>
        <v>4</v>
      </c>
      <c r="S138" s="12" t="str" cm="1">
        <f t="array" ref="S138">INDEX('Subject-ConceptMap-4'!$I$15:$N$123,Q138+1,R138)</f>
        <v>* group[=].element[=].target.display = ##34###34#</v>
      </c>
    </row>
    <row r="139" spans="16:19">
      <c r="P139" s="11">
        <v>125</v>
      </c>
      <c r="Q139" s="11">
        <f t="shared" si="15"/>
        <v>20</v>
      </c>
      <c r="R139" s="11">
        <f t="shared" si="16"/>
        <v>5</v>
      </c>
      <c r="S139" s="12" t="str" cm="1">
        <f t="array" ref="S139">INDEX('Subject-ConceptMap-4'!$I$15:$N$123,Q139+1,R139)</f>
        <v>* group[=].element[=].target.equivalence = #equivalent</v>
      </c>
    </row>
    <row r="140" spans="16:19">
      <c r="P140" s="11">
        <v>126</v>
      </c>
      <c r="Q140" s="11">
        <f t="shared" si="15"/>
        <v>20</v>
      </c>
      <c r="R140" s="11">
        <f t="shared" si="16"/>
        <v>6</v>
      </c>
      <c r="S140" s="12" t="str" cm="1">
        <f t="array" ref="S140">INDEX('Subject-ConceptMap-4'!$I$15:$N$123,Q140+1,R140)</f>
        <v/>
      </c>
    </row>
    <row r="141" spans="16:19">
      <c r="P141" s="11">
        <v>127</v>
      </c>
      <c r="Q141" s="11">
        <f t="shared" si="15"/>
        <v>21</v>
      </c>
      <c r="R141" s="11">
        <f t="shared" si="16"/>
        <v>1</v>
      </c>
      <c r="S141" s="12" cm="1">
        <f t="array" ref="S141">INDEX('Subject-ConceptMap-4'!$I$15:$N$123,Q141+1,R141)</f>
        <v>0</v>
      </c>
    </row>
    <row r="142" spans="16:19">
      <c r="P142" s="11">
        <v>128</v>
      </c>
      <c r="Q142" s="11">
        <f t="shared" si="15"/>
        <v>21</v>
      </c>
      <c r="R142" s="11">
        <f t="shared" si="16"/>
        <v>2</v>
      </c>
      <c r="S142" s="12" cm="1">
        <f t="array" ref="S142">INDEX('Subject-ConceptMap-4'!$I$15:$N$123,Q142+1,R142)</f>
        <v>0</v>
      </c>
    </row>
    <row r="143" spans="16:19">
      <c r="P143" s="11">
        <v>129</v>
      </c>
      <c r="Q143" s="11">
        <f t="shared" si="15"/>
        <v>21</v>
      </c>
      <c r="R143" s="11">
        <f t="shared" si="16"/>
        <v>3</v>
      </c>
      <c r="S143" s="12" cm="1">
        <f t="array" ref="S143">INDEX('Subject-ConceptMap-4'!$I$15:$N$123,Q143+1,R143)</f>
        <v>0</v>
      </c>
    </row>
    <row r="144" spans="16:19">
      <c r="P144" s="11">
        <v>130</v>
      </c>
      <c r="Q144" s="11">
        <f t="shared" ref="Q144:Q161" si="17">IF(MOD(P144,$Q$8)=0,P144/$Q$8-1,INT(P144/$Q$8))</f>
        <v>21</v>
      </c>
      <c r="R144" s="11">
        <f t="shared" ref="R144:R161" si="18">IF(MOD(P144,$Q$8)=0,$Q$8,MOD(P144,$Q$8))</f>
        <v>4</v>
      </c>
      <c r="S144" s="12" cm="1">
        <f t="array" ref="S144">INDEX('Subject-ConceptMap-4'!$I$15:$N$123,Q144+1,R144)</f>
        <v>0</v>
      </c>
    </row>
    <row r="145" spans="16:19">
      <c r="P145" s="11">
        <v>131</v>
      </c>
      <c r="Q145" s="11">
        <f t="shared" si="17"/>
        <v>21</v>
      </c>
      <c r="R145" s="11">
        <f t="shared" si="18"/>
        <v>5</v>
      </c>
      <c r="S145" s="12" cm="1">
        <f t="array" ref="S145">INDEX('Subject-ConceptMap-4'!$I$15:$N$123,Q145+1,R145)</f>
        <v>0</v>
      </c>
    </row>
    <row r="146" spans="16:19">
      <c r="P146" s="11">
        <v>132</v>
      </c>
      <c r="Q146" s="11">
        <f t="shared" si="17"/>
        <v>21</v>
      </c>
      <c r="R146" s="11">
        <f t="shared" si="18"/>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7"/>
        <v>22</v>
      </c>
      <c r="R152" s="11">
        <f t="shared" si="18"/>
        <v>6</v>
      </c>
      <c r="S152" s="12" cm="1">
        <f t="array" ref="S152">INDEX('Subject-ConceptMap-4'!$I$15:$N$123,Q152+1,R152)</f>
        <v>0</v>
      </c>
    </row>
    <row r="153" spans="16:19">
      <c r="P153" s="11">
        <v>139</v>
      </c>
      <c r="Q153" s="11">
        <f t="shared" si="17"/>
        <v>23</v>
      </c>
      <c r="R153" s="11">
        <f t="shared" si="18"/>
        <v>1</v>
      </c>
      <c r="S153" s="12" cm="1">
        <f t="array" ref="S153">INDEX('Subject-ConceptMap-4'!$I$15:$N$123,Q153+1,R153)</f>
        <v>0</v>
      </c>
    </row>
    <row r="154" spans="16:19">
      <c r="P154" s="11">
        <v>140</v>
      </c>
      <c r="Q154" s="11">
        <f t="shared" si="17"/>
        <v>23</v>
      </c>
      <c r="R154" s="11">
        <f t="shared" si="18"/>
        <v>2</v>
      </c>
      <c r="S154" s="12" cm="1">
        <f t="array" ref="S154">INDEX('Subject-ConceptMap-4'!$I$15:$N$123,Q154+1,R154)</f>
        <v>0</v>
      </c>
    </row>
    <row r="155" spans="16:19">
      <c r="P155" s="11">
        <v>141</v>
      </c>
      <c r="Q155" s="11">
        <f t="shared" si="17"/>
        <v>23</v>
      </c>
      <c r="R155" s="11">
        <f t="shared" si="18"/>
        <v>3</v>
      </c>
      <c r="S155" s="12" cm="1">
        <f t="array" ref="S155">INDEX('Subject-ConceptMap-4'!$I$15:$N$123,Q155+1,R155)</f>
        <v>0</v>
      </c>
    </row>
    <row r="156" spans="16:19">
      <c r="P156" s="11">
        <v>142</v>
      </c>
      <c r="Q156" s="11">
        <f t="shared" si="17"/>
        <v>23</v>
      </c>
      <c r="R156" s="11">
        <f t="shared" si="18"/>
        <v>4</v>
      </c>
      <c r="S156" s="12" cm="1">
        <f t="array" ref="S156">INDEX('Subject-ConceptMap-4'!$I$15:$N$123,Q156+1,R156)</f>
        <v>0</v>
      </c>
    </row>
    <row r="157" spans="16:19">
      <c r="P157" s="11">
        <v>143</v>
      </c>
      <c r="Q157" s="11">
        <f t="shared" si="17"/>
        <v>23</v>
      </c>
      <c r="R157" s="11">
        <f t="shared" si="18"/>
        <v>5</v>
      </c>
      <c r="S157" s="12" cm="1">
        <f t="array" ref="S157">INDEX('Subject-ConceptMap-4'!$I$15:$N$123,Q157+1,R157)</f>
        <v>0</v>
      </c>
    </row>
    <row r="158" spans="16:19">
      <c r="P158" s="11">
        <v>144</v>
      </c>
      <c r="Q158" s="11">
        <f t="shared" si="17"/>
        <v>23</v>
      </c>
      <c r="R158" s="11">
        <f t="shared" si="18"/>
        <v>6</v>
      </c>
      <c r="S158" s="12" cm="1">
        <f t="array" ref="S158">INDEX('Subject-ConceptMap-4'!$I$15:$N$123,Q158+1,R158)</f>
        <v>0</v>
      </c>
    </row>
    <row r="159" spans="16:19">
      <c r="P159" s="11">
        <v>145</v>
      </c>
      <c r="Q159" s="11">
        <f t="shared" si="17"/>
        <v>24</v>
      </c>
      <c r="R159" s="11">
        <f t="shared" si="18"/>
        <v>1</v>
      </c>
      <c r="S159" s="12" cm="1">
        <f t="array" ref="S159">INDEX('Subject-ConceptMap-4'!$I$15:$N$123,Q159+1,R159)</f>
        <v>0</v>
      </c>
    </row>
    <row r="160" spans="16:19">
      <c r="P160" s="11">
        <v>146</v>
      </c>
      <c r="Q160" s="11">
        <f t="shared" si="17"/>
        <v>24</v>
      </c>
      <c r="R160" s="11">
        <f t="shared" si="18"/>
        <v>2</v>
      </c>
      <c r="S160" s="12" cm="1">
        <f t="array" ref="S160">INDEX('Subject-ConceptMap-4'!$I$15:$N$123,Q160+1,R160)</f>
        <v>0</v>
      </c>
    </row>
    <row r="161" spans="16:19">
      <c r="P161" s="11">
        <v>147</v>
      </c>
      <c r="Q161" s="11">
        <f t="shared" si="17"/>
        <v>24</v>
      </c>
      <c r="R161" s="11">
        <f t="shared" si="18"/>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S60" sqref="S60:S7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18" t="s">
        <v>1824</v>
      </c>
    </row>
    <row r="5" spans="1:19">
      <c r="B5" s="62" t="s">
        <v>10</v>
      </c>
      <c r="C5" s="128" t="s">
        <v>1863</v>
      </c>
      <c r="D5" s="62"/>
      <c r="E5" s="7"/>
    </row>
    <row r="6" spans="1:19">
      <c r="B6" s="62" t="s">
        <v>18</v>
      </c>
      <c r="C6" s="129"/>
      <c r="D6" s="62" t="s">
        <v>1788</v>
      </c>
      <c r="E6" s="168" t="str">
        <f>E3</f>
        <v>http://hl7.eu/fhir/ig/idea4rc/StructureDefinition/Subject</v>
      </c>
      <c r="F6" s="169"/>
      <c r="G6" s="169"/>
    </row>
    <row r="7" spans="1:19">
      <c r="B7" s="62" t="s">
        <v>15</v>
      </c>
      <c r="C7" s="130"/>
      <c r="D7" s="62" t="s">
        <v>1789</v>
      </c>
      <c r="E7" s="168" t="s">
        <v>1879</v>
      </c>
      <c r="F7" s="169"/>
      <c r="G7" s="169"/>
    </row>
    <row r="8" spans="1:19" ht="44.25">
      <c r="B8" s="62" t="s">
        <v>1790</v>
      </c>
      <c r="C8" s="103" t="s">
        <v>1863</v>
      </c>
      <c r="D8" s="62"/>
      <c r="E8" s="7"/>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1870</v>
      </c>
      <c r="E14" s="6"/>
      <c r="F14" s="64"/>
      <c r="G14" s="64"/>
      <c r="I14" s="12"/>
      <c r="J14" s="11"/>
      <c r="K14" s="11"/>
      <c r="L14" s="11"/>
      <c r="M14" s="63"/>
      <c r="N14" s="66"/>
    </row>
    <row r="15" spans="1:19" ht="44.25">
      <c r="A15" s="59"/>
      <c r="B15" s="11" t="str">
        <f>Subject!B40</f>
        <v>karnofsyIndexAtDiagnosis</v>
      </c>
      <c r="C15" s="11" t="str">
        <f>Subject!C40</f>
        <v>Karnofsy index at diagnosis</v>
      </c>
      <c r="D15" s="12" t="s">
        <v>1880</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INDEX('Subject-ConceptMap-5-8'!$I$15:$N$17,Q18+1,R18)</f>
        <v>* group[=].element[=].target.display = ##34###34#</v>
      </c>
    </row>
    <row r="19" spans="1:19">
      <c r="A19" s="59"/>
      <c r="B19" s="110"/>
      <c r="C19" s="110"/>
      <c r="D19" s="135" t="s">
        <v>1788</v>
      </c>
      <c r="E19" s="136" t="str">
        <f>$E$3</f>
        <v>http://hl7.eu/fhir/ig/idea4rc/StructureDefinition/Subject</v>
      </c>
      <c r="F19" s="137"/>
      <c r="G19" s="138"/>
      <c r="H19" s="58"/>
      <c r="I19" s="138"/>
      <c r="J19" s="138"/>
      <c r="K19" s="138"/>
      <c r="L19" s="138"/>
      <c r="M19" s="138"/>
      <c r="N19" s="12" t="str">
        <f t="shared" si="4"/>
        <v/>
      </c>
      <c r="P19" s="11">
        <v>5</v>
      </c>
      <c r="Q19" s="11">
        <f t="shared" si="5"/>
        <v>0</v>
      </c>
      <c r="R19" s="11">
        <f t="shared" si="6"/>
        <v>5</v>
      </c>
      <c r="S19" s="12" t="str" cm="1">
        <f t="array" ref="S19">INDEX('Subject-ConceptMap-5-8'!$I$15:$N$17,Q19+1,R19)</f>
        <v>* group[=].element[=].target.equivalence = #equal</v>
      </c>
    </row>
    <row r="20" spans="1:19" ht="44.25" customHeight="1">
      <c r="A20" s="59"/>
      <c r="B20" s="110"/>
      <c r="C20" s="110"/>
      <c r="D20" s="135" t="s">
        <v>1789</v>
      </c>
      <c r="E20" s="136" t="s">
        <v>1881</v>
      </c>
      <c r="F20" s="137"/>
      <c r="G20" s="138"/>
      <c r="H20" s="58"/>
      <c r="I20" s="138"/>
      <c r="J20" s="138"/>
      <c r="K20" s="138"/>
      <c r="L20" s="138"/>
      <c r="M20" s="138"/>
      <c r="N20" s="12" t="str">
        <f t="shared" si="4"/>
        <v/>
      </c>
      <c r="P20" s="11">
        <v>6</v>
      </c>
      <c r="Q20" s="11">
        <f t="shared" si="5"/>
        <v>0</v>
      </c>
      <c r="R20" s="11">
        <f t="shared" si="6"/>
        <v>6</v>
      </c>
      <c r="S20" s="12" t="str" cm="1">
        <f t="array" ref="S20">INDEX('Subject-ConceptMap-5-8'!$I$15:$N$17,Q20+1,R20)</f>
        <v/>
      </c>
    </row>
    <row r="21" spans="1:19" ht="44.25" customHeight="1">
      <c r="A21" s="59"/>
      <c r="B21" s="110"/>
      <c r="C21" s="110"/>
      <c r="D21" s="135"/>
      <c r="E21" s="136"/>
      <c r="F21" s="137"/>
      <c r="G21" s="138"/>
      <c r="H21" s="58"/>
      <c r="I21" s="138"/>
      <c r="J21" s="138"/>
      <c r="K21" s="138"/>
      <c r="L21" s="138"/>
      <c r="M21" s="138"/>
      <c r="N21" s="12"/>
      <c r="P21" s="110"/>
      <c r="Q21" s="110"/>
      <c r="R21" s="110"/>
      <c r="S21" s="111"/>
    </row>
    <row r="22" spans="1:19" ht="88.5" customHeight="1">
      <c r="A22" s="59"/>
      <c r="B22" s="11" t="str">
        <f>Subject!B39</f>
        <v>ecogPsAtDiagnosis</v>
      </c>
      <c r="C22" s="12" t="str">
        <f>Subject!C39</f>
        <v>Eastern Cooperative Oncology Group performance status (ECOG PS)  at diagnosis</v>
      </c>
      <c r="D22" s="12" t="s">
        <v>2021</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INDEX('Subject-ConceptMap-5-8'!$I$22:$N$39,Q27+1,R27)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INDEX('Subject-ConceptMap-5-8'!$I$22:$N$39,Q28+1,R28)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INDEX('Subject-ConceptMap-5-8'!$I$22:$N$39,Q29+1,R29)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INDEX('Subject-ConceptMap-5-8'!$I$22:$N$39,Q30+1,R30)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INDEX('Subject-ConceptMap-5-8'!$I$22:$N$39,Q31+1,R31)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INDEX('Subject-ConceptMap-5-8'!$I$22:$N$39,Q32+1,R32)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INDEX('Subject-ConceptMap-5-8'!$I$22:$N$39,Q33+1,R33)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INDEX('Subject-ConceptMap-5-8'!$I$22:$N$39,Q34+1,R34)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INDEX('Subject-ConceptMap-5-8'!$I$22:$N$39,Q35+1,R35)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INDEX('Subject-ConceptMap-5-8'!$I$22:$N$39,Q36+1,R36)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c r="A40" s="59"/>
      <c r="B40" s="110"/>
      <c r="C40" s="110"/>
      <c r="D40" s="135" t="s">
        <v>1788</v>
      </c>
      <c r="E40" s="136" t="str">
        <f>$E$3</f>
        <v>http://hl7.eu/fhir/ig/idea4rc/StructureDefinition/Subject</v>
      </c>
      <c r="F40" s="137"/>
      <c r="G40" s="138"/>
      <c r="H40" s="58"/>
      <c r="I40" s="138"/>
      <c r="J40" s="138"/>
      <c r="K40" s="138"/>
      <c r="L40" s="138"/>
      <c r="M40" s="138"/>
      <c r="N40" s="12" t="str">
        <f t="shared" ref="N40:N42" si="12">IF(G40&lt;&gt;"",CONCATENATE("* group[=].element[=].target.comment = ","##34#",G40,"##34#"),"")</f>
        <v/>
      </c>
      <c r="P40" s="11"/>
      <c r="Q40" s="11"/>
      <c r="R40" s="11"/>
      <c r="S40" s="12"/>
    </row>
    <row r="41" spans="1:19" ht="44.25" customHeight="1">
      <c r="A41" s="59"/>
      <c r="B41" s="110"/>
      <c r="C41" s="110"/>
      <c r="D41" s="135" t="s">
        <v>1789</v>
      </c>
      <c r="E41" s="136" t="s">
        <v>2470</v>
      </c>
      <c r="F41" s="137"/>
      <c r="G41" s="138"/>
      <c r="H41" s="58"/>
      <c r="I41" s="138"/>
      <c r="J41" s="138"/>
      <c r="K41" s="138"/>
      <c r="L41" s="138"/>
      <c r="M41" s="138"/>
      <c r="N41" s="12" t="str">
        <f t="shared" si="12"/>
        <v/>
      </c>
      <c r="P41" s="11"/>
      <c r="Q41" s="11"/>
      <c r="R41" s="11"/>
      <c r="S41" s="12"/>
    </row>
    <row r="42" spans="1:19" ht="44.25" customHeight="1">
      <c r="A42" s="59"/>
      <c r="B42" s="110"/>
      <c r="C42" s="110"/>
      <c r="D42" s="135"/>
      <c r="E42" s="136"/>
      <c r="F42" s="137"/>
      <c r="G42" s="138"/>
      <c r="H42" s="58"/>
      <c r="I42" s="138"/>
      <c r="J42" s="138"/>
      <c r="K42" s="138"/>
      <c r="L42" s="138"/>
      <c r="M42" s="138"/>
      <c r="N42" s="12"/>
      <c r="P42" s="110"/>
      <c r="Q42" s="110"/>
      <c r="R42" s="110"/>
      <c r="S42" s="111"/>
    </row>
    <row r="43" spans="1:19" s="2" customFormat="1" ht="44.25">
      <c r="A43"/>
      <c r="B43" s="11" t="str">
        <f>Subject!B17</f>
        <v>charlsonComorbidityIndex</v>
      </c>
      <c r="C43" s="11" t="str">
        <f>Subject!C17</f>
        <v>Charlson Comorbidity index</v>
      </c>
      <c r="D43" s="12" t="s">
        <v>1880</v>
      </c>
      <c r="E43" s="12"/>
      <c r="F43" s="64" t="s">
        <v>1430</v>
      </c>
      <c r="G43" s="58"/>
      <c r="H43" s="58"/>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66"/>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c r="A44"/>
      <c r="B44" s="11"/>
      <c r="C44" s="12"/>
      <c r="F44" s="64"/>
      <c r="G44" s="58"/>
      <c r="H44" s="58"/>
      <c r="J44" s="58"/>
      <c r="K44" s="58"/>
      <c r="L44" s="58"/>
      <c r="M44" s="66"/>
      <c r="N44" s="66"/>
      <c r="P44" s="11">
        <v>2</v>
      </c>
      <c r="Q44" s="11">
        <f t="shared" si="18"/>
        <v>0</v>
      </c>
      <c r="R44" s="11">
        <f t="shared" si="19"/>
        <v>2</v>
      </c>
      <c r="S44" s="12" t="str" cm="1">
        <f t="array" ref="S44">INDEX('Subject-ConceptMap-5-8'!$I$43:$N$56,Q44+1,R44)</f>
        <v>* group[=].element[=].display = ##34#Charlson Comorbidity index##34#</v>
      </c>
    </row>
    <row r="45" spans="1:19">
      <c r="B45" s="11"/>
      <c r="C45" s="12"/>
      <c r="F45" s="64"/>
      <c r="P45" s="11">
        <v>3</v>
      </c>
      <c r="Q45" s="11">
        <f t="shared" si="18"/>
        <v>0</v>
      </c>
      <c r="R45" s="11">
        <f t="shared" si="19"/>
        <v>3</v>
      </c>
      <c r="S45" s="12" t="str" cm="1">
        <f t="array" ref="S45">INDEX('Subject-ConceptMap-5-8'!$I$43:$N$56,Q45+1,R45)</f>
        <v>* group[=].element[=].target.code = #Observation.valueInteger</v>
      </c>
    </row>
    <row r="46" spans="1:19">
      <c r="B46" s="11"/>
      <c r="C46" s="12"/>
      <c r="F46" s="64"/>
      <c r="P46" s="11">
        <v>4</v>
      </c>
      <c r="Q46" s="11">
        <f t="shared" si="18"/>
        <v>0</v>
      </c>
      <c r="R46" s="11">
        <f t="shared" si="19"/>
        <v>4</v>
      </c>
      <c r="S46" s="12" t="str" cm="1">
        <f t="array" ref="S46">INDEX('Subject-ConceptMap-5-8'!$I$43:$N$56,Q46+1,R46)</f>
        <v>* group[=].element[=].target.display = ##34###34#</v>
      </c>
    </row>
    <row r="47" spans="1:19">
      <c r="B47" s="11"/>
      <c r="C47" s="12"/>
      <c r="P47" s="11">
        <v>5</v>
      </c>
      <c r="Q47" s="11">
        <f t="shared" si="18"/>
        <v>0</v>
      </c>
      <c r="R47" s="11">
        <f t="shared" si="19"/>
        <v>5</v>
      </c>
      <c r="S47" s="12" t="str" cm="1">
        <f t="array" ref="S47">INDEX('Subject-ConceptMap-5-8'!$I$43:$N$56,Q47+1,R47)</f>
        <v>* group[=].element[=].target.equivalence = #equal</v>
      </c>
    </row>
    <row r="48" spans="1:19">
      <c r="B48" s="11"/>
      <c r="C48" s="12"/>
      <c r="P48" s="11">
        <v>6</v>
      </c>
      <c r="Q48" s="11">
        <f t="shared" si="18"/>
        <v>0</v>
      </c>
      <c r="R48" s="11">
        <f t="shared" si="19"/>
        <v>6</v>
      </c>
      <c r="S48" s="12" cm="1">
        <f t="array" ref="S48">INDEX('Subject-ConceptMap-5-8'!$I$43:$N$56,Q48+1,R48)</f>
        <v>0</v>
      </c>
    </row>
    <row r="49" spans="1:19">
      <c r="P49" s="11">
        <v>7</v>
      </c>
      <c r="Q49" s="11">
        <f t="shared" si="18"/>
        <v>1</v>
      </c>
      <c r="R49" s="11">
        <f t="shared" si="19"/>
        <v>1</v>
      </c>
      <c r="S49" s="12" cm="1">
        <f t="array" ref="S49">INDEX('Subject-ConceptMap-5-8'!$I$43:$N$56,Q49+1,R49)</f>
        <v>0</v>
      </c>
    </row>
    <row r="50" spans="1:19">
      <c r="P50" s="11">
        <v>8</v>
      </c>
      <c r="Q50" s="11">
        <f t="shared" si="18"/>
        <v>1</v>
      </c>
      <c r="R50" s="11">
        <f t="shared" si="19"/>
        <v>2</v>
      </c>
      <c r="S50" s="12" cm="1">
        <f t="array" ref="S50">INDEX('Subject-ConceptMap-5-8'!$I$43:$N$56,Q50+1,R50)</f>
        <v>0</v>
      </c>
    </row>
    <row r="51" spans="1:19">
      <c r="P51" s="11">
        <v>9</v>
      </c>
      <c r="Q51" s="11">
        <f t="shared" si="18"/>
        <v>1</v>
      </c>
      <c r="R51" s="11">
        <f t="shared" si="19"/>
        <v>3</v>
      </c>
      <c r="S51" s="12" cm="1">
        <f t="array" ref="S51">INDEX('Subject-ConceptMap-5-8'!$I$43:$N$56,Q51+1,R51)</f>
        <v>0</v>
      </c>
    </row>
    <row r="52" spans="1:19">
      <c r="P52" s="11">
        <v>10</v>
      </c>
      <c r="Q52" s="11">
        <f t="shared" si="18"/>
        <v>1</v>
      </c>
      <c r="R52" s="11">
        <f t="shared" si="19"/>
        <v>4</v>
      </c>
      <c r="S52" s="12" cm="1">
        <f t="array" ref="S52">INDEX('Subject-ConceptMap-5-8'!$I$43:$N$56,Q52+1,R52)</f>
        <v>0</v>
      </c>
    </row>
    <row r="53" spans="1:19">
      <c r="P53" s="11">
        <v>11</v>
      </c>
      <c r="Q53" s="11">
        <f t="shared" si="18"/>
        <v>1</v>
      </c>
      <c r="R53" s="11">
        <f t="shared" si="19"/>
        <v>5</v>
      </c>
      <c r="S53" s="12" cm="1">
        <f t="array" ref="S53">INDEX('Subject-ConceptMap-5-8'!$I$43:$N$56,Q53+1,R53)</f>
        <v>0</v>
      </c>
    </row>
    <row r="54" spans="1:19">
      <c r="P54" s="11">
        <v>12</v>
      </c>
      <c r="Q54" s="11">
        <f t="shared" si="18"/>
        <v>1</v>
      </c>
      <c r="R54" s="11">
        <f t="shared" si="19"/>
        <v>6</v>
      </c>
      <c r="S54" s="12" cm="1">
        <f t="array" ref="S54">INDEX('Subject-ConceptMap-5-8'!$I$43:$N$56,Q54+1,R54)</f>
        <v>0</v>
      </c>
    </row>
    <row r="55" spans="1:19">
      <c r="P55" s="11"/>
      <c r="Q55" s="11"/>
      <c r="R55" s="11"/>
      <c r="S55" s="12"/>
    </row>
    <row r="56" spans="1:19">
      <c r="P56" s="11"/>
      <c r="Q56" s="11"/>
      <c r="R56" s="11"/>
      <c r="S56" s="12"/>
    </row>
    <row r="57" spans="1:19">
      <c r="A57" s="59"/>
      <c r="B57" s="110"/>
      <c r="C57" s="110"/>
      <c r="D57" s="135" t="s">
        <v>1788</v>
      </c>
      <c r="E57" s="136" t="str">
        <f>$E$3</f>
        <v>http://hl7.eu/fhir/ig/idea4rc/StructureDefinition/Subject</v>
      </c>
      <c r="F57" s="137"/>
      <c r="G57" s="138"/>
      <c r="H57" s="58"/>
      <c r="I57" s="138"/>
      <c r="J57" s="138"/>
      <c r="K57" s="138"/>
      <c r="L57" s="138"/>
      <c r="M57" s="138"/>
      <c r="N57" s="12" t="str">
        <f t="shared" ref="N57:N59" si="20">IF(G57&lt;&gt;"",CONCATENATE("* group[=].element[=].target.comment = ","##34#",G57,"##34#"),"")</f>
        <v/>
      </c>
      <c r="P57" s="11"/>
      <c r="Q57" s="11"/>
      <c r="R57" s="11"/>
      <c r="S57" s="12"/>
    </row>
    <row r="58" spans="1:19" ht="44.25" customHeight="1">
      <c r="A58" s="59"/>
      <c r="B58" s="110"/>
      <c r="C58" s="110"/>
      <c r="D58" s="135" t="s">
        <v>1789</v>
      </c>
      <c r="E58" s="136" t="s">
        <v>2471</v>
      </c>
      <c r="F58" s="137"/>
      <c r="G58" s="138"/>
      <c r="H58" s="58"/>
      <c r="I58" s="138"/>
      <c r="J58" s="138"/>
      <c r="K58" s="138"/>
      <c r="L58" s="138"/>
      <c r="M58" s="138"/>
      <c r="N58" s="12" t="str">
        <f t="shared" si="20"/>
        <v/>
      </c>
      <c r="P58" s="11"/>
      <c r="Q58" s="11"/>
      <c r="R58" s="11"/>
      <c r="S58" s="12"/>
    </row>
    <row r="59" spans="1:19" ht="44.25" customHeight="1">
      <c r="A59" s="59"/>
      <c r="B59" s="110"/>
      <c r="C59" s="110"/>
      <c r="D59" s="135"/>
      <c r="E59" s="136"/>
      <c r="F59" s="137"/>
      <c r="G59" s="138"/>
      <c r="H59" s="58"/>
      <c r="I59" s="138"/>
      <c r="J59" s="138"/>
      <c r="K59" s="138"/>
      <c r="L59" s="138"/>
      <c r="M59" s="138"/>
      <c r="N59" s="12"/>
      <c r="P59" s="110"/>
      <c r="Q59" s="110"/>
      <c r="R59" s="110"/>
      <c r="S59" s="111"/>
    </row>
    <row r="60" spans="1:19" s="2" customFormat="1" ht="44.25">
      <c r="A60"/>
      <c r="B60" s="11" t="str">
        <f>Subject!B16</f>
        <v>bMI</v>
      </c>
      <c r="C60" s="11" t="str">
        <f>Subject!C16</f>
        <v xml:space="preserve">Height/weight (BMI)
</v>
      </c>
      <c r="D60" s="12" t="s">
        <v>2021</v>
      </c>
      <c r="E60" s="12"/>
      <c r="F60" s="64" t="s">
        <v>1430</v>
      </c>
      <c r="G60" s="58"/>
      <c r="H60" s="58"/>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66"/>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c r="A61"/>
      <c r="B61" s="11"/>
      <c r="C61" s="12"/>
      <c r="F61" s="64"/>
      <c r="G61" s="58"/>
      <c r="H61" s="58"/>
      <c r="J61" s="58"/>
      <c r="K61" s="58"/>
      <c r="L61" s="58"/>
      <c r="M61" s="66"/>
      <c r="N61" s="66"/>
      <c r="P61" s="11">
        <v>2</v>
      </c>
      <c r="Q61" s="11">
        <f t="shared" si="26"/>
        <v>0</v>
      </c>
      <c r="R61" s="11">
        <f t="shared" si="27"/>
        <v>2</v>
      </c>
      <c r="S61" s="12" t="str" cm="1">
        <f t="array" ref="S61">INDEX('Subject-ConceptMap-5-8'!$I$60:$N$71,Q61+1,R61)</f>
        <v>* group[=].element[=].display = ##34#Height/weight (BMI)
##34#</v>
      </c>
    </row>
    <row r="62" spans="1:19">
      <c r="B62" s="11"/>
      <c r="C62" s="12"/>
      <c r="F62" s="64"/>
      <c r="P62" s="11">
        <v>3</v>
      </c>
      <c r="Q62" s="11">
        <f t="shared" si="26"/>
        <v>0</v>
      </c>
      <c r="R62" s="11">
        <f t="shared" si="27"/>
        <v>3</v>
      </c>
      <c r="S62" s="12" t="str" cm="1">
        <f t="array" ref="S62">INDEX('Subject-ConceptMap-5-8'!$I$60:$N$71,Q62+1,R62)</f>
        <v>* group[=].element[=].target.code = #Observation.valueCodeableConcept</v>
      </c>
    </row>
    <row r="63" spans="1:19">
      <c r="B63" s="11"/>
      <c r="C63" s="12"/>
      <c r="F63" s="64"/>
      <c r="P63" s="11">
        <v>4</v>
      </c>
      <c r="Q63" s="11">
        <f t="shared" si="26"/>
        <v>0</v>
      </c>
      <c r="R63" s="11">
        <f t="shared" si="27"/>
        <v>4</v>
      </c>
      <c r="S63" s="12" t="str" cm="1">
        <f t="array" ref="S63">INDEX('Subject-ConceptMap-5-8'!$I$60:$N$71,Q63+1,R63)</f>
        <v>* group[=].element[=].target.display = ##34###34#</v>
      </c>
    </row>
    <row r="64" spans="1:19">
      <c r="B64" s="11"/>
      <c r="C64" s="12"/>
      <c r="P64" s="11">
        <v>5</v>
      </c>
      <c r="Q64" s="11">
        <f t="shared" si="26"/>
        <v>0</v>
      </c>
      <c r="R64" s="11">
        <f t="shared" si="27"/>
        <v>5</v>
      </c>
      <c r="S64" s="12" t="str" cm="1">
        <f t="array" ref="S64">INDEX('Subject-ConceptMap-5-8'!$I$60:$N$71,Q64+1,R64)</f>
        <v>* group[=].element[=].target.equivalence = #equal</v>
      </c>
    </row>
    <row r="65" spans="2:19">
      <c r="B65" s="11"/>
      <c r="C65" s="12"/>
      <c r="P65" s="11">
        <v>6</v>
      </c>
      <c r="Q65" s="11">
        <f t="shared" si="26"/>
        <v>0</v>
      </c>
      <c r="R65" s="11">
        <f t="shared" si="27"/>
        <v>6</v>
      </c>
      <c r="S65" s="12" cm="1">
        <f t="array" ref="S65">INDEX('Subject-ConceptMap-5-8'!$I$60:$N$71,Q65+1,R65)</f>
        <v>0</v>
      </c>
    </row>
    <row r="66" spans="2:19">
      <c r="P66" s="11">
        <v>7</v>
      </c>
      <c r="Q66" s="11">
        <f t="shared" si="26"/>
        <v>1</v>
      </c>
      <c r="R66" s="11">
        <f t="shared" si="27"/>
        <v>1</v>
      </c>
      <c r="S66" s="12" cm="1">
        <f t="array" ref="S66">INDEX('Subject-ConceptMap-5-8'!$I$60:$N$71,Q66+1,R66)</f>
        <v>0</v>
      </c>
    </row>
    <row r="67" spans="2:19">
      <c r="P67" s="11">
        <v>8</v>
      </c>
      <c r="Q67" s="11">
        <f t="shared" si="26"/>
        <v>1</v>
      </c>
      <c r="R67" s="11">
        <f t="shared" si="27"/>
        <v>2</v>
      </c>
      <c r="S67" s="12" cm="1">
        <f t="array" ref="S67">INDEX('Subject-ConceptMap-5-8'!$I$60:$N$71,Q67+1,R67)</f>
        <v>0</v>
      </c>
    </row>
    <row r="68" spans="2:19">
      <c r="P68" s="11">
        <v>9</v>
      </c>
      <c r="Q68" s="11">
        <f t="shared" si="26"/>
        <v>1</v>
      </c>
      <c r="R68" s="11">
        <f t="shared" si="27"/>
        <v>3</v>
      </c>
      <c r="S68" s="12" cm="1">
        <f t="array" ref="S68">INDEX('Subject-ConceptMap-5-8'!$I$60:$N$71,Q68+1,R68)</f>
        <v>0</v>
      </c>
    </row>
    <row r="69" spans="2:19">
      <c r="P69" s="11">
        <v>10</v>
      </c>
      <c r="Q69" s="11">
        <f t="shared" si="26"/>
        <v>1</v>
      </c>
      <c r="R69" s="11">
        <f t="shared" si="27"/>
        <v>4</v>
      </c>
      <c r="S69" s="12" cm="1">
        <f t="array" ref="S69">INDEX('Subject-ConceptMap-5-8'!$I$60:$N$71,Q69+1,R69)</f>
        <v>0</v>
      </c>
    </row>
    <row r="70" spans="2:19">
      <c r="P70" s="11">
        <v>11</v>
      </c>
      <c r="Q70" s="11">
        <f t="shared" si="26"/>
        <v>1</v>
      </c>
      <c r="R70" s="11">
        <f t="shared" si="27"/>
        <v>5</v>
      </c>
      <c r="S70" s="12" cm="1">
        <f t="array" ref="S70">INDEX('Subject-ConceptMap-5-8'!$I$60:$N$71,Q70+1,R70)</f>
        <v>0</v>
      </c>
    </row>
    <row r="71" spans="2:19">
      <c r="P71" s="11">
        <v>12</v>
      </c>
      <c r="Q71" s="11">
        <f t="shared" si="26"/>
        <v>1</v>
      </c>
      <c r="R71" s="11">
        <f t="shared" si="27"/>
        <v>6</v>
      </c>
      <c r="S71" s="12" cm="1">
        <f t="array" ref="S71">INDEX('Subject-ConceptMap-5-8'!$I$60:$N$71,Q71+1,R71)</f>
        <v>0</v>
      </c>
    </row>
    <row r="72" spans="2:19">
      <c r="P72" s="11"/>
      <c r="Q72" s="11"/>
      <c r="R72" s="11"/>
      <c r="S72" s="12"/>
    </row>
    <row r="73" spans="2:19">
      <c r="P73" s="11"/>
      <c r="Q73" s="11"/>
      <c r="R73" s="11"/>
      <c r="S73" s="12"/>
    </row>
    <row r="74" spans="2:19">
      <c r="P74" s="11"/>
      <c r="Q74" s="11"/>
      <c r="R74" s="11"/>
      <c r="S74" s="12"/>
    </row>
    <row r="75" spans="2:19">
      <c r="P75" s="11"/>
      <c r="Q75" s="11"/>
      <c r="R75" s="11"/>
      <c r="S75" s="12"/>
    </row>
    <row r="76" spans="2:19">
      <c r="P76" s="11"/>
      <c r="Q76" s="11"/>
      <c r="R76" s="11"/>
      <c r="S76" s="12"/>
    </row>
    <row r="77" spans="2:19">
      <c r="P77" s="11"/>
      <c r="Q77" s="11"/>
      <c r="R77" s="11"/>
      <c r="S77" s="12"/>
    </row>
    <row r="78" spans="2:19">
      <c r="P78" s="11"/>
      <c r="Q78" s="11"/>
      <c r="R78" s="11"/>
      <c r="S78" s="12"/>
    </row>
    <row r="79" spans="2:19">
      <c r="P79" s="11"/>
      <c r="Q79" s="11"/>
      <c r="R79" s="11"/>
      <c r="S79" s="12"/>
    </row>
    <row r="80" spans="2: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F17" sqref="F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1798</v>
      </c>
    </row>
    <row r="2" spans="1:19" ht="15.5" thickBot="1"/>
    <row r="3" spans="1:19" ht="15.5" thickBot="1">
      <c r="B3" s="62" t="s">
        <v>17</v>
      </c>
      <c r="C3" s="28" t="s">
        <v>1862</v>
      </c>
      <c r="D3" s="62" t="s">
        <v>1786</v>
      </c>
      <c r="E3" s="118" t="str">
        <f>$C$1&amp;Subject!B5</f>
        <v>http://hl7.eu/fhir/ig/idea4rc/StructureDefinition/Subject</v>
      </c>
    </row>
    <row r="4" spans="1:19">
      <c r="B4" s="62" t="s">
        <v>16</v>
      </c>
      <c r="C4" s="28" t="s">
        <v>1861</v>
      </c>
      <c r="D4" s="62" t="s">
        <v>1787</v>
      </c>
      <c r="E4" s="168" t="s">
        <v>1886</v>
      </c>
      <c r="F4" s="169"/>
      <c r="G4" s="169"/>
    </row>
    <row r="5" spans="1:19">
      <c r="B5" s="62" t="s">
        <v>10</v>
      </c>
      <c r="C5" s="128" t="s">
        <v>1863</v>
      </c>
      <c r="D5" s="62"/>
      <c r="E5" s="7"/>
    </row>
    <row r="6" spans="1:19">
      <c r="B6" s="62" t="s">
        <v>18</v>
      </c>
      <c r="C6" s="129"/>
      <c r="D6" s="62" t="s">
        <v>1788</v>
      </c>
      <c r="E6" s="168" t="str">
        <f>E3</f>
        <v>http://hl7.eu/fhir/ig/idea4rc/StructureDefinition/Subject</v>
      </c>
      <c r="F6" s="169"/>
      <c r="G6" s="169"/>
    </row>
    <row r="7" spans="1:19">
      <c r="B7" s="62" t="s">
        <v>15</v>
      </c>
      <c r="C7" s="130"/>
      <c r="D7" s="62" t="s">
        <v>1789</v>
      </c>
      <c r="E7" s="168" t="s">
        <v>1886</v>
      </c>
      <c r="F7" s="169"/>
      <c r="G7" s="169"/>
    </row>
    <row r="8" spans="1:19" ht="44.25">
      <c r="B8" s="62" t="s">
        <v>1790</v>
      </c>
      <c r="C8" s="103" t="s">
        <v>1863</v>
      </c>
      <c r="D8" s="62"/>
      <c r="E8"/>
      <c r="I8" s="12" t="s">
        <v>1402</v>
      </c>
      <c r="J8" s="12" t="s">
        <v>1403</v>
      </c>
      <c r="K8" s="12" t="s">
        <v>1404</v>
      </c>
      <c r="L8" s="12" t="s">
        <v>1405</v>
      </c>
      <c r="M8" s="11" t="s">
        <v>1406</v>
      </c>
      <c r="P8" s="49" t="s">
        <v>1441</v>
      </c>
      <c r="Q8" s="49">
        <v>6</v>
      </c>
    </row>
    <row r="9" spans="1:19">
      <c r="B9" s="62" t="s">
        <v>1791</v>
      </c>
      <c r="C9" s="12" t="s">
        <v>1864</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1866</v>
      </c>
      <c r="E15" s="12"/>
      <c r="F15" s="64" t="s">
        <v>1429</v>
      </c>
      <c r="G15" s="124" t="s">
        <v>1865</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c r="B16" s="11" t="str">
        <f>Subject!B41</f>
        <v>noGeneticSyndromeWho2020</v>
      </c>
      <c r="C16" s="12" t="str">
        <f>Subject!C41</f>
        <v xml:space="preserve">No Genetic syndrome WHO 2020 </v>
      </c>
      <c r="D16" s="12"/>
      <c r="E16" s="12"/>
      <c r="F16" s="64" t="s">
        <v>2333</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c r="B17" s="11" t="str">
        <f>Subject!B52</f>
        <v>otherGeneticSyndromeWho2020</v>
      </c>
      <c r="C17" s="12" t="str">
        <f>Subject!C52</f>
        <v xml:space="preserve">Other Genetic syndrome WHO 2020 </v>
      </c>
      <c r="D17" s="12"/>
      <c r="E17" s="12"/>
      <c r="F17" s="64" t="s">
        <v>1424</v>
      </c>
      <c r="G17" s="11"/>
      <c r="I17" s="12" t="str">
        <f t="shared" si="7"/>
        <v>* group[=].element[+].code = #Subject.otherGeneticSyndromeWho2020</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c r="B18" s="11" t="str">
        <f>Subject!B53</f>
        <v>occurrenceOfOtherCancer</v>
      </c>
      <c r="C18" s="12" t="str">
        <f>Subject!C53</f>
        <v>Occurrence of other cancer</v>
      </c>
      <c r="D18" s="12"/>
      <c r="E18" s="12"/>
      <c r="F18" s="64" t="s">
        <v>1424</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c r="B19" s="11" t="str">
        <f>Subject!B54</f>
        <v>previousCancerTreatment</v>
      </c>
      <c r="C19" s="12" t="str">
        <f>Subject!C54</f>
        <v>Previous cancer treatment</v>
      </c>
      <c r="D19" s="12"/>
      <c r="E19" s="12"/>
      <c r="F19" s="64" t="s">
        <v>1424</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c r="B20" s="11" t="str">
        <f>Subject!B55</f>
        <v>lastContact</v>
      </c>
      <c r="C20" s="12" t="str">
        <f>Subject!C55</f>
        <v>Last Contact</v>
      </c>
      <c r="D20" s="12"/>
      <c r="E20" s="12"/>
      <c r="F20" s="64" t="s">
        <v>1424</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c r="I29" s="12"/>
      <c r="J29" s="12"/>
      <c r="K29" s="12"/>
      <c r="L29" s="12"/>
      <c r="M29" s="12"/>
      <c r="N29" s="12" t="str">
        <f t="shared" si="4"/>
        <v/>
      </c>
      <c r="P29" s="11">
        <v>27</v>
      </c>
      <c r="Q29" s="11">
        <f t="shared" si="5"/>
        <v>4</v>
      </c>
      <c r="R29" s="11">
        <f t="shared" si="6"/>
        <v>3</v>
      </c>
      <c r="S29" s="12" t="str" cm="1">
        <f t="array" ref="S29">INDEX('Subject-ConceptMap-9'!$I$15:$N$58,Q29+1,R29)</f>
        <v>//-- unmatched</v>
      </c>
    </row>
    <row r="30" spans="2:19">
      <c r="I30" s="12"/>
      <c r="J30" s="12"/>
      <c r="K30" s="12"/>
      <c r="L30" s="12"/>
      <c r="M30" s="12"/>
      <c r="N30" s="12" t="str">
        <f t="shared" si="4"/>
        <v/>
      </c>
      <c r="P30" s="11">
        <v>28</v>
      </c>
      <c r="Q30" s="11">
        <f t="shared" si="5"/>
        <v>4</v>
      </c>
      <c r="R30" s="11">
        <f t="shared" si="6"/>
        <v>4</v>
      </c>
      <c r="S30" s="12" t="str" cm="1">
        <f t="array" ref="S30">INDEX('Subject-ConceptMap-9'!$I$15:$N$58,Q30+1,R30)</f>
        <v>//-- unmatched</v>
      </c>
    </row>
    <row r="31" spans="2:19">
      <c r="P31" s="11">
        <v>29</v>
      </c>
      <c r="Q31" s="11">
        <f t="shared" si="5"/>
        <v>4</v>
      </c>
      <c r="R31" s="11">
        <f t="shared" si="6"/>
        <v>5</v>
      </c>
      <c r="S31" s="12" t="str" cm="1">
        <f t="array" ref="S31">INDEX('Subject-ConceptMap-9'!$I$15:$N$58,Q31+1,R31)</f>
        <v>* group[=].element[=].target.equivalence = #unmatched</v>
      </c>
    </row>
    <row r="32" spans="2:19">
      <c r="P32" s="11">
        <v>30</v>
      </c>
      <c r="Q32" s="11">
        <f t="shared" si="5"/>
        <v>4</v>
      </c>
      <c r="R32" s="11">
        <f t="shared" si="6"/>
        <v>6</v>
      </c>
      <c r="S32" s="12" t="str" cm="1">
        <f t="array" ref="S32">INDEX('Subject-ConceptMap-9'!$I$15:$N$58,Q32+1,R32)</f>
        <v/>
      </c>
    </row>
    <row r="33" spans="16:19">
      <c r="P33" s="11">
        <v>31</v>
      </c>
      <c r="Q33" s="11">
        <f t="shared" si="5"/>
        <v>5</v>
      </c>
      <c r="R33" s="11">
        <f t="shared" si="6"/>
        <v>1</v>
      </c>
      <c r="S33" s="12" t="str" cm="1">
        <f t="array" ref="S33">INDEX('Subject-ConceptMap-9'!$I$15:$N$58,Q33+1,R33)</f>
        <v>* group[=].element[+].code = #Subject.lastContact</v>
      </c>
    </row>
    <row r="34" spans="16:19">
      <c r="P34" s="11">
        <v>32</v>
      </c>
      <c r="Q34" s="11">
        <f t="shared" si="5"/>
        <v>5</v>
      </c>
      <c r="R34" s="11">
        <f t="shared" si="6"/>
        <v>2</v>
      </c>
      <c r="S34" s="12" t="str" cm="1">
        <f t="array" ref="S34">INDEX('Subject-ConceptMap-9'!$I$15:$N$58,Q34+1,R34)</f>
        <v>* group[=].element[=].display = ##34#Last Contact##34#</v>
      </c>
    </row>
    <row r="35" spans="16:19">
      <c r="P35" s="11">
        <v>33</v>
      </c>
      <c r="Q35" s="11">
        <f t="shared" si="5"/>
        <v>5</v>
      </c>
      <c r="R35" s="11">
        <f t="shared" si="6"/>
        <v>3</v>
      </c>
      <c r="S35" s="12" t="str" cm="1">
        <f t="array" ref="S35">INDEX('Subject-ConceptMap-9'!$I$15:$N$58,Q35+1,R35)</f>
        <v>//-- unmatched</v>
      </c>
    </row>
    <row r="36" spans="16:19">
      <c r="P36" s="11">
        <v>34</v>
      </c>
      <c r="Q36" s="11">
        <f t="shared" si="5"/>
        <v>5</v>
      </c>
      <c r="R36" s="11">
        <f t="shared" si="6"/>
        <v>4</v>
      </c>
      <c r="S36" s="12" t="str" cm="1">
        <f t="array" ref="S36">INDEX('Subject-ConceptMap-9'!$I$15:$N$58,Q36+1,R36)</f>
        <v>//-- unmatched</v>
      </c>
    </row>
    <row r="37" spans="16:19">
      <c r="P37" s="11">
        <v>35</v>
      </c>
      <c r="Q37" s="11">
        <f t="shared" si="5"/>
        <v>5</v>
      </c>
      <c r="R37" s="11">
        <f t="shared" si="6"/>
        <v>5</v>
      </c>
      <c r="S37" s="12" t="str" cm="1">
        <f t="array" ref="S37">INDEX('Subject-ConceptMap-9'!$I$15:$N$58,Q37+1,R37)</f>
        <v>* group[=].element[=].target.equivalence = #unmatched</v>
      </c>
    </row>
    <row r="38" spans="16:19">
      <c r="P38" s="11">
        <v>36</v>
      </c>
      <c r="Q38" s="11">
        <f t="shared" si="5"/>
        <v>5</v>
      </c>
      <c r="R38" s="11">
        <f t="shared" si="6"/>
        <v>6</v>
      </c>
      <c r="S38" s="12" t="str" cm="1">
        <f t="array" ref="S38">INDEX('Subject-ConceptMap-9'!$I$15:$N$58,Q38+1,R38)</f>
        <v/>
      </c>
    </row>
    <row r="39" spans="16:19">
      <c r="P39" s="11">
        <v>37</v>
      </c>
      <c r="Q39" s="11">
        <f t="shared" si="5"/>
        <v>6</v>
      </c>
      <c r="R39" s="11">
        <f t="shared" si="6"/>
        <v>1</v>
      </c>
      <c r="S39" s="12" cm="1">
        <f t="array" ref="S39">INDEX('Subject-ConceptMap-9'!$I$15:$N$58,Q39+1,R39)</f>
        <v>0</v>
      </c>
    </row>
    <row r="40" spans="16:19">
      <c r="P40" s="11">
        <v>38</v>
      </c>
      <c r="Q40" s="11">
        <f t="shared" si="5"/>
        <v>6</v>
      </c>
      <c r="R40" s="11">
        <f t="shared" si="6"/>
        <v>2</v>
      </c>
      <c r="S40" s="12" cm="1">
        <f t="array" ref="S40">INDEX('Subject-ConceptMap-9'!$I$15:$N$58,Q40+1,R40)</f>
        <v>0</v>
      </c>
    </row>
    <row r="41" spans="16:19">
      <c r="P41" s="11">
        <v>39</v>
      </c>
      <c r="Q41" s="11">
        <f t="shared" si="5"/>
        <v>6</v>
      </c>
      <c r="R41" s="11">
        <f t="shared" si="6"/>
        <v>3</v>
      </c>
      <c r="S41" s="12" cm="1">
        <f t="array" ref="S41">INDEX('Subject-ConceptMap-9'!$I$15:$N$58,Q41+1,R41)</f>
        <v>0</v>
      </c>
    </row>
    <row r="42" spans="16:19">
      <c r="P42" s="11">
        <v>40</v>
      </c>
      <c r="Q42" s="11">
        <f t="shared" si="5"/>
        <v>6</v>
      </c>
      <c r="R42" s="11">
        <f t="shared" si="6"/>
        <v>4</v>
      </c>
      <c r="S42" s="12" cm="1">
        <f t="array" ref="S42">INDEX('Subject-ConceptMap-9'!$I$15:$N$58,Q42+1,R42)</f>
        <v>0</v>
      </c>
    </row>
    <row r="43" spans="16:19">
      <c r="P43" s="11">
        <v>41</v>
      </c>
      <c r="Q43" s="11">
        <f t="shared" si="5"/>
        <v>6</v>
      </c>
      <c r="R43" s="11">
        <f t="shared" si="6"/>
        <v>5</v>
      </c>
      <c r="S43" s="12" cm="1">
        <f t="array" ref="S43">INDEX('Subject-ConceptMap-9'!$I$15:$N$58,Q43+1,R43)</f>
        <v>0</v>
      </c>
    </row>
    <row r="44" spans="16:19">
      <c r="P44" s="11">
        <v>42</v>
      </c>
      <c r="Q44" s="11">
        <f t="shared" si="5"/>
        <v>6</v>
      </c>
      <c r="R44" s="11">
        <f t="shared" si="6"/>
        <v>6</v>
      </c>
      <c r="S44" s="12" t="str" cm="1">
        <f t="array" ref="S44">INDEX('Subject-ConceptMap-9'!$I$15:$N$58,Q44+1,R44)</f>
        <v/>
      </c>
    </row>
    <row r="45" spans="16:19">
      <c r="P45" s="11">
        <v>43</v>
      </c>
      <c r="Q45" s="11">
        <f t="shared" si="5"/>
        <v>7</v>
      </c>
      <c r="R45" s="11">
        <f t="shared" si="6"/>
        <v>1</v>
      </c>
      <c r="S45" s="12" cm="1">
        <f t="array" ref="S45">INDEX('Subject-ConceptMap-9'!$I$15:$N$58,Q45+1,R45)</f>
        <v>0</v>
      </c>
    </row>
    <row r="46" spans="16:19">
      <c r="P46" s="11">
        <v>44</v>
      </c>
      <c r="Q46" s="11">
        <f t="shared" si="5"/>
        <v>7</v>
      </c>
      <c r="R46" s="11">
        <f t="shared" si="6"/>
        <v>2</v>
      </c>
      <c r="S46" s="12" cm="1">
        <f t="array" ref="S46">INDEX('Subject-ConceptMap-9'!$I$15:$N$58,Q46+1,R46)</f>
        <v>0</v>
      </c>
    </row>
    <row r="47" spans="16:19">
      <c r="P47" s="11">
        <v>45</v>
      </c>
      <c r="Q47" s="11">
        <f t="shared" si="5"/>
        <v>7</v>
      </c>
      <c r="R47" s="11">
        <f t="shared" si="6"/>
        <v>3</v>
      </c>
      <c r="S47" s="12" cm="1">
        <f t="array" ref="S47">INDEX('Subject-ConceptMap-9'!$I$15:$N$58,Q47+1,R47)</f>
        <v>0</v>
      </c>
    </row>
    <row r="48" spans="16:19">
      <c r="P48" s="11">
        <v>46</v>
      </c>
      <c r="Q48" s="11">
        <f t="shared" si="5"/>
        <v>7</v>
      </c>
      <c r="R48" s="11">
        <f t="shared" si="6"/>
        <v>4</v>
      </c>
      <c r="S48" s="12" cm="1">
        <f t="array" ref="S48">INDEX('Subject-ConceptMap-9'!$I$15:$N$58,Q48+1,R48)</f>
        <v>0</v>
      </c>
    </row>
    <row r="49" spans="16:19">
      <c r="P49" s="11">
        <v>47</v>
      </c>
      <c r="Q49" s="11">
        <f t="shared" si="5"/>
        <v>7</v>
      </c>
      <c r="R49" s="11">
        <f t="shared" si="6"/>
        <v>5</v>
      </c>
      <c r="S49" s="12" cm="1">
        <f t="array" ref="S49">INDEX('Subject-ConceptMap-9'!$I$15:$N$58,Q49+1,R49)</f>
        <v>0</v>
      </c>
    </row>
    <row r="50" spans="16:19">
      <c r="P50" s="11">
        <v>48</v>
      </c>
      <c r="Q50" s="11">
        <f t="shared" si="5"/>
        <v>7</v>
      </c>
      <c r="R50" s="11">
        <f t="shared" si="6"/>
        <v>6</v>
      </c>
      <c r="S50" s="12" t="str" cm="1">
        <f t="array" ref="S50">INDEX('Subject-ConceptMap-9'!$I$15:$N$58,Q50+1,R50)</f>
        <v/>
      </c>
    </row>
    <row r="51" spans="16:19">
      <c r="P51" s="11">
        <v>49</v>
      </c>
      <c r="Q51" s="11">
        <f t="shared" si="5"/>
        <v>8</v>
      </c>
      <c r="R51" s="11">
        <f t="shared" si="6"/>
        <v>1</v>
      </c>
      <c r="S51" s="12" cm="1">
        <f t="array" ref="S51">INDEX('Subject-ConceptMap-9'!$I$15:$N$58,Q51+1,R51)</f>
        <v>0</v>
      </c>
    </row>
    <row r="52" spans="16:19" ht="29.5">
      <c r="P52" s="11">
        <v>50</v>
      </c>
      <c r="Q52" s="11">
        <f t="shared" si="5"/>
        <v>8</v>
      </c>
      <c r="R52" s="11">
        <f t="shared" si="6"/>
        <v>2</v>
      </c>
      <c r="S52" s="12" cm="1">
        <f t="array" ref="S52">INDEX('Subject-ConceptMap-9'!$I$15:$N$58,Q52+1,R52)</f>
        <v>0</v>
      </c>
    </row>
    <row r="53" spans="16:19">
      <c r="P53" s="11">
        <v>51</v>
      </c>
      <c r="Q53" s="11">
        <f t="shared" si="5"/>
        <v>8</v>
      </c>
      <c r="R53" s="11">
        <f t="shared" si="6"/>
        <v>3</v>
      </c>
      <c r="S53" s="12" cm="1">
        <f t="array" ref="S53">INDEX('Subject-ConceptMap-9'!$I$15:$N$58,Q53+1,R53)</f>
        <v>0</v>
      </c>
    </row>
    <row r="54" spans="16:19">
      <c r="P54" s="11">
        <v>52</v>
      </c>
      <c r="Q54" s="11">
        <f t="shared" si="5"/>
        <v>8</v>
      </c>
      <c r="R54" s="11">
        <f t="shared" si="6"/>
        <v>4</v>
      </c>
      <c r="S54" s="12" cm="1">
        <f t="array" ref="S54">INDEX('Subject-ConceptMap-9'!$I$15:$N$58,Q54+1,R54)</f>
        <v>0</v>
      </c>
    </row>
    <row r="55" spans="16:19">
      <c r="P55" s="11">
        <v>53</v>
      </c>
      <c r="Q55" s="11">
        <f t="shared" si="5"/>
        <v>8</v>
      </c>
      <c r="R55" s="11">
        <f t="shared" si="6"/>
        <v>5</v>
      </c>
      <c r="S55" s="12" cm="1">
        <f t="array" ref="S55">INDEX('Subject-ConceptMap-9'!$I$15:$N$58,Q55+1,R55)</f>
        <v>0</v>
      </c>
    </row>
    <row r="56" spans="16:19">
      <c r="P56" s="11">
        <v>54</v>
      </c>
      <c r="Q56" s="11">
        <f t="shared" si="5"/>
        <v>8</v>
      </c>
      <c r="R56" s="11">
        <f t="shared" si="6"/>
        <v>6</v>
      </c>
      <c r="S56" s="12" t="str" cm="1">
        <f t="array" ref="S56">INDEX('Subject-ConceptMap-9'!$I$15:$N$58,Q56+1,R56)</f>
        <v/>
      </c>
    </row>
    <row r="57" spans="16:19">
      <c r="P57" s="11">
        <v>55</v>
      </c>
      <c r="Q57" s="11">
        <f t="shared" si="5"/>
        <v>9</v>
      </c>
      <c r="R57" s="11">
        <f t="shared" si="6"/>
        <v>1</v>
      </c>
      <c r="S57" s="12" cm="1">
        <f t="array" ref="S57">INDEX('Subject-ConceptMap-9'!$I$15:$N$58,Q57+1,R57)</f>
        <v>0</v>
      </c>
    </row>
    <row r="58" spans="16:19">
      <c r="P58" s="11">
        <v>56</v>
      </c>
      <c r="Q58" s="11">
        <f t="shared" si="5"/>
        <v>9</v>
      </c>
      <c r="R58" s="11">
        <f t="shared" si="6"/>
        <v>2</v>
      </c>
      <c r="S58" s="12" cm="1">
        <f t="array" ref="S58">INDEX('Subject-ConceptMap-9'!$I$15:$N$58,Q58+1,R58)</f>
        <v>0</v>
      </c>
    </row>
    <row r="59" spans="16:19">
      <c r="P59" s="11">
        <v>57</v>
      </c>
      <c r="Q59" s="11">
        <f t="shared" si="5"/>
        <v>9</v>
      </c>
      <c r="R59" s="11">
        <f t="shared" si="6"/>
        <v>3</v>
      </c>
      <c r="S59" s="12" cm="1">
        <f t="array" ref="S59">INDEX('Subject-ConceptMap-9'!$I$15:$N$58,Q59+1,R59)</f>
        <v>0</v>
      </c>
    </row>
    <row r="60" spans="16:19">
      <c r="P60" s="11">
        <v>58</v>
      </c>
      <c r="Q60" s="11">
        <f t="shared" si="5"/>
        <v>9</v>
      </c>
      <c r="R60" s="11">
        <f t="shared" si="6"/>
        <v>4</v>
      </c>
      <c r="S60" s="12" cm="1">
        <f t="array" ref="S60">INDEX('Subject-ConceptMap-9'!$I$15:$N$58,Q60+1,R60)</f>
        <v>0</v>
      </c>
    </row>
    <row r="61" spans="16:19">
      <c r="P61" s="11">
        <v>59</v>
      </c>
      <c r="Q61" s="11">
        <f t="shared" si="5"/>
        <v>9</v>
      </c>
      <c r="R61" s="11">
        <f t="shared" si="6"/>
        <v>5</v>
      </c>
      <c r="S61" s="12" cm="1">
        <f t="array" ref="S61">INDEX('Subject-ConceptMap-9'!$I$15:$N$58,Q61+1,R61)</f>
        <v>0</v>
      </c>
    </row>
    <row r="62" spans="16:19">
      <c r="P62" s="11">
        <v>60</v>
      </c>
      <c r="Q62" s="11">
        <f t="shared" si="5"/>
        <v>9</v>
      </c>
      <c r="R62" s="11">
        <f t="shared" si="6"/>
        <v>6</v>
      </c>
      <c r="S62" s="12" t="str" cm="1">
        <f t="array" ref="S62">INDEX('Subject-ConceptMap-9'!$I$15:$N$58,Q62+1,R62)</f>
        <v/>
      </c>
    </row>
    <row r="63" spans="16:19">
      <c r="P63" s="11">
        <v>61</v>
      </c>
      <c r="Q63" s="11">
        <f t="shared" si="5"/>
        <v>10</v>
      </c>
      <c r="R63" s="11">
        <f t="shared" si="6"/>
        <v>1</v>
      </c>
      <c r="S63" s="12" cm="1">
        <f t="array" ref="S63">INDEX('Subject-ConceptMap-9'!$I$15:$N$58,Q63+1,R63)</f>
        <v>0</v>
      </c>
    </row>
    <row r="64" spans="16:19">
      <c r="P64" s="11">
        <v>62</v>
      </c>
      <c r="Q64" s="11">
        <f t="shared" si="5"/>
        <v>10</v>
      </c>
      <c r="R64" s="11">
        <f t="shared" si="6"/>
        <v>2</v>
      </c>
      <c r="S64" s="12" cm="1">
        <f t="array" ref="S64">INDEX('Subject-ConceptMap-9'!$I$15:$N$58,Q64+1,R64)</f>
        <v>0</v>
      </c>
    </row>
    <row r="65" spans="16:19">
      <c r="P65" s="11">
        <v>63</v>
      </c>
      <c r="Q65" s="11">
        <f t="shared" si="5"/>
        <v>10</v>
      </c>
      <c r="R65" s="11">
        <f t="shared" si="6"/>
        <v>3</v>
      </c>
      <c r="S65" s="12" cm="1">
        <f t="array" ref="S65">INDEX('Subject-ConceptMap-9'!$I$15:$N$58,Q65+1,R65)</f>
        <v>0</v>
      </c>
    </row>
    <row r="66" spans="16:19">
      <c r="P66" s="11">
        <v>64</v>
      </c>
      <c r="Q66" s="11">
        <f t="shared" si="5"/>
        <v>10</v>
      </c>
      <c r="R66" s="11">
        <f t="shared" si="6"/>
        <v>4</v>
      </c>
      <c r="S66" s="12" cm="1">
        <f t="array" ref="S66">INDEX('Subject-ConceptMap-9'!$I$15:$N$58,Q66+1,R66)</f>
        <v>0</v>
      </c>
    </row>
    <row r="67" spans="16:19">
      <c r="P67" s="11">
        <v>65</v>
      </c>
      <c r="Q67" s="11">
        <f t="shared" ref="Q67:Q111" si="8">IF(MOD(P67,$Q$8)=0,P67/$Q$8-1,INT(P67/$Q$8))</f>
        <v>10</v>
      </c>
      <c r="R67" s="11">
        <f t="shared" ref="R67:R111" si="9">IF(MOD(P67,$Q$8)=0,$Q$8,MOD(P67,$Q$8))</f>
        <v>5</v>
      </c>
      <c r="S67" s="12" cm="1">
        <f t="array" ref="S67">INDEX('Subject-ConceptMap-9'!$I$15:$N$58,Q67+1,R67)</f>
        <v>0</v>
      </c>
    </row>
    <row r="68" spans="16:19">
      <c r="P68" s="11">
        <v>66</v>
      </c>
      <c r="Q68" s="11">
        <f t="shared" si="8"/>
        <v>10</v>
      </c>
      <c r="R68" s="11">
        <f t="shared" si="9"/>
        <v>6</v>
      </c>
      <c r="S68" s="12" t="str" cm="1">
        <f t="array" ref="S68">INDEX('Subject-ConceptMap-9'!$I$15:$N$58,Q68+1,R68)</f>
        <v/>
      </c>
    </row>
    <row r="69" spans="16:19">
      <c r="P69" s="11">
        <v>67</v>
      </c>
      <c r="Q69" s="11">
        <f t="shared" si="8"/>
        <v>11</v>
      </c>
      <c r="R69" s="11">
        <f t="shared" si="9"/>
        <v>1</v>
      </c>
      <c r="S69" s="12" cm="1">
        <f t="array" ref="S69">INDEX('Subject-ConceptMap-9'!$I$15:$N$58,Q69+1,R69)</f>
        <v>0</v>
      </c>
    </row>
    <row r="70" spans="16:19" ht="29.5">
      <c r="P70" s="11">
        <v>68</v>
      </c>
      <c r="Q70" s="11">
        <f t="shared" si="8"/>
        <v>11</v>
      </c>
      <c r="R70" s="11">
        <f t="shared" si="9"/>
        <v>2</v>
      </c>
      <c r="S70" s="12" cm="1">
        <f t="array" ref="S70">INDEX('Subject-ConceptMap-9'!$I$15:$N$58,Q70+1,R70)</f>
        <v>0</v>
      </c>
    </row>
    <row r="71" spans="16:19">
      <c r="P71" s="11">
        <v>69</v>
      </c>
      <c r="Q71" s="11">
        <f t="shared" si="8"/>
        <v>11</v>
      </c>
      <c r="R71" s="11">
        <f t="shared" si="9"/>
        <v>3</v>
      </c>
      <c r="S71" s="12" cm="1">
        <f t="array" ref="S71">INDEX('Subject-ConceptMap-9'!$I$15:$N$58,Q71+1,R71)</f>
        <v>0</v>
      </c>
    </row>
    <row r="72" spans="16:19">
      <c r="P72" s="11">
        <v>70</v>
      </c>
      <c r="Q72" s="11">
        <f t="shared" si="8"/>
        <v>11</v>
      </c>
      <c r="R72" s="11">
        <f t="shared" si="9"/>
        <v>4</v>
      </c>
      <c r="S72" s="12" cm="1">
        <f t="array" ref="S72">INDEX('Subject-ConceptMap-9'!$I$15:$N$58,Q72+1,R72)</f>
        <v>0</v>
      </c>
    </row>
    <row r="73" spans="16:19">
      <c r="P73" s="11">
        <v>71</v>
      </c>
      <c r="Q73" s="11">
        <f t="shared" si="8"/>
        <v>11</v>
      </c>
      <c r="R73" s="11">
        <f t="shared" si="9"/>
        <v>5</v>
      </c>
      <c r="S73" s="12" cm="1">
        <f t="array" ref="S73">INDEX('Subject-ConceptMap-9'!$I$15:$N$58,Q73+1,R73)</f>
        <v>0</v>
      </c>
    </row>
    <row r="74" spans="16:19">
      <c r="P74" s="11">
        <v>72</v>
      </c>
      <c r="Q74" s="11">
        <f t="shared" si="8"/>
        <v>11</v>
      </c>
      <c r="R74" s="11">
        <f t="shared" si="9"/>
        <v>6</v>
      </c>
      <c r="S74" s="12" t="str" cm="1">
        <f t="array" ref="S74">INDEX('Subject-ConceptMap-9'!$I$15:$N$58,Q74+1,R74)</f>
        <v/>
      </c>
    </row>
    <row r="75" spans="16:19">
      <c r="P75" s="11">
        <v>73</v>
      </c>
      <c r="Q75" s="11">
        <f t="shared" si="8"/>
        <v>12</v>
      </c>
      <c r="R75" s="11">
        <f t="shared" si="9"/>
        <v>1</v>
      </c>
      <c r="S75" s="12" cm="1">
        <f t="array" ref="S75">INDEX('Subject-ConceptMap-9'!$I$15:$N$58,Q75+1,R75)</f>
        <v>0</v>
      </c>
    </row>
    <row r="76" spans="16:19">
      <c r="P76" s="11">
        <v>74</v>
      </c>
      <c r="Q76" s="11">
        <f t="shared" si="8"/>
        <v>12</v>
      </c>
      <c r="R76" s="11">
        <f t="shared" si="9"/>
        <v>2</v>
      </c>
      <c r="S76" s="12" cm="1">
        <f t="array" ref="S76">INDEX('Subject-ConceptMap-9'!$I$15:$N$58,Q76+1,R76)</f>
        <v>0</v>
      </c>
    </row>
    <row r="77" spans="16:19">
      <c r="P77" s="11">
        <v>75</v>
      </c>
      <c r="Q77" s="11">
        <f t="shared" si="8"/>
        <v>12</v>
      </c>
      <c r="R77" s="11">
        <f t="shared" si="9"/>
        <v>3</v>
      </c>
      <c r="S77" s="12" cm="1">
        <f t="array" ref="S77">INDEX('Subject-ConceptMap-9'!$I$15:$N$58,Q77+1,R77)</f>
        <v>0</v>
      </c>
    </row>
    <row r="78" spans="16:19">
      <c r="P78" s="11">
        <v>76</v>
      </c>
      <c r="Q78" s="11">
        <f t="shared" si="8"/>
        <v>12</v>
      </c>
      <c r="R78" s="11">
        <f t="shared" si="9"/>
        <v>4</v>
      </c>
      <c r="S78" s="12" cm="1">
        <f t="array" ref="S78">INDEX('Subject-ConceptMap-9'!$I$15:$N$58,Q78+1,R78)</f>
        <v>0</v>
      </c>
    </row>
    <row r="79" spans="16:19">
      <c r="P79" s="11">
        <v>77</v>
      </c>
      <c r="Q79" s="11">
        <f t="shared" si="8"/>
        <v>12</v>
      </c>
      <c r="R79" s="11">
        <f t="shared" si="9"/>
        <v>5</v>
      </c>
      <c r="S79" s="12" cm="1">
        <f t="array" ref="S79">INDEX('Subject-ConceptMap-9'!$I$15:$N$58,Q79+1,R79)</f>
        <v>0</v>
      </c>
    </row>
    <row r="80" spans="16:19">
      <c r="P80" s="11">
        <v>78</v>
      </c>
      <c r="Q80" s="11">
        <f t="shared" si="8"/>
        <v>12</v>
      </c>
      <c r="R80" s="11">
        <f t="shared" si="9"/>
        <v>6</v>
      </c>
      <c r="S80" s="12" t="str" cm="1">
        <f t="array" ref="S80">INDEX('Subject-ConceptMap-9'!$I$15:$N$58,Q80+1,R80)</f>
        <v/>
      </c>
    </row>
    <row r="81" spans="16:19">
      <c r="P81" s="11">
        <v>79</v>
      </c>
      <c r="Q81" s="11">
        <f t="shared" si="8"/>
        <v>13</v>
      </c>
      <c r="R81" s="11">
        <f t="shared" si="9"/>
        <v>1</v>
      </c>
      <c r="S81" s="12" cm="1">
        <f t="array" ref="S81">INDEX('Subject-ConceptMap-9'!$I$15:$N$58,Q81+1,R81)</f>
        <v>0</v>
      </c>
    </row>
    <row r="82" spans="16:19">
      <c r="P82" s="11">
        <v>80</v>
      </c>
      <c r="Q82" s="11">
        <f t="shared" si="8"/>
        <v>13</v>
      </c>
      <c r="R82" s="11">
        <f t="shared" si="9"/>
        <v>2</v>
      </c>
      <c r="S82" s="12" cm="1">
        <f t="array" ref="S82">INDEX('Subject-ConceptMap-9'!$I$15:$N$58,Q82+1,R82)</f>
        <v>0</v>
      </c>
    </row>
    <row r="83" spans="16:19">
      <c r="P83" s="11">
        <v>81</v>
      </c>
      <c r="Q83" s="11">
        <f t="shared" si="8"/>
        <v>13</v>
      </c>
      <c r="R83" s="11">
        <f t="shared" si="9"/>
        <v>3</v>
      </c>
      <c r="S83" s="12" cm="1">
        <f t="array" ref="S83">INDEX('Subject-ConceptMap-9'!$I$15:$N$58,Q83+1,R83)</f>
        <v>0</v>
      </c>
    </row>
    <row r="84" spans="16:19">
      <c r="P84" s="11">
        <v>82</v>
      </c>
      <c r="Q84" s="11">
        <f t="shared" si="8"/>
        <v>13</v>
      </c>
      <c r="R84" s="11">
        <f t="shared" si="9"/>
        <v>4</v>
      </c>
      <c r="S84" s="12" cm="1">
        <f t="array" ref="S84">INDEX('Subject-ConceptMap-9'!$I$15:$N$58,Q84+1,R84)</f>
        <v>0</v>
      </c>
    </row>
    <row r="85" spans="16:19">
      <c r="P85" s="11">
        <v>83</v>
      </c>
      <c r="Q85" s="11">
        <f t="shared" si="8"/>
        <v>13</v>
      </c>
      <c r="R85" s="11">
        <f t="shared" si="9"/>
        <v>5</v>
      </c>
      <c r="S85" s="12" cm="1">
        <f t="array" ref="S85">INDEX('Subject-ConceptMap-9'!$I$15:$N$58,Q85+1,R85)</f>
        <v>0</v>
      </c>
    </row>
    <row r="86" spans="16:19">
      <c r="P86" s="11">
        <v>84</v>
      </c>
      <c r="Q86" s="11">
        <f t="shared" si="8"/>
        <v>13</v>
      </c>
      <c r="R86" s="11">
        <f t="shared" si="9"/>
        <v>6</v>
      </c>
      <c r="S86" s="12" t="str" cm="1">
        <f t="array" ref="S86">INDEX('Subject-ConceptMap-9'!$I$15:$N$58,Q86+1,R86)</f>
        <v/>
      </c>
    </row>
    <row r="87" spans="16:19">
      <c r="P87" s="11">
        <v>85</v>
      </c>
      <c r="Q87" s="11">
        <f t="shared" si="8"/>
        <v>14</v>
      </c>
      <c r="R87" s="11">
        <f t="shared" si="9"/>
        <v>1</v>
      </c>
      <c r="S87" s="12" cm="1">
        <f t="array" ref="S87">INDEX('Subject-ConceptMap-9'!$I$15:$N$58,Q87+1,R87)</f>
        <v>0</v>
      </c>
    </row>
    <row r="88" spans="16:19">
      <c r="P88" s="11">
        <v>86</v>
      </c>
      <c r="Q88" s="11">
        <f t="shared" si="8"/>
        <v>14</v>
      </c>
      <c r="R88" s="11">
        <f t="shared" si="9"/>
        <v>2</v>
      </c>
      <c r="S88" s="12" cm="1">
        <f t="array" ref="S88">INDEX('Subject-ConceptMap-9'!$I$15:$N$58,Q88+1,R88)</f>
        <v>0</v>
      </c>
    </row>
    <row r="89" spans="16:19">
      <c r="P89" s="11">
        <v>87</v>
      </c>
      <c r="Q89" s="11">
        <f t="shared" si="8"/>
        <v>14</v>
      </c>
      <c r="R89" s="11">
        <f t="shared" si="9"/>
        <v>3</v>
      </c>
      <c r="S89" s="12" cm="1">
        <f t="array" ref="S89">INDEX('Subject-ConceptMap-9'!$I$15:$N$58,Q89+1,R89)</f>
        <v>0</v>
      </c>
    </row>
    <row r="90" spans="16:19">
      <c r="P90" s="11">
        <v>88</v>
      </c>
      <c r="Q90" s="11">
        <f t="shared" si="8"/>
        <v>14</v>
      </c>
      <c r="R90" s="11">
        <f t="shared" si="9"/>
        <v>4</v>
      </c>
      <c r="S90" s="12" cm="1">
        <f t="array" ref="S90">INDEX('Subject-ConceptMap-9'!$I$15:$N$58,Q90+1,R90)</f>
        <v>0</v>
      </c>
    </row>
    <row r="91" spans="16:19">
      <c r="P91" s="11">
        <v>89</v>
      </c>
      <c r="Q91" s="11">
        <f t="shared" si="8"/>
        <v>14</v>
      </c>
      <c r="R91" s="11">
        <f t="shared" si="9"/>
        <v>5</v>
      </c>
      <c r="S91" s="12" cm="1">
        <f t="array" ref="S91">INDEX('Subject-ConceptMap-9'!$I$15:$N$58,Q91+1,R91)</f>
        <v>0</v>
      </c>
    </row>
    <row r="92" spans="16:19">
      <c r="P92" s="11">
        <v>90</v>
      </c>
      <c r="Q92" s="11">
        <f t="shared" si="8"/>
        <v>14</v>
      </c>
      <c r="R92" s="11">
        <f t="shared" si="9"/>
        <v>6</v>
      </c>
      <c r="S92" s="12" t="str" cm="1">
        <f t="array" ref="S92">INDEX('Subject-ConceptMap-9'!$I$15:$N$58,Q92+1,R92)</f>
        <v/>
      </c>
    </row>
    <row r="93" spans="16:19">
      <c r="P93" s="11">
        <v>91</v>
      </c>
      <c r="Q93" s="11">
        <f t="shared" si="8"/>
        <v>15</v>
      </c>
      <c r="R93" s="11">
        <f t="shared" si="9"/>
        <v>1</v>
      </c>
      <c r="S93" s="12" cm="1">
        <f t="array" ref="S93">INDEX('Subject-ConceptMap-9'!$I$15:$N$58,Q93+1,R93)</f>
        <v>0</v>
      </c>
    </row>
    <row r="94" spans="16:19">
      <c r="P94" s="11">
        <v>92</v>
      </c>
      <c r="Q94" s="11">
        <f t="shared" si="8"/>
        <v>15</v>
      </c>
      <c r="R94" s="11">
        <f t="shared" si="9"/>
        <v>2</v>
      </c>
      <c r="S94" s="12" cm="1">
        <f t="array" ref="S94">INDEX('Subject-ConceptMap-9'!$I$15:$N$58,Q94+1,R94)</f>
        <v>0</v>
      </c>
    </row>
    <row r="95" spans="16:19">
      <c r="P95" s="11">
        <v>93</v>
      </c>
      <c r="Q95" s="11">
        <f t="shared" si="8"/>
        <v>15</v>
      </c>
      <c r="R95" s="11">
        <f t="shared" si="9"/>
        <v>3</v>
      </c>
      <c r="S95" s="12" cm="1">
        <f t="array" ref="S95">INDEX('Subject-ConceptMap-9'!$I$15:$N$58,Q95+1,R95)</f>
        <v>0</v>
      </c>
    </row>
    <row r="96" spans="16:19">
      <c r="P96" s="11">
        <v>94</v>
      </c>
      <c r="Q96" s="11">
        <f t="shared" si="8"/>
        <v>15</v>
      </c>
      <c r="R96" s="11">
        <f t="shared" si="9"/>
        <v>4</v>
      </c>
      <c r="S96" s="12" cm="1">
        <f t="array" ref="S96">INDEX('Subject-ConceptMap-9'!$I$15:$N$58,Q96+1,R96)</f>
        <v>0</v>
      </c>
    </row>
    <row r="97" spans="16:19">
      <c r="P97" s="11">
        <v>95</v>
      </c>
      <c r="Q97" s="11">
        <f t="shared" si="8"/>
        <v>15</v>
      </c>
      <c r="R97" s="11">
        <f t="shared" si="9"/>
        <v>5</v>
      </c>
      <c r="S97" s="12" cm="1">
        <f t="array" ref="S97">INDEX('Subject-ConceptMap-9'!$I$15:$N$58,Q97+1,R97)</f>
        <v>0</v>
      </c>
    </row>
    <row r="98" spans="16:19">
      <c r="P98" s="11">
        <v>96</v>
      </c>
      <c r="Q98" s="11">
        <f t="shared" si="8"/>
        <v>15</v>
      </c>
      <c r="R98" s="11">
        <f t="shared" si="9"/>
        <v>6</v>
      </c>
      <c r="S98" s="12" t="str" cm="1">
        <f t="array" ref="S98">INDEX('Subject-ConceptMap-9'!$I$15:$N$58,Q98+1,R98)</f>
        <v/>
      </c>
    </row>
    <row r="99" spans="16:19">
      <c r="P99" s="11">
        <v>97</v>
      </c>
      <c r="Q99" s="11">
        <f t="shared" si="8"/>
        <v>16</v>
      </c>
      <c r="R99" s="11">
        <f t="shared" si="9"/>
        <v>1</v>
      </c>
      <c r="S99" s="12" cm="1">
        <f t="array" ref="S99">INDEX('Subject-ConceptMap-9'!$I$15:$N$58,Q99+1,R99)</f>
        <v>0</v>
      </c>
    </row>
    <row r="100" spans="16:19">
      <c r="P100" s="11">
        <v>98</v>
      </c>
      <c r="Q100" s="11">
        <f t="shared" si="8"/>
        <v>16</v>
      </c>
      <c r="R100" s="11">
        <f t="shared" si="9"/>
        <v>2</v>
      </c>
      <c r="S100" s="12" cm="1">
        <f t="array" ref="S100">INDEX('Subject-ConceptMap-9'!$I$15:$N$58,Q100+1,R100)</f>
        <v>0</v>
      </c>
    </row>
    <row r="101" spans="16:19">
      <c r="P101" s="11">
        <v>99</v>
      </c>
      <c r="Q101" s="11">
        <f t="shared" si="8"/>
        <v>16</v>
      </c>
      <c r="R101" s="11">
        <f t="shared" si="9"/>
        <v>3</v>
      </c>
      <c r="S101" s="12" cm="1">
        <f t="array" ref="S101">INDEX('Subject-ConceptMap-9'!$I$15:$N$58,Q101+1,R101)</f>
        <v>0</v>
      </c>
    </row>
    <row r="102" spans="16:19">
      <c r="P102" s="11">
        <v>100</v>
      </c>
      <c r="Q102" s="11">
        <f t="shared" si="8"/>
        <v>16</v>
      </c>
      <c r="R102" s="11">
        <f t="shared" si="9"/>
        <v>4</v>
      </c>
      <c r="S102" s="12" cm="1">
        <f t="array" ref="S102">INDEX('Subject-ConceptMap-9'!$I$15:$N$58,Q102+1,R102)</f>
        <v>0</v>
      </c>
    </row>
    <row r="103" spans="16:19">
      <c r="P103" s="11">
        <v>101</v>
      </c>
      <c r="Q103" s="11">
        <f t="shared" si="8"/>
        <v>16</v>
      </c>
      <c r="R103" s="11">
        <f t="shared" si="9"/>
        <v>5</v>
      </c>
      <c r="S103" s="12" cm="1">
        <f t="array" ref="S103">INDEX('Subject-ConceptMap-9'!$I$15:$N$58,Q103+1,R103)</f>
        <v>0</v>
      </c>
    </row>
    <row r="104" spans="16:19">
      <c r="P104" s="11">
        <v>102</v>
      </c>
      <c r="Q104" s="11">
        <f t="shared" si="8"/>
        <v>16</v>
      </c>
      <c r="R104" s="11">
        <f t="shared" si="9"/>
        <v>6</v>
      </c>
      <c r="S104" s="12" cm="1">
        <f t="array" ref="S104">INDEX('Subject-ConceptMap-9'!$I$15:$N$58,Q104+1,R104)</f>
        <v>0</v>
      </c>
    </row>
    <row r="105" spans="16:19">
      <c r="P105" s="11">
        <v>103</v>
      </c>
      <c r="Q105" s="11">
        <f t="shared" si="8"/>
        <v>17</v>
      </c>
      <c r="R105" s="11">
        <f t="shared" si="9"/>
        <v>1</v>
      </c>
      <c r="S105" s="12" cm="1">
        <f t="array" ref="S105">INDEX('Subject-ConceptMap-9'!$I$15:$N$58,Q105+1,R105)</f>
        <v>0</v>
      </c>
    </row>
    <row r="106" spans="16:19">
      <c r="P106" s="11">
        <v>104</v>
      </c>
      <c r="Q106" s="11">
        <f t="shared" si="8"/>
        <v>17</v>
      </c>
      <c r="R106" s="11">
        <f t="shared" si="9"/>
        <v>2</v>
      </c>
      <c r="S106" s="12" cm="1">
        <f t="array" ref="S106">INDEX('Subject-ConceptMap-9'!$I$15:$N$58,Q106+1,R106)</f>
        <v>0</v>
      </c>
    </row>
    <row r="107" spans="16:19">
      <c r="P107" s="11">
        <v>105</v>
      </c>
      <c r="Q107" s="11">
        <f t="shared" si="8"/>
        <v>17</v>
      </c>
      <c r="R107" s="11">
        <f t="shared" si="9"/>
        <v>3</v>
      </c>
      <c r="S107" s="12" cm="1">
        <f t="array" ref="S107">INDEX('Subject-ConceptMap-9'!$I$15:$N$58,Q107+1,R107)</f>
        <v>0</v>
      </c>
    </row>
    <row r="108" spans="16:19">
      <c r="P108" s="11">
        <v>106</v>
      </c>
      <c r="Q108" s="11">
        <f t="shared" si="8"/>
        <v>17</v>
      </c>
      <c r="R108" s="11">
        <f t="shared" si="9"/>
        <v>4</v>
      </c>
      <c r="S108" s="12" cm="1">
        <f t="array" ref="S108">INDEX('Subject-ConceptMap-9'!$I$15:$N$58,Q108+1,R108)</f>
        <v>0</v>
      </c>
    </row>
    <row r="109" spans="16:19">
      <c r="P109" s="11">
        <v>107</v>
      </c>
      <c r="Q109" s="11">
        <f t="shared" si="8"/>
        <v>17</v>
      </c>
      <c r="R109" s="11">
        <f t="shared" si="9"/>
        <v>5</v>
      </c>
      <c r="S109" s="12" cm="1">
        <f t="array" ref="S109">INDEX('Subject-ConceptMap-9'!$I$15:$N$58,Q109+1,R109)</f>
        <v>0</v>
      </c>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tabSelected="1" workbookViewId="0">
      <selection activeCell="G366" sqref="G366"/>
    </sheetView>
  </sheetViews>
  <sheetFormatPr defaultRowHeight="14.75"/>
  <cols>
    <col min="2" max="2" width="134.81640625" style="2"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1882</v>
      </c>
    </row>
    <row r="3" spans="2:7">
      <c r="B3" s="24" t="s">
        <v>20</v>
      </c>
    </row>
    <row r="4" spans="2:7">
      <c r="B4" s="174" t="str">
        <f>"Instance: "&amp;'Subject-ConceptMap-1'!C4</f>
        <v>Instance: subject2FHIR</v>
      </c>
    </row>
    <row r="5" spans="2:7">
      <c r="B5" s="174" t="s">
        <v>1447</v>
      </c>
    </row>
    <row r="6" spans="2:7">
      <c r="B6" s="174" t="s">
        <v>1438</v>
      </c>
    </row>
    <row r="7" spans="2:7">
      <c r="B7" s="174" t="s">
        <v>1793</v>
      </c>
    </row>
    <row r="8" spans="2:7">
      <c r="B8" s="174" t="str">
        <f>"* name = ##34#"&amp;'Subject-ConceptMap-1'!C3&amp;"##34#"</f>
        <v>* name = ##34#Subject2FHIR##34#</v>
      </c>
    </row>
    <row r="9" spans="2:7">
      <c r="B9" s="174" t="str">
        <f>"* title = ##34#"&amp;'Subject-ConceptMap-1'!C5&amp;"##34#"</f>
        <v>* title = ##34#Subject Model to this guide Map##34#</v>
      </c>
    </row>
    <row r="10" spans="2:7">
      <c r="B10" s="174" t="s">
        <v>1439</v>
      </c>
    </row>
    <row r="11" spans="2:7">
      <c r="B11" s="174" t="s">
        <v>1440</v>
      </c>
    </row>
    <row r="12" spans="2:7">
      <c r="B12" s="174" t="str">
        <f>"* description = ##34#"&amp;'Subject-ConceptMap-1'!C8&amp;"##34#"</f>
        <v>* description = ##34#Subject Model to this guide Map##34#</v>
      </c>
    </row>
    <row r="13" spans="2:7">
      <c r="B13" s="174" t="str">
        <f>"* purpose = ##34#"&amp;'Subject-ConceptMap-1'!C9&amp;"##34#"</f>
        <v>* purpose = ##34#It shows how the Subject model is mapped into this guide##34#</v>
      </c>
    </row>
    <row r="14" spans="2:7">
      <c r="B14" s="175" t="str">
        <f>"* sourceUri = ##34#"&amp;'Subject-ConceptMap-1'!E3&amp;"##34#"</f>
        <v>* sourceUri = ##34#http://hl7.eu/fhir/ig/idea4rc/StructureDefinition/Subject##34#</v>
      </c>
    </row>
    <row r="15" spans="2:7">
      <c r="B15" s="175" t="str">
        <f>"* targetUri = ##34#"&amp;'Subject-ConceptMap-1'!E4&amp;"##34#"</f>
        <v>* targetUri = ##34#http://hl7.eu/fhir/ig/idea4rc/StructureDefinition/patient-eu-i4rc##34#</v>
      </c>
    </row>
    <row r="16" spans="2:7">
      <c r="B16" s="176" t="str">
        <f>"* group[+].source = ##34#"&amp;'Subject-ConceptMap-1'!E6&amp;"##34#"</f>
        <v>* group[+].source = ##34#http://hl7.eu/fhir/ig/idea4rc/StructureDefinition/Subject##34#</v>
      </c>
    </row>
    <row r="17" spans="2:7">
      <c r="B17" s="176" t="str">
        <f>"* group[=].target = ##34#"&amp;'Subject-ConceptMap-1'!E7&amp;"##34#"</f>
        <v>* group[=].target = ##34#http://hl7.eu/fhir/ig/idea4rc/StructureDefinition/patient-eu-i4rc##34#</v>
      </c>
    </row>
    <row r="18" spans="2:7">
      <c r="B18" s="177"/>
    </row>
    <row r="19" spans="2:7">
      <c r="B19" s="12" t="str">
        <f>IF('Subject-ConceptMap-1'!S15=0,"//---END",'Subject-ConceptMap-1'!S15)</f>
        <v>* group[=].element[+].code = #Subject.sex</v>
      </c>
    </row>
    <row r="20" spans="2:7">
      <c r="B20" s="12" t="str">
        <f>IF('Subject-ConceptMap-1'!S16=0,"//---END",'Subject-ConceptMap-1'!S16)</f>
        <v>* group[=].element[=].display = ##34#Gender##34#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#Subject.smokingType</v>
      </c>
    </row>
    <row r="44" spans="2:2">
      <c r="B44" s="12" t="str">
        <f>IF('Subject-ConceptMap-1'!S40=0,"//---END",'Subject-ConceptMap-1'!S40)</f>
        <v>* group[=].element[=].display = ##34#Smoking type##34#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#Subject.cigSmokedPerDay</v>
      </c>
    </row>
    <row r="50" spans="2:2">
      <c r="B50" s="12" t="str">
        <f>IF('Subject-ConceptMap-1'!S46=0,"//---END",'Subject-ConceptMap-1'!S46)</f>
        <v>* group[=].element[=].display = ##34#Cigarettes/cigars smoked per day##34#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#Subject.yearsAsSmoker</v>
      </c>
    </row>
    <row r="56" spans="2:2">
      <c r="B56" s="12" t="str">
        <f>IF('Subject-ConceptMap-1'!S52=0,"//---END",'Subject-ConceptMap-1'!S52)</f>
        <v>* group[=].element[=].display = ##34#Number of years as a smoker##34#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#Subject.alcohol</v>
      </c>
    </row>
    <row r="62" spans="2:2">
      <c r="B62" s="12" t="str">
        <f>IF('Subject-ConceptMap-1'!S58=0,"//---END",'Subject-ConceptMap-1'!S58)</f>
        <v>* group[=].element[=].display = ##34#Alcohol##34#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 group[=].element[+].code = #Subject.bMI</v>
      </c>
    </row>
    <row r="68" spans="2:2" ht="29.5">
      <c r="B68" s="12" t="str">
        <f>IF('Subject-ConceptMap-1'!S64=0,"//---END",'Subject-ConceptMap-1'!S64)</f>
        <v>* group[=].element[=].display = ##34#Height/weight (BMI)
##34#</v>
      </c>
    </row>
    <row r="69" spans="2:2">
      <c r="B69" s="12" t="str">
        <f>IF('Subject-ConceptMap-1'!S65=0,"//---END",'Subject-ConceptMap-1'!S65)</f>
        <v>//-- unmatched</v>
      </c>
    </row>
    <row r="70" spans="2:2">
      <c r="B70" s="12" t="str">
        <f>IF('Subject-ConceptMap-1'!S66=0,"//---END",'Subject-ConceptMap-1'!S66)</f>
        <v>//-- unmatched</v>
      </c>
    </row>
    <row r="71" spans="2:2">
      <c r="B71" s="12" t="str">
        <f>IF('Subject-ConceptMap-1'!S67=0,"//---END",'Subject-ConceptMap-1'!S67)</f>
        <v>* group[=].element[=].target.equivalence = #unmatched</v>
      </c>
    </row>
    <row r="72" spans="2:2">
      <c r="B72" s="12" t="str">
        <f>IF('Subject-ConceptMap-1'!S68=0,"//---END",'Subject-ConceptMap-1'!S68)</f>
        <v/>
      </c>
    </row>
    <row r="73" spans="2:2">
      <c r="B73" s="12" t="str">
        <f>IF('Subject-ConceptMap-1'!S69=0,"//---END",'Subject-ConceptMap-1'!S69)</f>
        <v>* group[=].element[+].code = #Subject.charlsonComorbidityIndex</v>
      </c>
    </row>
    <row r="74" spans="2:2">
      <c r="B74" s="12" t="str">
        <f>IF('Subject-ConceptMap-1'!S70=0,"//---END",'Subject-ConceptMap-1'!S70)</f>
        <v>* group[=].element[=].display = ##34#Charlson Comorbidity index##34#</v>
      </c>
    </row>
    <row r="75" spans="2:2">
      <c r="B75" s="12" t="str">
        <f>IF('Subject-ConceptMap-1'!S71=0,"//---END",'Subject-ConceptMap-1'!S71)</f>
        <v>//-- unmatched</v>
      </c>
    </row>
    <row r="76" spans="2:2">
      <c r="B76" s="12" t="str">
        <f>IF('Subject-ConceptMap-1'!S72=0,"//---END",'Subject-ConceptMap-1'!S72)</f>
        <v>//-- unmatched</v>
      </c>
    </row>
    <row r="77" spans="2:2">
      <c r="B77" s="12" t="str">
        <f>IF('Subject-ConceptMap-1'!S73=0,"//---END",'Subject-ConceptMap-1'!S73)</f>
        <v>* group[=].element[=].target.equivalence = #unmatched</v>
      </c>
    </row>
    <row r="78" spans="2:2">
      <c r="B78" s="12" t="str">
        <f>IF('Subject-ConceptMap-1'!S74=0,"//---END",'Subject-ConceptMap-1'!S74)</f>
        <v/>
      </c>
    </row>
    <row r="79" spans="2:2">
      <c r="B79" s="12" t="str">
        <f>IF('Subject-ConceptMap-1'!S75=0,"//---END",'Subject-ConceptMap-1'!S75)</f>
        <v>* group[=].element[+].code = #Subject.comorbidity</v>
      </c>
    </row>
    <row r="80" spans="2:2">
      <c r="B80" s="12" t="str">
        <f>IF('Subject-ConceptMap-1'!S76=0,"//---END",'Subject-ConceptMap-1'!S76)</f>
        <v>* group[=].element[=].display = ##34#Comorbidity##34#</v>
      </c>
    </row>
    <row r="81" spans="2:2">
      <c r="B81" s="12" t="str">
        <f>IF('Subject-ConceptMap-1'!S77=0,"//---END",'Subject-ConceptMap-1'!S77)</f>
        <v>//-- unmatched</v>
      </c>
    </row>
    <row r="82" spans="2:2">
      <c r="B82" s="12" t="str">
        <f>IF('Subject-ConceptMap-1'!S78=0,"//---END",'Subject-ConceptMap-1'!S78)</f>
        <v>//-- unmatched</v>
      </c>
    </row>
    <row r="83" spans="2:2">
      <c r="B83" s="12" t="str">
        <f>IF('Subject-ConceptMap-1'!S79=0,"//---END",'Subject-ConceptMap-1'!S79)</f>
        <v>* group[=].element[=].target.equivalence = #unmatched</v>
      </c>
    </row>
    <row r="84" spans="2:2">
      <c r="B84" s="12" t="str">
        <f>IF('Subject-ConceptMap-1'!S80=0,"//---END",'Subject-ConceptMap-1'!S80)</f>
        <v/>
      </c>
    </row>
    <row r="85" spans="2:2">
      <c r="B85" s="12" t="str">
        <f>IF('Subject-ConceptMap-1'!S81=0,"//---END",'Subject-ConceptMap-1'!S81)</f>
        <v>* group[=].element[+].code = #Subject.ecogPsAtDiagnosis</v>
      </c>
    </row>
    <row r="86" spans="2:2">
      <c r="B86" s="12" t="str">
        <f>IF('Subject-ConceptMap-1'!S82=0,"//---END",'Subject-ConceptMap-1'!S82)</f>
        <v>* group[=].element[=].display = ##34#Eastern Cooperative Oncology Group performance status (ECOG PS)  at diagnosis##34#</v>
      </c>
    </row>
    <row r="87" spans="2:2">
      <c r="B87" s="12" t="str">
        <f>IF('Subject-ConceptMap-1'!S83=0,"//---END",'Subject-ConceptMap-1'!S83)</f>
        <v>//-- unmatched</v>
      </c>
    </row>
    <row r="88" spans="2:2">
      <c r="B88" s="12" t="str">
        <f>IF('Subject-ConceptMap-1'!S84=0,"//---END",'Subject-ConceptMap-1'!S84)</f>
        <v>//-- unmatched</v>
      </c>
    </row>
    <row r="89" spans="2:2">
      <c r="B89" s="12" t="str">
        <f>IF('Subject-ConceptMap-1'!S85=0,"//---END",'Subject-ConceptMap-1'!S85)</f>
        <v>* group[=].element[=].target.equivalence = #unmatched</v>
      </c>
    </row>
    <row r="90" spans="2:2">
      <c r="B90" s="12" t="str">
        <f>IF('Subject-ConceptMap-1'!S86=0,"//---END",'Subject-ConceptMap-1'!S86)</f>
        <v/>
      </c>
    </row>
    <row r="91" spans="2:2">
      <c r="B91" s="12" t="str">
        <f>IF('Subject-ConceptMap-1'!S87=0,"//---END",'Subject-ConceptMap-1'!S87)</f>
        <v>* group[=].element[+].code = #Subject.karnofsyIndexAtDiagnosis</v>
      </c>
    </row>
    <row r="92" spans="2:2">
      <c r="B92" s="12" t="str">
        <f>IF('Subject-ConceptMap-1'!S88=0,"//---END",'Subject-ConceptMap-1'!S88)</f>
        <v>* group[=].element[=].display = ##34#Karnofsy index at diagnosis##34#</v>
      </c>
    </row>
    <row r="93" spans="2:2">
      <c r="B93" s="12" t="str">
        <f>IF('Subject-ConceptMap-1'!S89=0,"//---END",'Subject-ConceptMap-1'!S89)</f>
        <v>//-- unmatched</v>
      </c>
    </row>
    <row r="94" spans="2:2">
      <c r="B94" s="12" t="str">
        <f>IF('Subject-ConceptMap-1'!S90=0,"//---END",'Subject-ConceptMap-1'!S90)</f>
        <v>//-- unmatched</v>
      </c>
    </row>
    <row r="95" spans="2:2">
      <c r="B95" s="12" t="str">
        <f>IF('Subject-ConceptMap-1'!S91=0,"//---END",'Subject-ConceptMap-1'!S91)</f>
        <v>* group[=].element[=].target.equivalence = #unmatched</v>
      </c>
    </row>
    <row r="96" spans="2:2">
      <c r="B96" s="12" t="str">
        <f>IF('Subject-ConceptMap-1'!S92=0,"//---END",'Subject-ConceptMap-1'!S92)</f>
        <v/>
      </c>
    </row>
    <row r="97" spans="2:2">
      <c r="B97" s="12" t="str">
        <f>IF('Subject-ConceptMap-1'!S93=0,"//---END",'Subject-ConceptMap-1'!S93)</f>
        <v>* group[=].element[+].code = #Subject.noGeneticSyndromeWho2020</v>
      </c>
    </row>
    <row r="98" spans="2:2">
      <c r="B98" s="12" t="str">
        <f>IF('Subject-ConceptMap-1'!S94=0,"//---END",'Subject-ConceptMap-1'!S94)</f>
        <v>* group[=].element[=].display = ##34#No Genetic syndrome WHO 2020 ##34#</v>
      </c>
    </row>
    <row r="99" spans="2:2">
      <c r="B99" s="12" t="str">
        <f>IF('Subject-ConceptMap-1'!S95=0,"//---END",'Subject-ConceptMap-1'!S95)</f>
        <v>* group[=].element[=].target.code = #Patient.</v>
      </c>
    </row>
    <row r="100" spans="2:2">
      <c r="B100" s="12" t="str">
        <f>IF('Subject-ConceptMap-1'!S96=0,"//---END",'Subject-ConceptMap-1'!S96)</f>
        <v>* group[=].element[=].target.display = ##34###34#</v>
      </c>
    </row>
    <row r="101" spans="2:2">
      <c r="B101" s="12" t="str">
        <f>IF('Subject-ConceptMap-1'!S97=0,"//---END",'Subject-ConceptMap-1'!S97)</f>
        <v>* group[=].element[=].target.equivalence = #relatedto</v>
      </c>
    </row>
    <row r="102" spans="2:2">
      <c r="B102" s="12" t="str">
        <f>IF('Subject-ConceptMap-1'!S98=0,"//---END",'Subject-ConceptMap-1'!S98)</f>
        <v>* group[=].element[=].target.comment = ##34#TO BE MAPPED##34#</v>
      </c>
    </row>
    <row r="103" spans="2:2">
      <c r="B103" s="12" t="str">
        <f>IF('Subject-ConceptMap-1'!S99=0,"//---END",'Subject-ConceptMap-1'!S99)</f>
        <v>* group[=].element[+].code = #Subject.otherGeneticSyndromeWho2020</v>
      </c>
    </row>
    <row r="104" spans="2:2">
      <c r="B104" s="12" t="str">
        <f>IF('Subject-ConceptMap-1'!S100=0,"//---END",'Subject-ConceptMap-1'!S100)</f>
        <v>* group[=].element[=].display = ##34#Other Genetic syndrome WHO 2020 ##34#</v>
      </c>
    </row>
    <row r="105" spans="2:2">
      <c r="B105" s="12" t="str">
        <f>IF('Subject-ConceptMap-1'!S101=0,"//---END",'Subject-ConceptMap-1'!S101)</f>
        <v>* group[=].element[=].target.code = #Patient.</v>
      </c>
    </row>
    <row r="106" spans="2:2">
      <c r="B106" s="12" t="str">
        <f>IF('Subject-ConceptMap-1'!S102=0,"//---END",'Subject-ConceptMap-1'!S102)</f>
        <v>* group[=].element[=].target.display = ##34###34#</v>
      </c>
    </row>
    <row r="107" spans="2:2">
      <c r="B107" s="12" t="str">
        <f>IF('Subject-ConceptMap-1'!S103=0,"//---END",'Subject-ConceptMap-1'!S103)</f>
        <v>* group[=].element[=].target.equivalence = #relatedto</v>
      </c>
    </row>
    <row r="108" spans="2:2">
      <c r="B108" s="12" t="str">
        <f>IF('Subject-ConceptMap-1'!S104=0,"//---END",'Subject-ConceptMap-1'!S104)</f>
        <v>* group[=].element[=].target.comment = ##34#TO BE MAPPED##34#</v>
      </c>
    </row>
    <row r="109" spans="2:2">
      <c r="B109" s="12" t="str">
        <f>IF('Subject-ConceptMap-1'!S105=0,"//---END",'Subject-ConceptMap-1'!S105)</f>
        <v>* group[=].element[+].code = #Subject.occurrenceOfOtherCancer</v>
      </c>
    </row>
    <row r="110" spans="2:2">
      <c r="B110" s="12" t="str">
        <f>IF('Subject-ConceptMap-1'!S106=0,"//---END",'Subject-ConceptMap-1'!S106)</f>
        <v>* group[=].element[=].display = ##34#Occurrence of other cancer##34#</v>
      </c>
    </row>
    <row r="111" spans="2:2">
      <c r="B111" s="12" t="str">
        <f>IF('Subject-ConceptMap-1'!S107=0,"//---END",'Subject-ConceptMap-1'!S107)</f>
        <v>* group[=].element[=].target.code = #Patient.</v>
      </c>
    </row>
    <row r="112" spans="2:2">
      <c r="B112" s="12" t="str">
        <f>IF('Subject-ConceptMap-1'!S108=0,"//---END",'Subject-ConceptMap-1'!S108)</f>
        <v>* group[=].element[=].target.display = ##34###34#</v>
      </c>
    </row>
    <row r="113" spans="2:2">
      <c r="B113" s="12" t="str">
        <f>IF('Subject-ConceptMap-1'!S109=0,"//---END",'Subject-ConceptMap-1'!S109)</f>
        <v>* group[=].element[=].target.equivalence = #relatedto</v>
      </c>
    </row>
    <row r="114" spans="2:2">
      <c r="B114" s="12" t="str">
        <f>IF('Subject-ConceptMap-1'!S110=0,"//---END",'Subject-ConceptMap-1'!S110)</f>
        <v>* group[=].element[=].target.comment = ##34#TO BE MAPPED##34#</v>
      </c>
    </row>
    <row r="115" spans="2:2">
      <c r="B115" s="12" t="str">
        <f>IF('Subject-ConceptMap-1'!S111=0,"//---END",'Subject-ConceptMap-1'!S111)</f>
        <v>* group[=].element[+].code = #Subject.previousCancerTreatment</v>
      </c>
    </row>
    <row r="116" spans="2:2">
      <c r="B116" s="12" t="str">
        <f>IF('Subject-ConceptMap-1'!S112=0,"//---END",'Subject-ConceptMap-1'!S112)</f>
        <v>* group[=].element[=].display = ##34#Previous cancer treatment##34#</v>
      </c>
    </row>
    <row r="117" spans="2:2">
      <c r="B117" s="12" t="str">
        <f>IF('Subject-ConceptMap-1'!S113=0,"//---END",'Subject-ConceptMap-1'!S113)</f>
        <v>* group[=].element[=].target.code = #Patient.</v>
      </c>
    </row>
    <row r="118" spans="2:2">
      <c r="B118" s="12" t="str">
        <f>IF('Subject-ConceptMap-1'!S114=0,"//---END",'Subject-ConceptMap-1'!S114)</f>
        <v>* group[=].element[=].target.display = ##34###34#</v>
      </c>
    </row>
    <row r="119" spans="2:2">
      <c r="B119" s="12" t="str">
        <f>IF('Subject-ConceptMap-1'!S115=0,"//---END",'Subject-ConceptMap-1'!S115)</f>
        <v>* group[=].element[=].target.equivalence = #relatedto</v>
      </c>
    </row>
    <row r="120" spans="2:2">
      <c r="B120" s="12" t="str">
        <f>IF('Subject-ConceptMap-1'!S116=0,"//---END",'Subject-ConceptMap-1'!S116)</f>
        <v>* group[=].element[=].target.comment = ##34#TO BE MAPPED##34#</v>
      </c>
    </row>
    <row r="121" spans="2:2">
      <c r="B121" s="12" t="str">
        <f>IF('Subject-ConceptMap-1'!S117=0,"//---END",'Subject-ConceptMap-1'!S117)</f>
        <v>* group[=].element[+].code = #Subject.lastContact</v>
      </c>
    </row>
    <row r="122" spans="2:2">
      <c r="B122" s="12" t="str">
        <f>IF('Subject-ConceptMap-1'!S118=0,"//---END",'Subject-ConceptMap-1'!S118)</f>
        <v>* group[=].element[=].display = ##34#Last Contact##34#</v>
      </c>
    </row>
    <row r="123" spans="2:2">
      <c r="B123" s="12" t="str">
        <f>IF('Subject-ConceptMap-1'!S119=0,"//---END",'Subject-ConceptMap-1'!S119)</f>
        <v>* group[=].element[=].target.code = #Patient.</v>
      </c>
    </row>
    <row r="124" spans="2:2">
      <c r="B124" s="12" t="str">
        <f>IF('Subject-ConceptMap-1'!S120=0,"//---END",'Subject-ConceptMap-1'!S120)</f>
        <v>* group[=].element[=].target.display = ##34###34#</v>
      </c>
    </row>
    <row r="125" spans="2:2">
      <c r="B125" s="12" t="str">
        <f>IF('Subject-ConceptMap-1'!S121=0,"//---END",'Subject-ConceptMap-1'!S121)</f>
        <v>* group[=].element[=].target.equivalence = #relatedto</v>
      </c>
    </row>
    <row r="126" spans="2:2">
      <c r="B126" s="12" t="str">
        <f>IF('Subject-ConceptMap-1'!S122=0,"//---END",'Subject-ConceptMap-1'!S122)</f>
        <v>//---END</v>
      </c>
    </row>
    <row r="127" spans="2:2">
      <c r="B127" s="12" t="str">
        <f>IF('Subject-ConceptMap-1'!S123=0,"//---END",'Subject-ConceptMap-1'!S123)</f>
        <v>//---END</v>
      </c>
    </row>
    <row r="128" spans="2:2">
      <c r="B128" s="12" t="str">
        <f>IF('Subject-ConceptMap-1'!S124=0,"//---END",'Subject-ConceptMap-1'!S124)</f>
        <v>//---END</v>
      </c>
    </row>
    <row r="129" spans="2:2">
      <c r="B129" s="12" t="str">
        <f>IF('Subject-ConceptMap-1'!S125=0,"//---END",'Subject-ConceptMap-1'!S125)</f>
        <v>//---END</v>
      </c>
    </row>
    <row r="130" spans="2:2">
      <c r="B130" s="12" t="str">
        <f>IF('Subject-ConceptMap-1'!S126=0,"//---END",'Subject-ConceptMap-1'!S126)</f>
        <v>//---END</v>
      </c>
    </row>
    <row r="131" spans="2:2">
      <c r="B131" s="12" t="str">
        <f>IF('Subject-ConceptMap-1'!S127=0,"//---END",'Subject-ConceptMap-1'!S127)</f>
        <v>//---END</v>
      </c>
    </row>
    <row r="132" spans="2:2">
      <c r="B132" s="12" t="str">
        <f>IF('Subject-ConceptMap-1'!S128=0,"//---END",'Subject-ConceptMap-1'!S128)</f>
        <v>//---END</v>
      </c>
    </row>
    <row r="133" spans="2:2">
      <c r="B133" s="12" t="str">
        <f>IF('Subject-ConceptMap-1'!S129=0,"//---END",'Subject-ConceptMap-1'!S129)</f>
        <v>//---END</v>
      </c>
    </row>
    <row r="134" spans="2:2">
      <c r="B134" s="12"/>
    </row>
    <row r="135" spans="2:2">
      <c r="B135" s="178"/>
    </row>
    <row r="136" spans="2:2">
      <c r="B136" s="176" t="str">
        <f>"* group[+].source = ##34#"&amp;'Subject-ConceptMap-2'!E6&amp;"##34#"</f>
        <v>* group[+].source = ##34#http://hl7.eu/fhir/ig/idea4rc/StructureDefinition/Subject##34#</v>
      </c>
    </row>
    <row r="137" spans="2:2">
      <c r="B137" s="179" t="str">
        <f>"* group[=].target = ##34#"&amp;'Subject-ConceptMap-2'!E7&amp;"##34#"</f>
        <v>* group[=].target = ##34#http://hl7.eu/fhir/ig/idea4rc/StructureDefinition/observation-tobaccouse-eu-i4rc##34#</v>
      </c>
    </row>
    <row r="138" spans="2:2">
      <c r="B138" s="180"/>
    </row>
    <row r="139" spans="2:2">
      <c r="B139" s="12" t="str">
        <f>IF('Subject-ConceptMap-2'!S15=0,"//---END",'Subject-ConceptMap-2'!S15)</f>
        <v>* group[=].element[+].code = #Subject.smoking</v>
      </c>
    </row>
    <row r="140" spans="2:2">
      <c r="B140" s="12" t="str">
        <f>IF('Subject-ConceptMap-2'!S16=0,"//---END",'Subject-ConceptMap-2'!S16)</f>
        <v>* group[=].element[=].display = ##34#Smoking##34#</v>
      </c>
    </row>
    <row r="141" spans="2:2">
      <c r="B141" s="12" t="str">
        <f>IF('Subject-ConceptMap-2'!S17=0,"//---END",'Subject-ConceptMap-2'!S17)</f>
        <v>* group[=].element[=].target.code = #Observation.component:smokingStatus.value[x]:valueCodeableConcept</v>
      </c>
    </row>
    <row r="142" spans="2:2">
      <c r="B142" s="12" t="str">
        <f>IF('Subject-ConceptMap-2'!S18=0,"//---END",'Subject-ConceptMap-2'!S18)</f>
        <v>* group[=].element[=].target.display = ##34###34#</v>
      </c>
    </row>
    <row r="143" spans="2:2">
      <c r="B143" s="12" t="str">
        <f>IF('Subject-ConceptMap-2'!S19=0,"//---END",'Subject-ConceptMap-2'!S19)</f>
        <v>* group[=].element[=].target.equivalence = #equivalent</v>
      </c>
    </row>
    <row r="144" spans="2:2">
      <c r="B144" s="12" t="str">
        <f>IF('Subject-ConceptMap-2'!S20=0,"//---END",'Subject-ConceptMap-2'!S20)</f>
        <v/>
      </c>
    </row>
    <row r="145" spans="2:2">
      <c r="B145" s="12" t="str">
        <f>IF('Subject-ConceptMap-2'!S21=0,"//---END",'Subject-ConceptMap-2'!S21)</f>
        <v>* group[=].element[+].code = #Subject.smokingType</v>
      </c>
    </row>
    <row r="146" spans="2:2">
      <c r="B146" s="12" t="str">
        <f>IF('Subject-ConceptMap-2'!S22=0,"//---END",'Subject-ConceptMap-2'!S22)</f>
        <v>* group[=].element[=].display = ##34#Smoking type##34#</v>
      </c>
    </row>
    <row r="147" spans="2:2">
      <c r="B147" s="12" t="str">
        <f>IF('Subject-ConceptMap-2'!S23=0,"//---END",'Subject-ConceptMap-2'!S23)</f>
        <v>* group[=].element[=].target.code = #Observation.component:tobaccoProduct.value[x]:valueCodeableConcept</v>
      </c>
    </row>
    <row r="148" spans="2:2">
      <c r="B148" s="12" t="str">
        <f>IF('Subject-ConceptMap-2'!S24=0,"//---END",'Subject-ConceptMap-2'!S24)</f>
        <v>* group[=].element[=].target.display = ##34###34#</v>
      </c>
    </row>
    <row r="149" spans="2:2">
      <c r="B149" s="12" t="str">
        <f>IF('Subject-ConceptMap-2'!S25=0,"//---END",'Subject-ConceptMap-2'!S25)</f>
        <v>* group[=].element[=].target.equivalence = #equivalent</v>
      </c>
    </row>
    <row r="150" spans="2:2">
      <c r="B150" s="12" t="str">
        <f>IF('Subject-ConceptMap-2'!S26=0,"//---END",'Subject-ConceptMap-2'!S26)</f>
        <v/>
      </c>
    </row>
    <row r="151" spans="2:2">
      <c r="B151" s="12" t="str">
        <f>IF('Subject-ConceptMap-2'!S27=0,"//---END",'Subject-ConceptMap-2'!S27)</f>
        <v>* group[=].element[+].code = #Subject.cigSmokedPerDay</v>
      </c>
    </row>
    <row r="152" spans="2:2">
      <c r="B152" s="12" t="str">
        <f>IF('Subject-ConceptMap-2'!S28=0,"//---END",'Subject-ConceptMap-2'!S28)</f>
        <v>* group[=].element[=].display = ##34#Cigarettes/cigars smoked per day##34#</v>
      </c>
    </row>
    <row r="153" spans="2:2">
      <c r="B153" s="12" t="str">
        <f>IF('Subject-ConceptMap-2'!S29=0,"//---END",'Subject-ConceptMap-2'!S29)</f>
        <v>* group[=].element[=].target.code = #Observation.component:numberPerDay.value[x]:valueQuantity</v>
      </c>
    </row>
    <row r="154" spans="2:2">
      <c r="B154" s="12" t="str">
        <f>IF('Subject-ConceptMap-2'!S30=0,"//---END",'Subject-ConceptMap-2'!S30)</f>
        <v>* group[=].element[=].target.display = ##34###34#</v>
      </c>
    </row>
    <row r="155" spans="2:2">
      <c r="B155" s="12" t="str">
        <f>IF('Subject-ConceptMap-2'!S31=0,"//---END",'Subject-ConceptMap-2'!S31)</f>
        <v>* group[=].element[=].target.equivalence = #equivalent</v>
      </c>
    </row>
    <row r="156" spans="2:2">
      <c r="B156" s="12" t="str">
        <f>IF('Subject-ConceptMap-2'!S32=0,"//---END",'Subject-ConceptMap-2'!S32)</f>
        <v/>
      </c>
    </row>
    <row r="157" spans="2:2">
      <c r="B157" s="12" t="str">
        <f>IF('Subject-ConceptMap-2'!S33=0,"//---END",'Subject-ConceptMap-2'!S33)</f>
        <v>* group[=].element[+].code = #Subject.yearsAsSmoker</v>
      </c>
    </row>
    <row r="158" spans="2:2">
      <c r="B158" s="12" t="str">
        <f>IF('Subject-ConceptMap-2'!S34=0,"//---END",'Subject-ConceptMap-2'!S34)</f>
        <v>* group[=].element[=].display = ##34#Number of years as a smoker##34#</v>
      </c>
    </row>
    <row r="159" spans="2:2">
      <c r="B159" s="12" t="str">
        <f>IF('Subject-ConceptMap-2'!S35=0,"//---END",'Subject-ConceptMap-2'!S35)</f>
        <v>* group[=].element[=].target.code = #Observation.component:yearsAsSmokervalue[x]:valueQuantity</v>
      </c>
    </row>
    <row r="160" spans="2:2">
      <c r="B160" s="12" t="str">
        <f>IF('Subject-ConceptMap-2'!S36=0,"//---END",'Subject-ConceptMap-2'!S36)</f>
        <v>* group[=].element[=].target.display = ##34###34#</v>
      </c>
    </row>
    <row r="161" spans="2:2">
      <c r="B161" s="12" t="str">
        <f>IF('Subject-ConceptMap-2'!S37=0,"//---END",'Subject-ConceptMap-2'!S37)</f>
        <v>* group[=].element[=].target.equivalence = #equivalent</v>
      </c>
    </row>
    <row r="162" spans="2:2">
      <c r="B162" s="12" t="str">
        <f>IF('Subject-ConceptMap-2'!S38=0,"//---END",'Subject-ConceptMap-2'!S38)</f>
        <v/>
      </c>
    </row>
    <row r="163" spans="2:2">
      <c r="B163" s="12" t="str">
        <f>IF('Subject-ConceptMap-2'!S39=0,"//---END",'Subject-ConceptMap-2'!S39)</f>
        <v>//---END</v>
      </c>
    </row>
    <row r="164" spans="2:2">
      <c r="B164" s="12" t="str">
        <f>IF('Subject-ConceptMap-2'!S40=0,"//---END",'Subject-ConceptMap-2'!S40)</f>
        <v>//---END</v>
      </c>
    </row>
    <row r="165" spans="2:2">
      <c r="B165" s="12" t="str">
        <f>IF('Subject-ConceptMap-2'!S41=0,"//---END",'Subject-ConceptMap-2'!S41)</f>
        <v>//---END</v>
      </c>
    </row>
    <row r="166" spans="2:2">
      <c r="B166" s="12" t="str">
        <f>IF('Subject-ConceptMap-2'!S42=0,"//---END",'Subject-ConceptMap-2'!S42)</f>
        <v>//---END</v>
      </c>
    </row>
    <row r="167" spans="2:2">
      <c r="B167" s="12" t="str">
        <f>IF('Subject-ConceptMap-2'!S43=0,"//---END",'Subject-ConceptMap-2'!S43)</f>
        <v>//---END</v>
      </c>
    </row>
    <row r="168" spans="2:2">
      <c r="B168" s="12" t="str">
        <f>IF('Subject-ConceptMap-2'!S44=0,"//---END",'Subject-ConceptMap-2'!S44)</f>
        <v>//---END</v>
      </c>
    </row>
    <row r="169" spans="2:2">
      <c r="B169" s="12" t="str">
        <f>IF('Subject-ConceptMap-2'!S45=0,"//---END",'Subject-ConceptMap-2'!S45)</f>
        <v>//---END</v>
      </c>
    </row>
    <row r="170" spans="2:2">
      <c r="B170" s="12" t="str">
        <f>IF('Subject-ConceptMap-2'!S46=0,"//---END",'Subject-ConceptMap-2'!S46)</f>
        <v>//---END</v>
      </c>
    </row>
    <row r="171" spans="2:2">
      <c r="B171" s="12" t="str">
        <f>IF('Subject-ConceptMap-2'!S47=0,"//---END",'Subject-ConceptMap-2'!S47)</f>
        <v>//---END</v>
      </c>
    </row>
    <row r="172" spans="2:2">
      <c r="B172" s="12" t="str">
        <f>IF('Subject-ConceptMap-2'!S48=0,"//---END",'Subject-ConceptMap-2'!S48)</f>
        <v>//---END</v>
      </c>
    </row>
    <row r="173" spans="2:2">
      <c r="B173" s="12" t="str">
        <f>IF('Subject-ConceptMap-2'!S49=0,"//---END",'Subject-ConceptMap-2'!S49)</f>
        <v>//---END</v>
      </c>
    </row>
    <row r="174" spans="2:2">
      <c r="B174" s="12" t="str">
        <f>IF('Subject-ConceptMap-2'!S50=0,"//---END",'Subject-ConceptMap-2'!S50)</f>
        <v>//---END</v>
      </c>
    </row>
    <row r="175" spans="2:2">
      <c r="B175" s="12" t="str">
        <f>IF('Subject-ConceptMap-2'!S51=0,"//---END",'Subject-ConceptMap-2'!S51)</f>
        <v>//---END</v>
      </c>
    </row>
    <row r="176" spans="2:2">
      <c r="B176" s="12" t="str">
        <f>IF('Subject-ConceptMap-2'!S52=0,"//---END",'Subject-ConceptMap-2'!S52)</f>
        <v>//---END</v>
      </c>
    </row>
    <row r="177" spans="2:3">
      <c r="B177" s="12" t="str">
        <f>IF('Subject-ConceptMap-2'!S53=0,"//---END",'Subject-ConceptMap-2'!S53)</f>
        <v>//---END</v>
      </c>
    </row>
    <row r="178" spans="2:3">
      <c r="B178" s="12" t="str">
        <f>IF('Subject-ConceptMap-2'!S54=0,"//---END",'Subject-ConceptMap-2'!S54)</f>
        <v>//---END</v>
      </c>
    </row>
    <row r="179" spans="2:3">
      <c r="B179" s="12" t="str">
        <f>IF('Subject-ConceptMap-2'!S55=0,"//---END",'Subject-ConceptMap-2'!S55)</f>
        <v>//---END</v>
      </c>
    </row>
    <row r="181" spans="2:3">
      <c r="B181" s="178"/>
    </row>
    <row r="182" spans="2:3">
      <c r="B182" s="176" t="str">
        <f>"* group[+].source = ##34#"&amp;'Subject-ConceptMap-3'!E6&amp;"##34#"</f>
        <v>* group[+].source = ##34#http://hl7.eu/fhir/ig/idea4rc/StructureDefinition/Subject##34#</v>
      </c>
    </row>
    <row r="183" spans="2:3">
      <c r="B183" s="179" t="str">
        <f>"* group[=].target = ##34#"&amp;'Subject-ConceptMap-3'!E7&amp;"##34#"</f>
        <v>* group[=].target = ##34#http://hl7.eu/fhir/ig/idea4rc/StructureDefinition/observation-alcoholuse-eu-i4rc##34#</v>
      </c>
    </row>
    <row r="184" spans="2:3">
      <c r="B184" s="181"/>
    </row>
    <row r="185" spans="2:3">
      <c r="B185" s="12"/>
      <c r="C185" s="11"/>
    </row>
    <row r="186" spans="2:3">
      <c r="B186" s="12" t="str">
        <f>IF('Subject-ConceptMap-3'!S15=0,"//---END",'Subject-ConceptMap-3'!S15)</f>
        <v>* group[=].element[+].code = #Subject.alcohol</v>
      </c>
      <c r="C186" s="11"/>
    </row>
    <row r="187" spans="2:3">
      <c r="B187" s="12" t="str">
        <f>IF('Subject-ConceptMap-3'!S16=0,"//---END",'Subject-ConceptMap-3'!S16)</f>
        <v>* group[=].element[=].display = ##34#Alcohol##34#</v>
      </c>
      <c r="C187" s="11"/>
    </row>
    <row r="188" spans="2:3">
      <c r="B188" s="12" t="str">
        <f>IF('Subject-ConceptMap-3'!S17=0,"//---END",'Subject-ConceptMap-3'!S17)</f>
        <v>* group[=].element[=].target.code = #Observation.value[x]:valueCodeableConcept</v>
      </c>
      <c r="C188" s="11"/>
    </row>
    <row r="189" spans="2:3">
      <c r="B189" s="12" t="str">
        <f>IF('Subject-ConceptMap-3'!S18=0,"//---END",'Subject-ConceptMap-3'!S18)</f>
        <v>* group[=].element[=].target.display = ##34###34#</v>
      </c>
      <c r="C189" s="11"/>
    </row>
    <row r="190" spans="2:3">
      <c r="B190" s="12" t="str">
        <f>IF('Subject-ConceptMap-3'!S19=0,"//---END",'Subject-ConceptMap-3'!S19)</f>
        <v>* group[=].element[=].target.equivalence = #equivalent</v>
      </c>
      <c r="C190" s="11"/>
    </row>
    <row r="191" spans="2:3">
      <c r="B191" s="12" t="str">
        <f>IF('Subject-ConceptMap-3'!S20=0,"//---END",'Subject-ConceptMap-3'!S20)</f>
        <v/>
      </c>
      <c r="C191" s="11"/>
    </row>
    <row r="192" spans="2:3">
      <c r="B192" s="12" t="str">
        <f>IF('Subject-ConceptMap-3'!S21=0,"//---END",'Subject-ConceptMap-3'!S21)</f>
        <v>//---END</v>
      </c>
      <c r="C192" s="11"/>
    </row>
    <row r="193" spans="2:3">
      <c r="B193" s="12" t="str">
        <f>IF('Subject-ConceptMap-3'!S22=0,"//---END",'Subject-ConceptMap-3'!S22)</f>
        <v>//---END</v>
      </c>
      <c r="C193" s="11"/>
    </row>
    <row r="194" spans="2:3">
      <c r="B194" s="12" t="str">
        <f>IF('Subject-ConceptMap-3'!S23=0,"//---END",'Subject-ConceptMap-3'!S23)</f>
        <v>//---END</v>
      </c>
      <c r="C194" s="11"/>
    </row>
    <row r="195" spans="2:3">
      <c r="B195" s="12" t="str">
        <f>IF('Subject-ConceptMap-3'!S24=0,"//---END",'Subject-ConceptMap-3'!S24)</f>
        <v>//---END</v>
      </c>
      <c r="C195" s="11"/>
    </row>
    <row r="196" spans="2:3">
      <c r="B196" s="12" t="str">
        <f>IF('Subject-ConceptMap-3'!S25=0,"//---END",'Subject-ConceptMap-3'!S25)</f>
        <v>//---END</v>
      </c>
      <c r="C196" s="11"/>
    </row>
    <row r="197" spans="2:3">
      <c r="B197" s="12" t="str">
        <f>IF('Subject-ConceptMap-3'!S26=0,"//---END",'Subject-ConceptMap-3'!S26)</f>
        <v>//---END</v>
      </c>
      <c r="C197" s="11"/>
    </row>
    <row r="198" spans="2:3">
      <c r="B198" s="12" t="str">
        <f>IF('Subject-ConceptMap-3'!S27=0,"//---END",'Subject-ConceptMap-3'!S27)</f>
        <v>//---END</v>
      </c>
      <c r="C198" s="11"/>
    </row>
    <row r="199" spans="2:3">
      <c r="B199" s="12" t="str">
        <f>IF('Subject-ConceptMap-3'!S28=0,"//---END",'Subject-ConceptMap-3'!S28)</f>
        <v>//---END</v>
      </c>
      <c r="C199" s="11"/>
    </row>
    <row r="200" spans="2:3">
      <c r="B200" s="12" t="str">
        <f>IF('Subject-ConceptMap-3'!S29=0,"//---END",'Subject-ConceptMap-3'!S29)</f>
        <v>//---END</v>
      </c>
      <c r="C200" s="11"/>
    </row>
    <row r="201" spans="2:3">
      <c r="B201" s="12" t="str">
        <f>IF('Subject-ConceptMap-3'!S30=0,"//---END",'Subject-ConceptMap-3'!S30)</f>
        <v>//---END</v>
      </c>
      <c r="C201" s="134"/>
    </row>
    <row r="202" spans="2:3">
      <c r="B202" s="12" t="str">
        <f>IF('Subject-ConceptMap-3'!S31=0,"//---END",'Subject-ConceptMap-3'!S31)</f>
        <v>//---END</v>
      </c>
      <c r="C202" s="134"/>
    </row>
    <row r="203" spans="2:3">
      <c r="B203" s="12" t="str">
        <f>IF('Subject-ConceptMap-3'!S32=0,"//---END",'Subject-ConceptMap-3'!S32)</f>
        <v>//---END</v>
      </c>
      <c r="C203" s="134"/>
    </row>
    <row r="204" spans="2:3">
      <c r="B204" s="12"/>
    </row>
    <row r="205" spans="2:3">
      <c r="B205" s="178"/>
    </row>
    <row r="206" spans="2:3">
      <c r="B206" s="179" t="str">
        <f>"* group[+].source = ##34#"&amp;'Subject-ConceptMap-4'!E6&amp;"##34#"</f>
        <v>* group[+].source = ##34#http://hl7.eu/fhir/ig/idea4rc/StructureDefinition/Subject##34#</v>
      </c>
    </row>
    <row r="207" spans="2:3">
      <c r="B207" s="179" t="str">
        <f>"* group[=].target = ##34#"&amp;'Subject-ConceptMap-4'!E7&amp;"##34#"</f>
        <v>* group[=].target = ##34#http://hl7.eu/fhir/ig/idea4rc/StructureDefinition/observation-comorbidity-eu-i4rc##34#</v>
      </c>
    </row>
    <row r="208" spans="2:3">
      <c r="B208" s="180"/>
    </row>
    <row r="209" spans="2:2">
      <c r="B209" s="12"/>
    </row>
    <row r="210" spans="2:2">
      <c r="B210" s="12" t="str">
        <f>IF('Subject-ConceptMap-4'!S15=0,"//---END",'Subject-ConceptMap-4'!S15)</f>
        <v>* group[=].element[+].code = #Subject.comorbidity</v>
      </c>
    </row>
    <row r="211" spans="2:2">
      <c r="B211" s="12" t="str">
        <f>IF('Subject-ConceptMap-4'!S16=0,"//---END",'Subject-ConceptMap-4'!S16)</f>
        <v>* group[=].element[=].display = ##34#Comorbidity##34#</v>
      </c>
    </row>
    <row r="212" spans="2:2">
      <c r="B212" s="12" t="str">
        <f>IF('Subject-ConceptMap-4'!S17=0,"//---END",'Subject-ConceptMap-4'!S17)</f>
        <v>* group[=].element[=].target.code = #Observation.</v>
      </c>
    </row>
    <row r="213" spans="2:2">
      <c r="B213" s="12" t="str">
        <f>IF('Subject-ConceptMap-4'!S18=0,"//---END",'Subject-ConceptMap-4'!S18)</f>
        <v>* group[=].element[=].target.display = ##34###34#</v>
      </c>
    </row>
    <row r="214" spans="2:2">
      <c r="B214" s="12" t="str">
        <f>IF('Subject-ConceptMap-4'!S19=0,"//---END",'Subject-ConceptMap-4'!S19)</f>
        <v>* group[=].element[=].target.equivalence = #relatedto</v>
      </c>
    </row>
    <row r="215" spans="2:2" ht="73.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c r="B216" s="12" t="str">
        <f>IF('Subject-ConceptMap-4'!S21=0,"//---END",'Subject-ConceptMap-4'!S21)</f>
        <v>* group[=].element[+].code = #Subject.comorbidity.myocardialInfarction</v>
      </c>
    </row>
    <row r="217" spans="2:2">
      <c r="B217" s="12" t="str">
        <f>IF('Subject-ConceptMap-4'!S22=0,"//---END",'Subject-ConceptMap-4'!S22)</f>
        <v>* group[=].element[=].display = ##34#Myocardial infarction##34#</v>
      </c>
    </row>
    <row r="218" spans="2:2">
      <c r="B218" s="12" t="str">
        <f>IF('Subject-ConceptMap-4'!S23=0,"//---END",'Subject-ConceptMap-4'!S23)</f>
        <v>* group[=].element[=].target.code = #Observation.extension:comorbidConditionPresent</v>
      </c>
    </row>
    <row r="219" spans="2:2">
      <c r="B219" s="12" t="str">
        <f>IF('Subject-ConceptMap-4'!S24=0,"//---END",'Subject-ConceptMap-4'!S24)</f>
        <v>* group[=].element[=].target.display = ##34###34#</v>
      </c>
    </row>
    <row r="220" spans="2:2">
      <c r="B220" s="12" t="str">
        <f>IF('Subject-ConceptMap-4'!S25=0,"//---END",'Subject-ConceptMap-4'!S25)</f>
        <v>* group[=].element[=].target.equivalence = #relatedto</v>
      </c>
    </row>
    <row r="221" spans="2:2">
      <c r="B221" s="12" t="str">
        <f>IF('Subject-ConceptMap-4'!S26=0,"//---END",'Subject-ConceptMap-4'!S26)</f>
        <v/>
      </c>
    </row>
    <row r="222" spans="2:2">
      <c r="B222" s="12" t="str">
        <f>IF('Subject-ConceptMap-4'!S27=0,"//---END",'Subject-ConceptMap-4'!S27)</f>
        <v>* group[=].element[+].code = #Subject.comorbidity.congestiveHeartFailure</v>
      </c>
    </row>
    <row r="223" spans="2:2">
      <c r="B223" s="12" t="str">
        <f>IF('Subject-ConceptMap-4'!S28=0,"//---END",'Subject-ConceptMap-4'!S28)</f>
        <v>* group[=].element[=].display = ##34#Congestive heart failure##34#</v>
      </c>
    </row>
    <row r="224" spans="2:2">
      <c r="B224" s="12" t="str">
        <f>IF('Subject-ConceptMap-4'!S29=0,"//---END",'Subject-ConceptMap-4'!S29)</f>
        <v>* group[=].element[=].target.code = #Observation.extension:comorbidConditionPresent</v>
      </c>
    </row>
    <row r="225" spans="2:2">
      <c r="B225" s="12" t="str">
        <f>IF('Subject-ConceptMap-4'!S30=0,"//---END",'Subject-ConceptMap-4'!S30)</f>
        <v>* group[=].element[=].target.display = ##34###34#</v>
      </c>
    </row>
    <row r="226" spans="2:2">
      <c r="B226" s="12" t="str">
        <f>IF('Subject-ConceptMap-4'!S31=0,"//---END",'Subject-ConceptMap-4'!S31)</f>
        <v>* group[=].element[=].target.equivalence = #equivalent</v>
      </c>
    </row>
    <row r="227" spans="2:2">
      <c r="B227" s="12" t="str">
        <f>IF('Subject-ConceptMap-4'!S32=0,"//---END",'Subject-ConceptMap-4'!S32)</f>
        <v/>
      </c>
    </row>
    <row r="228" spans="2:2">
      <c r="B228" s="12" t="str">
        <f>IF('Subject-ConceptMap-4'!S33=0,"//---END",'Subject-ConceptMap-4'!S33)</f>
        <v>* group[=].element[+].code = #Subject.comorbidity.peripheralVascularDisease</v>
      </c>
    </row>
    <row r="229" spans="2:2">
      <c r="B229" s="12" t="str">
        <f>IF('Subject-ConceptMap-4'!S34=0,"//---END",'Subject-ConceptMap-4'!S34)</f>
        <v>* group[=].element[=].display = ##34#Peripheral vascular disease##34#</v>
      </c>
    </row>
    <row r="230" spans="2:2">
      <c r="B230" s="12" t="str">
        <f>IF('Subject-ConceptMap-4'!S35=0,"//---END",'Subject-ConceptMap-4'!S35)</f>
        <v>* group[=].element[=].target.code = #Observation.extension:comorbidConditionPresent</v>
      </c>
    </row>
    <row r="231" spans="2:2">
      <c r="B231" s="12" t="str">
        <f>IF('Subject-ConceptMap-4'!S36=0,"//---END",'Subject-ConceptMap-4'!S36)</f>
        <v>* group[=].element[=].target.display = ##34###34#</v>
      </c>
    </row>
    <row r="232" spans="2:2">
      <c r="B232" s="12" t="str">
        <f>IF('Subject-ConceptMap-4'!S37=0,"//---END",'Subject-ConceptMap-4'!S37)</f>
        <v>* group[=].element[=].target.equivalence = #equivalent</v>
      </c>
    </row>
    <row r="233" spans="2:2">
      <c r="B233" s="12" t="str">
        <f>IF('Subject-ConceptMap-4'!S38=0,"//---END",'Subject-ConceptMap-4'!S38)</f>
        <v/>
      </c>
    </row>
    <row r="234" spans="2:2">
      <c r="B234" s="12" t="str">
        <f>IF('Subject-ConceptMap-4'!S39=0,"//---END",'Subject-ConceptMap-4'!S39)</f>
        <v>* group[=].element[+].code = #Subject.comorbidity.cerebrovascularAccidentExceptHemiplegia</v>
      </c>
    </row>
    <row r="235" spans="2:2">
      <c r="B235" s="12" t="str">
        <f>IF('Subject-ConceptMap-4'!S40=0,"//---END",'Subject-ConceptMap-4'!S40)</f>
        <v>* group[=].element[=].display = ##34#Cerebrovascular accident  (except hemiplegia)##34#</v>
      </c>
    </row>
    <row r="236" spans="2:2">
      <c r="B236" s="12" t="str">
        <f>IF('Subject-ConceptMap-4'!S41=0,"//---END",'Subject-ConceptMap-4'!S41)</f>
        <v>* group[=].element[=].target.code = #Observation.extension:comorbidConditionPresent</v>
      </c>
    </row>
    <row r="237" spans="2:2">
      <c r="B237" s="12" t="str">
        <f>IF('Subject-ConceptMap-4'!S42=0,"//---END",'Subject-ConceptMap-4'!S42)</f>
        <v>* group[=].element[=].target.display = ##34###34#</v>
      </c>
    </row>
    <row r="238" spans="2:2">
      <c r="B238" s="12" t="str">
        <f>IF('Subject-ConceptMap-4'!S43=0,"//---END",'Subject-ConceptMap-4'!S43)</f>
        <v>* group[=].element[=].target.equivalence = #equivalent</v>
      </c>
    </row>
    <row r="239" spans="2:2">
      <c r="B239" s="12" t="str">
        <f>IF('Subject-ConceptMap-4'!S44=0,"//---END",'Subject-ConceptMap-4'!S44)</f>
        <v/>
      </c>
    </row>
    <row r="240" spans="2:2">
      <c r="B240" s="12" t="str">
        <f>IF('Subject-ConceptMap-4'!S45=0,"//---END",'Subject-ConceptMap-4'!S45)</f>
        <v>* group[=].element[+].code = #Subject.comorbidity.dementia</v>
      </c>
    </row>
    <row r="241" spans="2:2">
      <c r="B241" s="12" t="str">
        <f>IF('Subject-ConceptMap-4'!S46=0,"//---END",'Subject-ConceptMap-4'!S46)</f>
        <v>* group[=].element[=].display = ##34#Dementia##34#</v>
      </c>
    </row>
    <row r="242" spans="2:2">
      <c r="B242" s="12" t="str">
        <f>IF('Subject-ConceptMap-4'!S47=0,"//---END",'Subject-ConceptMap-4'!S47)</f>
        <v>* group[=].element[=].target.code = #Observation.extension:comorbidConditionPresent</v>
      </c>
    </row>
    <row r="243" spans="2:2">
      <c r="B243" s="12" t="str">
        <f>IF('Subject-ConceptMap-4'!S48=0,"//---END",'Subject-ConceptMap-4'!S48)</f>
        <v>* group[=].element[=].target.display = ##34###34#</v>
      </c>
    </row>
    <row r="244" spans="2:2">
      <c r="B244" s="12" t="str">
        <f>IF('Subject-ConceptMap-4'!S49=0,"//---END",'Subject-ConceptMap-4'!S49)</f>
        <v>* group[=].element[=].target.equivalence = #equivalent</v>
      </c>
    </row>
    <row r="245" spans="2:2">
      <c r="B245" s="12" t="str">
        <f>IF('Subject-ConceptMap-4'!S50=0,"//---END",'Subject-ConceptMap-4'!S50)</f>
        <v/>
      </c>
    </row>
    <row r="246" spans="2:2">
      <c r="B246" s="12" t="str">
        <f>IF('Subject-ConceptMap-4'!S51=0,"//---END",'Subject-ConceptMap-4'!S51)</f>
        <v>* group[=].element[+].code = #Subject.comorbidity.chronicPulmonaryDisease</v>
      </c>
    </row>
    <row r="247" spans="2:2">
      <c r="B247" s="12" t="str">
        <f>IF('Subject-ConceptMap-4'!S52=0,"//---END",'Subject-ConceptMap-4'!S52)</f>
        <v>* group[=].element[=].display = ##34#Chronic pulmonary disease##34#</v>
      </c>
    </row>
    <row r="248" spans="2:2">
      <c r="B248" s="12" t="str">
        <f>IF('Subject-ConceptMap-4'!S53=0,"//---END",'Subject-ConceptMap-4'!S53)</f>
        <v>* group[=].element[=].target.code = #Observation.extension:comorbidConditionPresent</v>
      </c>
    </row>
    <row r="249" spans="2:2">
      <c r="B249" s="12" t="str">
        <f>IF('Subject-ConceptMap-4'!S54=0,"//---END",'Subject-ConceptMap-4'!S54)</f>
        <v>* group[=].element[=].target.display = ##34###34#</v>
      </c>
    </row>
    <row r="250" spans="2:2">
      <c r="B250" s="12" t="str">
        <f>IF('Subject-ConceptMap-4'!S55=0,"//---END",'Subject-ConceptMap-4'!S55)</f>
        <v>* group[=].element[=].target.equivalence = #equivalent</v>
      </c>
    </row>
    <row r="251" spans="2:2">
      <c r="B251" s="12" t="str">
        <f>IF('Subject-ConceptMap-4'!S56=0,"//---END",'Subject-ConceptMap-4'!S56)</f>
        <v/>
      </c>
    </row>
    <row r="252" spans="2:2">
      <c r="B252" s="12" t="str">
        <f>IF('Subject-ConceptMap-4'!S57=0,"//---END",'Subject-ConceptMap-4'!S57)</f>
        <v>* group[=].element[+].code = #Subject.comorbidity.connectiveTissueDisease</v>
      </c>
    </row>
    <row r="253" spans="2:2">
      <c r="B253" s="12" t="str">
        <f>IF('Subject-ConceptMap-4'!S58=0,"//---END",'Subject-ConceptMap-4'!S58)</f>
        <v>* group[=].element[=].display = ##34#Connective tissue disease##34#</v>
      </c>
    </row>
    <row r="254" spans="2:2">
      <c r="B254" s="12" t="str">
        <f>IF('Subject-ConceptMap-4'!S59=0,"//---END",'Subject-ConceptMap-4'!S59)</f>
        <v>* group[=].element[=].target.code = #Observation.extension:comorbidConditionPresent</v>
      </c>
    </row>
    <row r="255" spans="2:2">
      <c r="B255" s="12" t="str">
        <f>IF('Subject-ConceptMap-4'!S60=0,"//---END",'Subject-ConceptMap-4'!S60)</f>
        <v>* group[=].element[=].target.display = ##34###34#</v>
      </c>
    </row>
    <row r="256" spans="2:2">
      <c r="B256" s="12" t="str">
        <f>IF('Subject-ConceptMap-4'!S61=0,"//---END",'Subject-ConceptMap-4'!S61)</f>
        <v>* group[=].element[=].target.equivalence = #equivalent</v>
      </c>
    </row>
    <row r="257" spans="2:2">
      <c r="B257" s="12" t="str">
        <f>IF('Subject-ConceptMap-4'!S62=0,"//---END",'Subject-ConceptMap-4'!S62)</f>
        <v/>
      </c>
    </row>
    <row r="258" spans="2:2">
      <c r="B258" s="12" t="str">
        <f>IF('Subject-ConceptMap-4'!S63=0,"//---END",'Subject-ConceptMap-4'!S63)</f>
        <v>* group[=].element[+].code = #Subject.comorbidity.ulcer</v>
      </c>
    </row>
    <row r="259" spans="2:2">
      <c r="B259" s="12" t="str">
        <f>IF('Subject-ConceptMap-4'!S64=0,"//---END",'Subject-ConceptMap-4'!S64)</f>
        <v>* group[=].element[=].display = ##34#Ulcer##34#</v>
      </c>
    </row>
    <row r="260" spans="2:2">
      <c r="B260" s="12" t="str">
        <f>IF('Subject-ConceptMap-4'!S65=0,"//---END",'Subject-ConceptMap-4'!S65)</f>
        <v>* group[=].element[=].target.code = #Observation.extension:comorbidConditionPresent</v>
      </c>
    </row>
    <row r="261" spans="2:2">
      <c r="B261" s="12" t="str">
        <f>IF('Subject-ConceptMap-4'!S66=0,"//---END",'Subject-ConceptMap-4'!S66)</f>
        <v>* group[=].element[=].target.display = ##34###34#</v>
      </c>
    </row>
    <row r="262" spans="2:2">
      <c r="B262" s="12" t="str">
        <f>IF('Subject-ConceptMap-4'!S67=0,"//---END",'Subject-ConceptMap-4'!S67)</f>
        <v>* group[=].element[=].target.equivalence = #equivalent</v>
      </c>
    </row>
    <row r="263" spans="2:2">
      <c r="B263" s="12" t="str">
        <f>IF('Subject-ConceptMap-4'!S68=0,"//---END",'Subject-ConceptMap-4'!S68)</f>
        <v/>
      </c>
    </row>
    <row r="264" spans="2:2">
      <c r="B264" s="12" t="str">
        <f>IF('Subject-ConceptMap-4'!S69=0,"//---END",'Subject-ConceptMap-4'!S69)</f>
        <v>* group[=].element[+].code = #Subject.comorbidity.mildLiverDisease</v>
      </c>
    </row>
    <row r="265" spans="2:2">
      <c r="B265" s="12" t="str">
        <f>IF('Subject-ConceptMap-4'!S70=0,"//---END",'Subject-ConceptMap-4'!S70)</f>
        <v>* group[=].element[=].display = ##34#Mild liver disease##34#</v>
      </c>
    </row>
    <row r="266" spans="2:2">
      <c r="B266" s="12" t="str">
        <f>IF('Subject-ConceptMap-4'!S71=0,"//---END",'Subject-ConceptMap-4'!S71)</f>
        <v>* group[=].element[=].target.code = #Observation.extension:comorbidConditionPresent</v>
      </c>
    </row>
    <row r="267" spans="2:2">
      <c r="B267" s="12" t="str">
        <f>IF('Subject-ConceptMap-4'!S72=0,"//---END",'Subject-ConceptMap-4'!S72)</f>
        <v>* group[=].element[=].target.display = ##34###34#</v>
      </c>
    </row>
    <row r="268" spans="2:2">
      <c r="B268" s="12" t="str">
        <f>IF('Subject-ConceptMap-4'!S73=0,"//---END",'Subject-ConceptMap-4'!S73)</f>
        <v>* group[=].element[=].target.equivalence = #equivalent</v>
      </c>
    </row>
    <row r="269" spans="2:2">
      <c r="B269" s="12" t="str">
        <f>IF('Subject-ConceptMap-4'!S74=0,"//---END",'Subject-ConceptMap-4'!S74)</f>
        <v/>
      </c>
    </row>
    <row r="270" spans="2:2">
      <c r="B270" s="12" t="str">
        <f>IF('Subject-ConceptMap-4'!S75=0,"//---END",'Subject-ConceptMap-4'!S75)</f>
        <v>* group[=].element[+].code = #Subject.comorbidity.moderateToSevereLiverDisease</v>
      </c>
    </row>
    <row r="271" spans="2:2">
      <c r="B271" s="12" t="str">
        <f>IF('Subject-ConceptMap-4'!S76=0,"//---END",'Subject-ConceptMap-4'!S76)</f>
        <v>* group[=].element[=].display = ##34#Moderate to severe liver disease##34#</v>
      </c>
    </row>
    <row r="272" spans="2:2">
      <c r="B272" s="12" t="str">
        <f>IF('Subject-ConceptMap-4'!S77=0,"//---END",'Subject-ConceptMap-4'!S77)</f>
        <v>* group[=].element[=].target.code = #Observation.extension:comorbidConditionPresent</v>
      </c>
    </row>
    <row r="273" spans="2:2">
      <c r="B273" s="12" t="str">
        <f>IF('Subject-ConceptMap-4'!S78=0,"//---END",'Subject-ConceptMap-4'!S78)</f>
        <v>* group[=].element[=].target.display = ##34###34#</v>
      </c>
    </row>
    <row r="274" spans="2:2">
      <c r="B274" s="12" t="str">
        <f>IF('Subject-ConceptMap-4'!S79=0,"//---END",'Subject-ConceptMap-4'!S79)</f>
        <v>* group[=].element[=].target.equivalence = #equivalent</v>
      </c>
    </row>
    <row r="275" spans="2:2">
      <c r="B275" s="12" t="str">
        <f>IF('Subject-ConceptMap-4'!S80=0,"//---END",'Subject-ConceptMap-4'!S80)</f>
        <v/>
      </c>
    </row>
    <row r="276" spans="2:2">
      <c r="B276" s="12" t="str">
        <f>IF('Subject-ConceptMap-4'!S81=0,"//---END",'Subject-ConceptMap-4'!S81)</f>
        <v>* group[=].element[+].code = #Subject.comorbidity.diabetesWithoutComplications</v>
      </c>
    </row>
    <row r="277" spans="2:2">
      <c r="B277" s="12" t="str">
        <f>IF('Subject-ConceptMap-4'!S82=0,"//---END",'Subject-ConceptMap-4'!S82)</f>
        <v>* group[=].element[=].display = ##34#Diabetes (without complications)##34#</v>
      </c>
    </row>
    <row r="278" spans="2:2">
      <c r="B278" s="12" t="str">
        <f>IF('Subject-ConceptMap-4'!S83=0,"//---END",'Subject-ConceptMap-4'!S83)</f>
        <v>* group[=].element[=].target.code = #Observation.extension:comorbidConditionPresent</v>
      </c>
    </row>
    <row r="279" spans="2:2">
      <c r="B279" s="12" t="str">
        <f>IF('Subject-ConceptMap-4'!S84=0,"//---END",'Subject-ConceptMap-4'!S84)</f>
        <v>* group[=].element[=].target.display = ##34###34#</v>
      </c>
    </row>
    <row r="280" spans="2:2">
      <c r="B280" s="12" t="str">
        <f>IF('Subject-ConceptMap-4'!S85=0,"//---END",'Subject-ConceptMap-4'!S85)</f>
        <v>* group[=].element[=].target.equivalence = #equivalent</v>
      </c>
    </row>
    <row r="281" spans="2:2">
      <c r="B281" s="12" t="str">
        <f>IF('Subject-ConceptMap-4'!S86=0,"//---END",'Subject-ConceptMap-4'!S86)</f>
        <v/>
      </c>
    </row>
    <row r="282" spans="2:2">
      <c r="B282" s="12" t="str">
        <f>IF('Subject-ConceptMap-4'!S87=0,"//---END",'Subject-ConceptMap-4'!S87)</f>
        <v>* group[=].element[+].code = #Subject.comorbidity.diabetesWithEndOrganDamage</v>
      </c>
    </row>
    <row r="283" spans="2:2">
      <c r="B283" s="12" t="str">
        <f>IF('Subject-ConceptMap-4'!S88=0,"//---END",'Subject-ConceptMap-4'!S88)</f>
        <v>* group[=].element[=].display = ##34#Diabetes with end organ damage##34#</v>
      </c>
    </row>
    <row r="284" spans="2:2">
      <c r="B284" s="12" t="str">
        <f>IF('Subject-ConceptMap-4'!S89=0,"//---END",'Subject-ConceptMap-4'!S89)</f>
        <v>* group[=].element[=].target.code = #Observation.extension:comorbidConditionPresent</v>
      </c>
    </row>
    <row r="285" spans="2:2">
      <c r="B285" s="12" t="str">
        <f>IF('Subject-ConceptMap-4'!S90=0,"//---END",'Subject-ConceptMap-4'!S90)</f>
        <v>* group[=].element[=].target.display = ##34###34#</v>
      </c>
    </row>
    <row r="286" spans="2:2">
      <c r="B286" s="12" t="str">
        <f>IF('Subject-ConceptMap-4'!S91=0,"//---END",'Subject-ConceptMap-4'!S91)</f>
        <v>* group[=].element[=].target.equivalence = #equivalent</v>
      </c>
    </row>
    <row r="287" spans="2:2">
      <c r="B287" s="12" t="str">
        <f>IF('Subject-ConceptMap-4'!S92=0,"//---END",'Subject-ConceptMap-4'!S92)</f>
        <v/>
      </c>
    </row>
    <row r="288" spans="2:2">
      <c r="B288" s="12" t="str">
        <f>IF('Subject-ConceptMap-4'!S93=0,"//---END",'Subject-ConceptMap-4'!S93)</f>
        <v>* group[=].element[+].code = #Subject.comorbidity.hemiplegia</v>
      </c>
    </row>
    <row r="289" spans="2:2">
      <c r="B289" s="12" t="str">
        <f>IF('Subject-ConceptMap-4'!S94=0,"//---END",'Subject-ConceptMap-4'!S94)</f>
        <v>* group[=].element[=].display = ##34#Hemiplegia##34#</v>
      </c>
    </row>
    <row r="290" spans="2:2">
      <c r="B290" s="12" t="str">
        <f>IF('Subject-ConceptMap-4'!S95=0,"//---END",'Subject-ConceptMap-4'!S95)</f>
        <v>* group[=].element[=].target.code = #Observation.extension:comorbidConditionPresent</v>
      </c>
    </row>
    <row r="291" spans="2:2">
      <c r="B291" s="12" t="str">
        <f>IF('Subject-ConceptMap-4'!S96=0,"//---END",'Subject-ConceptMap-4'!S96)</f>
        <v>* group[=].element[=].target.display = ##34###34#</v>
      </c>
    </row>
    <row r="292" spans="2:2">
      <c r="B292" s="12" t="str">
        <f>IF('Subject-ConceptMap-4'!S97=0,"//---END",'Subject-ConceptMap-4'!S97)</f>
        <v>* group[=].element[=].target.equivalence = #equivalent</v>
      </c>
    </row>
    <row r="293" spans="2:2">
      <c r="B293" s="12" t="str">
        <f>IF('Subject-ConceptMap-4'!S98=0,"//---END",'Subject-ConceptMap-4'!S98)</f>
        <v/>
      </c>
    </row>
    <row r="294" spans="2:2">
      <c r="B294" s="12" t="str">
        <f>IF('Subject-ConceptMap-4'!S99=0,"//---END",'Subject-ConceptMap-4'!S99)</f>
        <v>* group[=].element[+].code = #Subject.comorbidity.moderateToSevereRenalDisease</v>
      </c>
    </row>
    <row r="295" spans="2:2">
      <c r="B295" s="12" t="str">
        <f>IF('Subject-ConceptMap-4'!S100=0,"//---END",'Subject-ConceptMap-4'!S100)</f>
        <v>* group[=].element[=].display = ##34#Moderate to severe renal disease##34#</v>
      </c>
    </row>
    <row r="296" spans="2:2">
      <c r="B296" s="12" t="str">
        <f>IF('Subject-ConceptMap-4'!S101=0,"//---END",'Subject-ConceptMap-4'!S101)</f>
        <v>* group[=].element[=].target.code = #Observation.extension:comorbidConditionPresent</v>
      </c>
    </row>
    <row r="297" spans="2:2">
      <c r="B297" s="12" t="str">
        <f>IF('Subject-ConceptMap-4'!S102=0,"//---END",'Subject-ConceptMap-4'!S102)</f>
        <v>* group[=].element[=].target.display = ##34###34#</v>
      </c>
    </row>
    <row r="298" spans="2:2">
      <c r="B298" s="12" t="str">
        <f>IF('Subject-ConceptMap-4'!S103=0,"//---END",'Subject-ConceptMap-4'!S103)</f>
        <v>* group[=].element[=].target.equivalence = #equivalent</v>
      </c>
    </row>
    <row r="299" spans="2:2">
      <c r="B299" s="12" t="str">
        <f>IF('Subject-ConceptMap-4'!S104=0,"//---END",'Subject-ConceptMap-4'!S104)</f>
        <v/>
      </c>
    </row>
    <row r="300" spans="2:2">
      <c r="B300" s="12" t="str">
        <f>IF('Subject-ConceptMap-4'!S105=0,"//---END",'Subject-ConceptMap-4'!S105)</f>
        <v>* group[=].element[+].code = #Subject.comorbidity.solidTumorNonMetastatic</v>
      </c>
    </row>
    <row r="301" spans="2:2">
      <c r="B301" s="12" t="str">
        <f>IF('Subject-ConceptMap-4'!S106=0,"//---END",'Subject-ConceptMap-4'!S106)</f>
        <v>* group[=].element[=].display = ##34#Solid tumor (non metastatic)##34#</v>
      </c>
    </row>
    <row r="302" spans="2:2">
      <c r="B302" s="12" t="str">
        <f>IF('Subject-ConceptMap-4'!S107=0,"//---END",'Subject-ConceptMap-4'!S107)</f>
        <v>* group[=].element[=].target.code = #Observation.extension:comorbidConditionPresent</v>
      </c>
    </row>
    <row r="303" spans="2:2">
      <c r="B303" s="12" t="str">
        <f>IF('Subject-ConceptMap-4'!S108=0,"//---END",'Subject-ConceptMap-4'!S108)</f>
        <v>* group[=].element[=].target.display = ##34###34#</v>
      </c>
    </row>
    <row r="304" spans="2:2">
      <c r="B304" s="12" t="str">
        <f>IF('Subject-ConceptMap-4'!S109=0,"//---END",'Subject-ConceptMap-4'!S109)</f>
        <v>* group[=].element[=].target.equivalence = #equivalent</v>
      </c>
    </row>
    <row r="305" spans="2:2">
      <c r="B305" s="12" t="str">
        <f>IF('Subject-ConceptMap-4'!S110=0,"//---END",'Subject-ConceptMap-4'!S110)</f>
        <v/>
      </c>
    </row>
    <row r="306" spans="2:2">
      <c r="B306" s="12" t="str">
        <f>IF('Subject-ConceptMap-4'!S111=0,"//---END",'Subject-ConceptMap-4'!S111)</f>
        <v>* group[=].element[+].code = #Subject.comorbidity.metastaticSolidTumor</v>
      </c>
    </row>
    <row r="307" spans="2:2">
      <c r="B307" s="12" t="str">
        <f>IF('Subject-ConceptMap-4'!S112=0,"//---END",'Subject-ConceptMap-4'!S112)</f>
        <v>* group[=].element[=].display = ##34#Metastatic solid tumor##34#</v>
      </c>
    </row>
    <row r="308" spans="2:2">
      <c r="B308" s="12" t="str">
        <f>IF('Subject-ConceptMap-4'!S113=0,"//---END",'Subject-ConceptMap-4'!S113)</f>
        <v>* group[=].element[=].target.code = #Observation.extension:comorbidConditionPresent</v>
      </c>
    </row>
    <row r="309" spans="2:2">
      <c r="B309" s="12" t="str">
        <f>IF('Subject-ConceptMap-4'!S114=0,"//---END",'Subject-ConceptMap-4'!S114)</f>
        <v>* group[=].element[=].target.display = ##34###34#</v>
      </c>
    </row>
    <row r="310" spans="2:2">
      <c r="B310" s="12" t="str">
        <f>IF('Subject-ConceptMap-4'!S115=0,"//---END",'Subject-ConceptMap-4'!S115)</f>
        <v>* group[=].element[=].target.equivalence = #equivalent</v>
      </c>
    </row>
    <row r="311" spans="2:2">
      <c r="B311" s="12" t="str">
        <f>IF('Subject-ConceptMap-4'!S116=0,"//---END",'Subject-ConceptMap-4'!S116)</f>
        <v/>
      </c>
    </row>
    <row r="312" spans="2:2">
      <c r="B312" s="12" t="str">
        <f>IF('Subject-ConceptMap-4'!S117=0,"//---END",'Subject-ConceptMap-4'!S117)</f>
        <v>* group[=].element[+].code = #Subject.comorbidity.leukemia</v>
      </c>
    </row>
    <row r="313" spans="2:2">
      <c r="B313" s="12" t="str">
        <f>IF('Subject-ConceptMap-4'!S118=0,"//---END",'Subject-ConceptMap-4'!S118)</f>
        <v>* group[=].element[=].display = ##34#Leukemia##34#</v>
      </c>
    </row>
    <row r="314" spans="2:2">
      <c r="B314" s="12" t="str">
        <f>IF('Subject-ConceptMap-4'!S119=0,"//---END",'Subject-ConceptMap-4'!S119)</f>
        <v>* group[=].element[=].target.code = #Observation.extension:comorbidConditionPresent</v>
      </c>
    </row>
    <row r="315" spans="2:2">
      <c r="B315" s="12" t="str">
        <f>IF('Subject-ConceptMap-4'!S120=0,"//---END",'Subject-ConceptMap-4'!S120)</f>
        <v>* group[=].element[=].target.display = ##34###34#</v>
      </c>
    </row>
    <row r="316" spans="2:2">
      <c r="B316" s="12" t="str">
        <f>IF('Subject-ConceptMap-4'!S121=0,"//---END",'Subject-ConceptMap-4'!S121)</f>
        <v>* group[=].element[=].target.equivalence = #equivalent</v>
      </c>
    </row>
    <row r="317" spans="2:2">
      <c r="B317" s="12" t="str">
        <f>IF('Subject-ConceptMap-4'!S122=0,"//---END",'Subject-ConceptMap-4'!S122)</f>
        <v/>
      </c>
    </row>
    <row r="318" spans="2:2">
      <c r="B318" s="12" t="str">
        <f>IF('Subject-ConceptMap-4'!S123=0,"//---END",'Subject-ConceptMap-4'!S123)</f>
        <v>* group[=].element[+].code = #Subject.comorbidity.lymphoma</v>
      </c>
    </row>
    <row r="319" spans="2:2">
      <c r="B319" s="12" t="str">
        <f>IF('Subject-ConceptMap-4'!S124=0,"//---END",'Subject-ConceptMap-4'!S124)</f>
        <v>* group[=].element[=].display = ##34#Lymphoma##34#</v>
      </c>
    </row>
    <row r="320" spans="2:2">
      <c r="B320" s="12" t="str">
        <f>IF('Subject-ConceptMap-4'!S125=0,"//---END",'Subject-ConceptMap-4'!S125)</f>
        <v>* group[=].element[=].target.code = #Observation.extension:comorbidConditionPresent</v>
      </c>
    </row>
    <row r="321" spans="2:2">
      <c r="B321" s="12" t="str">
        <f>IF('Subject-ConceptMap-4'!S126=0,"//---END",'Subject-ConceptMap-4'!S126)</f>
        <v>* group[=].element[=].target.display = ##34###34#</v>
      </c>
    </row>
    <row r="322" spans="2:2">
      <c r="B322" s="12" t="str">
        <f>IF('Subject-ConceptMap-4'!S127=0,"//---END",'Subject-ConceptMap-4'!S127)</f>
        <v>* group[=].element[=].target.equivalence = #equivalent</v>
      </c>
    </row>
    <row r="323" spans="2:2">
      <c r="B323" s="12" t="str">
        <f>IF('Subject-ConceptMap-4'!S128=0,"//---END",'Subject-ConceptMap-4'!S128)</f>
        <v/>
      </c>
    </row>
    <row r="324" spans="2:2">
      <c r="B324" s="12" t="str">
        <f>IF('Subject-ConceptMap-4'!S129=0,"//---END",'Subject-ConceptMap-4'!S129)</f>
        <v>* group[=].element[+].code = #Subject.comorbidity.multipleMyeloma</v>
      </c>
    </row>
    <row r="325" spans="2:2">
      <c r="B325" s="12" t="str">
        <f>IF('Subject-ConceptMap-4'!S130=0,"//---END",'Subject-ConceptMap-4'!S130)</f>
        <v>* group[=].element[=].display = ##34#Multiple myeloma##34#</v>
      </c>
    </row>
    <row r="326" spans="2:2">
      <c r="B326" s="12" t="str">
        <f>IF('Subject-ConceptMap-4'!S131=0,"//---END",'Subject-ConceptMap-4'!S131)</f>
        <v>* group[=].element[=].target.code = #Observation.extension:comorbidConditionPresent</v>
      </c>
    </row>
    <row r="327" spans="2:2">
      <c r="B327" s="12" t="str">
        <f>IF('Subject-ConceptMap-4'!S132=0,"//---END",'Subject-ConceptMap-4'!S132)</f>
        <v>* group[=].element[=].target.display = ##34###34#</v>
      </c>
    </row>
    <row r="328" spans="2:2">
      <c r="B328" s="12" t="str">
        <f>IF('Subject-ConceptMap-4'!S133=0,"//---END",'Subject-ConceptMap-4'!S133)</f>
        <v>* group[=].element[=].target.equivalence = #equivalent</v>
      </c>
    </row>
    <row r="329" spans="2:2">
      <c r="B329" s="12" t="str">
        <f>IF('Subject-ConceptMap-4'!S134=0,"//---END",'Subject-ConceptMap-4'!S134)</f>
        <v/>
      </c>
    </row>
    <row r="330" spans="2:2">
      <c r="B330" s="12" t="str">
        <f>IF('Subject-ConceptMap-4'!S135=0,"//---END",'Subject-ConceptMap-4'!S135)</f>
        <v>* group[=].element[+].code = #Subject.comorbidity.aids</v>
      </c>
    </row>
    <row r="331" spans="2:2">
      <c r="B331" s="12" t="str">
        <f>IF('Subject-ConceptMap-4'!S136=0,"//---END",'Subject-ConceptMap-4'!S136)</f>
        <v>* group[=].element[=].display = ##34#AIDS##34#</v>
      </c>
    </row>
    <row r="332" spans="2:2">
      <c r="B332" s="12" t="str">
        <f>IF('Subject-ConceptMap-4'!S137=0,"//---END",'Subject-ConceptMap-4'!S137)</f>
        <v>* group[=].element[=].target.code = #Observation.extension:comorbidConditionPresent</v>
      </c>
    </row>
    <row r="333" spans="2:2">
      <c r="B333" s="12" t="str">
        <f>IF('Subject-ConceptMap-4'!S138=0,"//---END",'Subject-ConceptMap-4'!S138)</f>
        <v>* group[=].element[=].target.display = ##34###34#</v>
      </c>
    </row>
    <row r="334" spans="2:2">
      <c r="B334" s="12" t="str">
        <f>IF('Subject-ConceptMap-4'!S139=0,"//---END",'Subject-ConceptMap-4'!S139)</f>
        <v>* group[=].element[=].target.equivalence = #equivalent</v>
      </c>
    </row>
    <row r="335" spans="2:2">
      <c r="B335" s="12" t="str">
        <f>IF('Subject-ConceptMap-4'!S140=0,"//---END",'Subject-ConceptMap-4'!S140)</f>
        <v/>
      </c>
    </row>
    <row r="336" spans="2:2">
      <c r="B336" s="12" t="str">
        <f>IF('Subject-ConceptMap-4'!S141=0,"//---END",'Subject-ConceptMap-4'!S141)</f>
        <v>//---END</v>
      </c>
    </row>
    <row r="337" spans="2:2">
      <c r="B337" s="12" t="str">
        <f>IF('Subject-ConceptMap-4'!S142=0,"//---END",'Subject-ConceptMap-4'!S142)</f>
        <v>//---END</v>
      </c>
    </row>
    <row r="338" spans="2:2">
      <c r="B338" s="12" t="str">
        <f>IF('Subject-ConceptMap-4'!S143=0,"//---END",'Subject-ConceptMap-4'!S143)</f>
        <v>//---END</v>
      </c>
    </row>
    <row r="339" spans="2:2">
      <c r="B339" s="12" t="str">
        <f>IF('Subject-ConceptMap-4'!S144=0,"//---END",'Subject-ConceptMap-4'!S144)</f>
        <v>//---END</v>
      </c>
    </row>
    <row r="340" spans="2:2" s="7" customFormat="1">
      <c r="B340" s="12" t="str">
        <f>IF('Subject-ConceptMap-4'!S145=0,"//---END",'Subject-ConceptMap-4'!S145)</f>
        <v>//---END</v>
      </c>
    </row>
    <row r="341" spans="2:2" s="7" customFormat="1">
      <c r="B341" s="103"/>
    </row>
    <row r="342" spans="2:2" s="7" customFormat="1">
      <c r="B342" s="180"/>
    </row>
    <row r="343" spans="2:2" s="7" customFormat="1">
      <c r="B343" s="182" t="str">
        <f>"* group[+].source = ##34#"&amp;'Subject-ConceptMap-5-8'!E6&amp;"##34#"</f>
        <v>* group[+].source = ##34#http://hl7.eu/fhir/ig/idea4rc/StructureDefinition/Subject##34#</v>
      </c>
    </row>
    <row r="344" spans="2:2" s="7" customFormat="1">
      <c r="B344" s="182" t="str">
        <f>"* group[=].target = ##34#"&amp;'Subject-ConceptMap-5-8'!E7&amp;"##34#"</f>
        <v>* group[=].target = ##34#http://hl7.eu/fhir/ig/idea4rc/StructureDefinition/observation-karnofsky-performance-statuseu-i4rc##34#</v>
      </c>
    </row>
    <row r="345" spans="2:2" s="7" customFormat="1">
      <c r="B345" s="180"/>
    </row>
    <row r="346" spans="2:2" s="7" customFormat="1">
      <c r="B346" s="103" t="str">
        <f>IF('Subject-ConceptMap-5-8'!S15=0,"//---END",'Subject-ConceptMap-5-8'!S15)</f>
        <v>* group[=].element[+].code = #Subject.karnofsyIndexAtDiagnosis</v>
      </c>
    </row>
    <row r="347" spans="2:2" s="7" customFormat="1">
      <c r="B347" s="103" t="str">
        <f>IF('Subject-ConceptMap-5-8'!S16=0,"//---END",'Subject-ConceptMap-5-8'!S16)</f>
        <v>* group[=].element[=].display = ##34#Karnofsy index at diagnosis##34#</v>
      </c>
    </row>
    <row r="348" spans="2:2">
      <c r="B348" s="103" t="str">
        <f>IF('Subject-ConceptMap-5-8'!S17=0,"//---END",'Subject-ConceptMap-5-8'!S17)</f>
        <v>* group[=].element[=].target.code = #Observation.valueInteger</v>
      </c>
    </row>
    <row r="349" spans="2:2">
      <c r="B349" s="103" t="str">
        <f>IF('Subject-ConceptMap-5-8'!S18=0,"//---END",'Subject-ConceptMap-5-8'!S18)</f>
        <v>* group[=].element[=].target.display = ##34###34#</v>
      </c>
    </row>
    <row r="350" spans="2:2">
      <c r="B350" s="103" t="str">
        <f>IF('Subject-ConceptMap-5-8'!S19=0,"//---END",'Subject-ConceptMap-5-8'!S19)</f>
        <v>* group[=].element[=].target.equivalence = #equal</v>
      </c>
    </row>
    <row r="351" spans="2:2">
      <c r="B351" s="103" t="str">
        <f>IF('Subject-ConceptMap-5-8'!S20=0,"//---END",'Subject-ConceptMap-5-8'!S20)</f>
        <v/>
      </c>
    </row>
    <row r="352" spans="2:2">
      <c r="B352" s="103" t="str">
        <f>IF('Subject-ConceptMap-5-8'!S21=0,"//---END",'Subject-ConceptMap-5-8'!S21)</f>
        <v>//---END</v>
      </c>
    </row>
    <row r="353" spans="2:2">
      <c r="B353" s="103"/>
    </row>
    <row r="354" spans="2:2">
      <c r="B354" s="103"/>
    </row>
    <row r="355" spans="2:2">
      <c r="B355" s="12"/>
    </row>
    <row r="356" spans="2:2">
      <c r="B356" s="178"/>
    </row>
    <row r="357" spans="2:2">
      <c r="B357" s="179" t="str">
        <f>"* group[+].source = ##34#"&amp;'Subject-ConceptMap-5-8'!E19&amp;"##34#"</f>
        <v>* group[+].source = ##34#http://hl7.eu/fhir/ig/idea4rc/StructureDefinition/Subject##34#</v>
      </c>
    </row>
    <row r="358" spans="2:2">
      <c r="B358" s="179" t="str">
        <f>"* group[=].target = ##34#"&amp;'Subject-ConceptMap-5-8'!E20&amp;"##34#"</f>
        <v>* group[=].target = ##34#http://hl7.eu/fhir/ig/idea4rc/StructureDefinition/observation-ecog-performance-status-eu-i4rc##34#</v>
      </c>
    </row>
    <row r="359" spans="2:2">
      <c r="B359" s="180"/>
    </row>
    <row r="360" spans="2:2">
      <c r="B360" s="12"/>
    </row>
    <row r="361" spans="2:2">
      <c r="B361" s="12" t="str">
        <f>IF('Subject-ConceptMap-5-8'!S22=0,"//---END",'Subject-ConceptMap-5-8'!S22)</f>
        <v>* group[=].element[+].code = #Subject.ecogPsAtDiagnosis</v>
      </c>
    </row>
    <row r="362" spans="2:2">
      <c r="B362" s="12" t="str">
        <f>IF('Subject-ConceptMap-5-8'!S23=0,"//---END",'Subject-ConceptMap-5-8'!S23)</f>
        <v>* group[=].element[=].display = ##34#Eastern Cooperative Oncology Group performance status (ECOG PS)  at diagnosis##34#</v>
      </c>
    </row>
    <row r="363" spans="2:2">
      <c r="B363" s="12" t="str">
        <f>IF('Subject-ConceptMap-5-8'!S24=0,"//---END",'Subject-ConceptMap-5-8'!S24)</f>
        <v>* group[=].element[=].target.code = #Observation.valueCodeableConcept</v>
      </c>
    </row>
    <row r="364" spans="2:2">
      <c r="B364" s="12" t="str">
        <f>IF('Subject-ConceptMap-5-8'!S25=0,"//---END",'Subject-ConceptMap-5-8'!S25)</f>
        <v>* group[=].element[=].target.display = ##34###34#</v>
      </c>
    </row>
    <row r="365" spans="2:2">
      <c r="B365" s="12" t="str">
        <f>IF('Subject-ConceptMap-5-8'!S26=0,"//---END",'Subject-ConceptMap-5-8'!S26)</f>
        <v>* group[=].element[=].target.equivalence = #equal</v>
      </c>
    </row>
    <row r="366" spans="2:2">
      <c r="B366" s="12" t="str">
        <f>IF('Subject-ConceptMap-5-8'!S27=0,"//---END",'Subject-ConceptMap-5-8'!S27)</f>
        <v/>
      </c>
    </row>
    <row r="367" spans="2:2">
      <c r="B367" s="12" t="str">
        <f>IF('Subject-ConceptMap-5-8'!S28=0,"//---END",'Subject-ConceptMap-5-8'!S28)</f>
        <v>//---END</v>
      </c>
    </row>
    <row r="368" spans="2:2">
      <c r="B368" s="12" t="str">
        <f>IF('Subject-ConceptMap-5-8'!S29=0,"//---END",'Subject-ConceptMap-5-8'!S29)</f>
        <v>//---END</v>
      </c>
    </row>
    <row r="369" spans="2:2">
      <c r="B369" s="12" t="str">
        <f>IF('Subject-ConceptMap-5-8'!S30=0,"//---END",'Subject-ConceptMap-5-8'!S30)</f>
        <v>//---END</v>
      </c>
    </row>
    <row r="370" spans="2:2">
      <c r="B370" s="178"/>
    </row>
    <row r="371" spans="2:2">
      <c r="B371" s="179" t="str">
        <f>"* group[+].source = ##34#"&amp;'Subject-ConceptMap-5-8'!E40&amp;"##34#"</f>
        <v>* group[+].source = ##34#http://hl7.eu/fhir/ig/idea4rc/StructureDefinition/Subject##34#</v>
      </c>
    </row>
    <row r="372" spans="2:2">
      <c r="B372" s="179" t="str">
        <f>"* group[=].target = ##34#"&amp;'Subject-ConceptMap-5-8'!E41&amp;"##34#"</f>
        <v>* group[=].target = ##34#http://hl7.eu/fhir/ig/idea4rc/StructureDefinition/observation-cci-eu-i4rc##34#</v>
      </c>
    </row>
    <row r="373" spans="2:2">
      <c r="B373" s="180"/>
    </row>
    <row r="374" spans="2:2">
      <c r="B374" s="12"/>
    </row>
    <row r="375" spans="2:2">
      <c r="B375" s="12" t="str">
        <f>IF('Subject-ConceptMap-5-8'!S43=0,"//---END",'Subject-ConceptMap-5-8'!S43)</f>
        <v>* group[=].element[+].code = #Subject.charlsonComorbidityIndex</v>
      </c>
    </row>
    <row r="376" spans="2:2">
      <c r="B376" s="12" t="str">
        <f>IF('Subject-ConceptMap-5-8'!S44=0,"//---END",'Subject-ConceptMap-5-8'!S44)</f>
        <v>* group[=].element[=].display = ##34#Charlson Comorbidity index##34#</v>
      </c>
    </row>
    <row r="377" spans="2:2">
      <c r="B377" s="12" t="str">
        <f>IF('Subject-ConceptMap-5-8'!S45=0,"//---END",'Subject-ConceptMap-5-8'!S45)</f>
        <v>* group[=].element[=].target.code = #Observation.valueInteger</v>
      </c>
    </row>
    <row r="378" spans="2:2">
      <c r="B378" s="12" t="str">
        <f>IF('Subject-ConceptMap-5-8'!S46=0,"//---END",'Subject-ConceptMap-5-8'!S46)</f>
        <v>* group[=].element[=].target.display = ##34###34#</v>
      </c>
    </row>
    <row r="379" spans="2:2">
      <c r="B379" s="12" t="str">
        <f>IF('Subject-ConceptMap-5-8'!S47=0,"//---END",'Subject-ConceptMap-5-8'!S47)</f>
        <v>* group[=].element[=].target.equivalence = #equal</v>
      </c>
    </row>
    <row r="380" spans="2:2">
      <c r="B380" s="12" t="str">
        <f>IF('Subject-ConceptMap-5-8'!S48=0,"//---END",'Subject-ConceptMap-5-8'!S48)</f>
        <v>//---END</v>
      </c>
    </row>
    <row r="381" spans="2:2">
      <c r="B381" s="12" t="str">
        <f>IF('Subject-ConceptMap-5-8'!S49=0,"//---END",'Subject-ConceptMap-5-8'!S49)</f>
        <v>//---END</v>
      </c>
    </row>
    <row r="382" spans="2:2">
      <c r="B382" s="12" t="str">
        <f>IF('Subject-ConceptMap-5-8'!S50=0,"//---END",'Subject-ConceptMap-5-8'!S50)</f>
        <v>//---END</v>
      </c>
    </row>
    <row r="383" spans="2:2">
      <c r="B383" s="12" t="str">
        <f>IF('Subject-ConceptMap-5-8'!S51=0,"//---END",'Subject-ConceptMap-5-8'!S51)</f>
        <v>//---END</v>
      </c>
    </row>
    <row r="384" spans="2:2">
      <c r="B384" s="12" t="str">
        <f>IF('Subject-ConceptMap-5-8'!S52=0,"//---END",'Subject-ConceptMap-5-8'!S52)</f>
        <v>//---END</v>
      </c>
    </row>
    <row r="385" spans="2:2">
      <c r="B385" s="12" t="str">
        <f>IF('Subject-ConceptMap-5-8'!S53=0,"//---END",'Subject-ConceptMap-5-8'!S53)</f>
        <v>//---END</v>
      </c>
    </row>
    <row r="386" spans="2:2">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45" zoomScaleNormal="145"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2375</v>
      </c>
      <c r="J4" s="16" t="str">
        <f>CONCATENATE("Logical: ",B4)</f>
        <v>Logical: EpisodeEventI4rc</v>
      </c>
    </row>
    <row r="5" spans="1:12" ht="19.899999999999999" customHeight="1">
      <c r="A5" s="14" t="s">
        <v>16</v>
      </c>
      <c r="B5" s="46" t="s">
        <v>1972</v>
      </c>
      <c r="J5" s="16" t="str">
        <f>CONCATENATE("Id: ",B5)</f>
        <v>Id: EpisodeEvent</v>
      </c>
    </row>
    <row r="6" spans="1:12" ht="19.899999999999999" customHeight="1">
      <c r="A6" s="14" t="s">
        <v>10</v>
      </c>
      <c r="B6" s="47" t="s">
        <v>1912</v>
      </c>
      <c r="J6" s="17" t="str">
        <f>CONCATENATE("Title: ##34#",B6,"##34#")</f>
        <v>Title: ##34#Episode Event##34#</v>
      </c>
    </row>
    <row r="7" spans="1:12" ht="19.899999999999999" customHeight="1">
      <c r="A7" s="26" t="s">
        <v>2</v>
      </c>
      <c r="B7" s="47" t="s">
        <v>1912</v>
      </c>
      <c r="C7" s="9" t="s">
        <v>3</v>
      </c>
      <c r="D7" s="1" t="s">
        <v>4</v>
      </c>
      <c r="E7" s="3" t="s">
        <v>5</v>
      </c>
      <c r="F7" s="3" t="s">
        <v>6</v>
      </c>
      <c r="G7" s="3" t="s">
        <v>7</v>
      </c>
      <c r="H7" s="105" t="s">
        <v>1610</v>
      </c>
      <c r="J7" s="17" t="str">
        <f>CONCATENATE("Description: "," ##334#",B7,"##334#",)</f>
        <v>Description:  ##334#Episode Event##334#</v>
      </c>
    </row>
    <row r="8" spans="1:12" ht="20.25" customHeight="1">
      <c r="A8" s="100">
        <v>0</v>
      </c>
      <c r="B8" s="57" t="s">
        <v>1973</v>
      </c>
      <c r="C8" s="11" t="s">
        <v>1945</v>
      </c>
      <c r="D8" s="11" t="s">
        <v>1946</v>
      </c>
      <c r="E8" s="11">
        <v>1</v>
      </c>
      <c r="F8" s="11">
        <v>1</v>
      </c>
      <c r="G8" t="s">
        <v>1990</v>
      </c>
      <c r="H8" s="12" t="s">
        <v>1784</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1987</v>
      </c>
      <c r="C9" s="11" t="s">
        <v>1947</v>
      </c>
      <c r="D9" s="11" t="s">
        <v>1948</v>
      </c>
      <c r="E9" s="11">
        <v>1</v>
      </c>
      <c r="F9" s="11">
        <v>1</v>
      </c>
      <c r="G9" s="57" t="s">
        <v>1781</v>
      </c>
      <c r="H9" s="12" t="s">
        <v>1969</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1988</v>
      </c>
      <c r="C10" s="11" t="s">
        <v>1949</v>
      </c>
      <c r="D10" s="12" t="s">
        <v>1950</v>
      </c>
      <c r="E10" s="11">
        <v>0</v>
      </c>
      <c r="F10" s="11">
        <v>1</v>
      </c>
      <c r="G10" s="57" t="s">
        <v>1781</v>
      </c>
      <c r="H10" s="12" t="s">
        <v>1970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1989</v>
      </c>
      <c r="C11" s="11" t="s">
        <v>1951</v>
      </c>
      <c r="D11" s="11" t="s">
        <v>1952</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1984</v>
      </c>
      <c r="C12" s="11" t="s">
        <v>1953</v>
      </c>
      <c r="D12" s="11" t="s">
        <v>1954</v>
      </c>
      <c r="E12" s="11">
        <v>0</v>
      </c>
      <c r="F12" s="11">
        <v>1</v>
      </c>
      <c r="G12" s="57" t="s">
        <v>1781</v>
      </c>
      <c r="H12" s="12" t="s">
        <v>1971</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1985</v>
      </c>
      <c r="C13" s="11" t="s">
        <v>1955</v>
      </c>
      <c r="D13" s="12" t="s">
        <v>1956</v>
      </c>
      <c r="E13" s="11">
        <v>0</v>
      </c>
      <c r="F13" s="11">
        <v>1</v>
      </c>
      <c r="G13" s="57" t="s">
        <v>1781</v>
      </c>
      <c r="H13" s="12" t="s">
        <v>1971</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1986</v>
      </c>
      <c r="C14" s="11" t="s">
        <v>1957</v>
      </c>
      <c r="D14" s="12" t="s">
        <v>1958</v>
      </c>
      <c r="E14" s="11">
        <v>0</v>
      </c>
      <c r="F14" s="11">
        <v>1</v>
      </c>
      <c r="G14" s="57" t="s">
        <v>1781</v>
      </c>
      <c r="H14" s="12" t="s">
        <v>1971</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1992</v>
      </c>
      <c r="C15" s="6" t="s">
        <v>1993</v>
      </c>
      <c r="D15" s="6" t="s">
        <v>1993</v>
      </c>
      <c r="E15" s="11">
        <v>0</v>
      </c>
      <c r="F15" s="11">
        <v>1</v>
      </c>
      <c r="G15" s="142" t="s">
        <v>1</v>
      </c>
      <c r="H15" s="4"/>
      <c r="I15" s="25"/>
      <c r="J15" s="12" t="str">
        <f t="shared" si="1"/>
        <v>* siteOfMetastasis 0..1 BackboneElement ##34#Site of metastasis##34# ##334#Site of metastasis##334#</v>
      </c>
      <c r="L15" s="12" t="str">
        <f t="shared" si="2"/>
        <v/>
      </c>
    </row>
    <row r="16" spans="1:12" ht="19.899999999999999" customHeight="1">
      <c r="A16" s="151">
        <v>7</v>
      </c>
      <c r="B16" s="57" t="s">
        <v>1974</v>
      </c>
      <c r="C16" s="11" t="s">
        <v>1959</v>
      </c>
      <c r="D16" s="12" t="s">
        <v>1625</v>
      </c>
      <c r="E16" s="11">
        <v>0</v>
      </c>
      <c r="F16" s="11">
        <v>1</v>
      </c>
      <c r="G16" s="57" t="s">
        <v>157</v>
      </c>
      <c r="H16" s="12" t="s">
        <v>1901</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1">
        <v>8</v>
      </c>
      <c r="B17" s="57" t="s">
        <v>1981</v>
      </c>
      <c r="C17" s="11" t="s">
        <v>1960</v>
      </c>
      <c r="D17" s="12" t="s">
        <v>1627</v>
      </c>
      <c r="E17" s="11">
        <v>0</v>
      </c>
      <c r="F17" s="11">
        <v>1</v>
      </c>
      <c r="G17" s="57" t="s">
        <v>157</v>
      </c>
      <c r="H17" s="12" t="s">
        <v>1901</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1">
        <v>9</v>
      </c>
      <c r="B18" s="57" t="s">
        <v>1977</v>
      </c>
      <c r="C18" s="11" t="s">
        <v>1961</v>
      </c>
      <c r="D18" s="12" t="s">
        <v>1629</v>
      </c>
      <c r="E18" s="11">
        <v>0</v>
      </c>
      <c r="F18" s="11">
        <v>1</v>
      </c>
      <c r="G18" s="57" t="s">
        <v>157</v>
      </c>
      <c r="H18" s="12" t="s">
        <v>1901</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1">
        <v>10</v>
      </c>
      <c r="B19" s="57" t="s">
        <v>1975</v>
      </c>
      <c r="C19" s="11" t="s">
        <v>1962</v>
      </c>
      <c r="D19" s="11" t="s">
        <v>1631</v>
      </c>
      <c r="E19" s="11">
        <v>0</v>
      </c>
      <c r="F19" s="11">
        <v>1</v>
      </c>
      <c r="G19" s="57" t="s">
        <v>157</v>
      </c>
      <c r="H19" s="12" t="s">
        <v>1901</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1">
        <v>11</v>
      </c>
      <c r="B20" s="57" t="s">
        <v>1978</v>
      </c>
      <c r="C20" s="11" t="s">
        <v>1963</v>
      </c>
      <c r="D20" s="11" t="s">
        <v>1633</v>
      </c>
      <c r="E20" s="11">
        <v>0</v>
      </c>
      <c r="F20" s="11">
        <v>1</v>
      </c>
      <c r="G20" s="57" t="s">
        <v>157</v>
      </c>
      <c r="H20" s="12" t="s">
        <v>1901</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1">
        <v>12</v>
      </c>
      <c r="B21" s="57" t="s">
        <v>1979</v>
      </c>
      <c r="C21" s="11" t="s">
        <v>1964</v>
      </c>
      <c r="D21" s="11" t="s">
        <v>1635</v>
      </c>
      <c r="E21" s="11">
        <v>0</v>
      </c>
      <c r="F21" s="11">
        <v>1</v>
      </c>
      <c r="G21" s="57" t="s">
        <v>157</v>
      </c>
      <c r="H21" s="12" t="s">
        <v>1901</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1">
        <v>13</v>
      </c>
      <c r="B22" s="57" t="s">
        <v>1980</v>
      </c>
      <c r="C22" s="11" t="s">
        <v>1965</v>
      </c>
      <c r="D22" s="11" t="s">
        <v>1637</v>
      </c>
      <c r="E22" s="11">
        <v>0</v>
      </c>
      <c r="F22" s="11">
        <v>1</v>
      </c>
      <c r="G22" s="57" t="s">
        <v>157</v>
      </c>
      <c r="H22" s="12" t="s">
        <v>1901</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1">
        <v>14</v>
      </c>
      <c r="B23" s="57" t="s">
        <v>1976</v>
      </c>
      <c r="C23" s="11" t="s">
        <v>1966</v>
      </c>
      <c r="D23" s="11" t="s">
        <v>1639</v>
      </c>
      <c r="E23" s="11">
        <v>0</v>
      </c>
      <c r="F23" s="11">
        <v>1</v>
      </c>
      <c r="G23" s="57" t="s">
        <v>157</v>
      </c>
      <c r="H23" s="12" t="s">
        <v>1901</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1">
        <v>15</v>
      </c>
      <c r="B24" s="57" t="s">
        <v>1982</v>
      </c>
      <c r="C24" s="11" t="s">
        <v>1967</v>
      </c>
      <c r="D24" s="12" t="s">
        <v>1641</v>
      </c>
      <c r="E24" s="11">
        <v>0</v>
      </c>
      <c r="F24" s="11">
        <v>1</v>
      </c>
      <c r="G24" s="57" t="s">
        <v>157</v>
      </c>
      <c r="H24" s="12" t="s">
        <v>1901</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1">
        <v>16</v>
      </c>
      <c r="B25" s="57" t="s">
        <v>1983</v>
      </c>
      <c r="C25" s="11" t="s">
        <v>1968</v>
      </c>
      <c r="D25" s="12" t="s">
        <v>1643</v>
      </c>
      <c r="E25" s="11">
        <v>0</v>
      </c>
      <c r="F25" s="11">
        <v>1</v>
      </c>
      <c r="G25" s="57" t="s">
        <v>157</v>
      </c>
      <c r="H25" s="12" t="s">
        <v>1901</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0">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1991</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1701</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2004</v>
      </c>
      <c r="D3" s="62" t="s">
        <v>1786</v>
      </c>
      <c r="E3" s="118" t="str">
        <f>$C$1&amp;EpisodeEvent!B4</f>
        <v>http://hl7.eu/fhir/ig/idea4rc/StructureDefinition/EpisodeEventI4rc</v>
      </c>
    </row>
    <row r="4" spans="1:19">
      <c r="B4" s="62" t="s">
        <v>16</v>
      </c>
      <c r="C4" s="28" t="s">
        <v>2009</v>
      </c>
      <c r="D4" s="62" t="s">
        <v>1787</v>
      </c>
      <c r="E4" s="168" t="s">
        <v>1799</v>
      </c>
      <c r="F4" s="169"/>
      <c r="G4" s="169"/>
    </row>
    <row r="5" spans="1:19">
      <c r="B5" s="62" t="s">
        <v>10</v>
      </c>
      <c r="C5" s="7" t="s">
        <v>2005</v>
      </c>
      <c r="D5" s="62"/>
      <c r="E5" s="7"/>
    </row>
    <row r="6" spans="1:19">
      <c r="B6" s="62" t="s">
        <v>18</v>
      </c>
      <c r="C6" s="56"/>
      <c r="D6" s="62" t="s">
        <v>1788</v>
      </c>
      <c r="E6" s="168" t="str">
        <f>E3</f>
        <v>http://hl7.eu/fhir/ig/idea4rc/StructureDefinition/EpisodeEventI4rc</v>
      </c>
      <c r="F6" s="169"/>
      <c r="G6" s="169"/>
    </row>
    <row r="7" spans="1:19">
      <c r="B7" s="62" t="s">
        <v>15</v>
      </c>
      <c r="C7" s="119"/>
      <c r="D7" s="62" t="s">
        <v>1789</v>
      </c>
      <c r="E7" s="168" t="s">
        <v>1799</v>
      </c>
      <c r="F7" s="169"/>
      <c r="G7" s="169"/>
    </row>
    <row r="8" spans="1:19" ht="45" thickBot="1">
      <c r="B8" s="62" t="s">
        <v>1790</v>
      </c>
      <c r="C8" s="120" t="s">
        <v>2005</v>
      </c>
      <c r="D8" s="62"/>
      <c r="E8" s="7"/>
      <c r="I8" s="12" t="s">
        <v>1402</v>
      </c>
      <c r="J8" s="12" t="s">
        <v>1403</v>
      </c>
      <c r="K8" s="12" t="s">
        <v>1404</v>
      </c>
      <c r="L8" s="12" t="s">
        <v>1405</v>
      </c>
      <c r="M8" s="11" t="s">
        <v>1406</v>
      </c>
      <c r="P8" s="49" t="s">
        <v>1441</v>
      </c>
      <c r="Q8" s="49">
        <v>6</v>
      </c>
    </row>
    <row r="9" spans="1:19" ht="30.25" thickBot="1">
      <c r="B9" s="62" t="s">
        <v>1791</v>
      </c>
      <c r="C9" s="12" t="s">
        <v>2006</v>
      </c>
      <c r="D9" s="144"/>
      <c r="E9" s="170" t="s">
        <v>2015</v>
      </c>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1822</v>
      </c>
      <c r="E14" s="6"/>
      <c r="F14" s="64"/>
      <c r="G14" s="64"/>
      <c r="I14" s="12"/>
      <c r="J14" s="11"/>
      <c r="K14" s="11"/>
      <c r="L14" s="11"/>
      <c r="M14" s="63"/>
      <c r="N14" s="66"/>
    </row>
    <row r="15" spans="1:19" ht="59">
      <c r="A15" s="59"/>
      <c r="B15" s="11" t="str">
        <f>EpisodeEvent!B8</f>
        <v>cancerEpisode</v>
      </c>
      <c r="C15" s="11" t="str">
        <f>EpisodeEvent!C8</f>
        <v>Cancer Episode Reference</v>
      </c>
      <c r="D15" s="12" t="s">
        <v>1995</v>
      </c>
      <c r="E15" s="12"/>
      <c r="F15" s="64" t="s">
        <v>1429</v>
      </c>
      <c r="G15" s="124" t="s">
        <v>2013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2014</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1996</v>
      </c>
      <c r="E17" s="12"/>
      <c r="F17" s="64" t="s">
        <v>1407</v>
      </c>
      <c r="G17" s="124" t="s">
        <v>1997</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1998</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1999</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2000</v>
      </c>
      <c r="E20" s="12"/>
      <c r="F20" s="64" t="s">
        <v>1407</v>
      </c>
      <c r="G20" s="143" t="s">
        <v>2001</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2000</v>
      </c>
      <c r="E21" s="12"/>
      <c r="F21" s="64" t="s">
        <v>1407</v>
      </c>
      <c r="G21" s="143" t="s">
        <v>2001</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2000</v>
      </c>
      <c r="E22" s="12"/>
      <c r="F22" s="64" t="s">
        <v>1407</v>
      </c>
      <c r="G22" s="143" t="s">
        <v>2001</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2002</v>
      </c>
      <c r="E23" s="11"/>
      <c r="F23" s="64" t="s">
        <v>1407</v>
      </c>
      <c r="G23" s="124" t="s">
        <v>2003</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2002</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2002</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2002</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2002</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2002</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2002</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2002</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2002</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2002</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2002</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2007</v>
      </c>
    </row>
    <row r="3" spans="2:7">
      <c r="B3" s="24" t="s">
        <v>20</v>
      </c>
    </row>
    <row r="4" spans="2:7">
      <c r="B4" s="65" t="str">
        <f>"Instance: "&amp;'EpisodeEvent-ConceptMap-1'!C4</f>
        <v>Instance: episodeEvent2FHIR</v>
      </c>
    </row>
    <row r="5" spans="2:7">
      <c r="B5" s="65" t="s">
        <v>1447</v>
      </c>
    </row>
    <row r="6" spans="2:7">
      <c r="B6" s="65" t="s">
        <v>1438</v>
      </c>
    </row>
    <row r="7" spans="2:7">
      <c r="B7" s="65" t="s">
        <v>1793</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2376</v>
      </c>
      <c r="J4" s="16" t="str">
        <f>CONCATENATE("Logical: ",B4)</f>
        <v>Logical: ClinicalStageI4rc</v>
      </c>
    </row>
    <row r="5" spans="1:12" ht="19.899999999999999" customHeight="1">
      <c r="A5" s="14" t="s">
        <v>16</v>
      </c>
      <c r="B5" s="46" t="s">
        <v>1908</v>
      </c>
      <c r="J5" s="16" t="str">
        <f>CONCATENATE("Id: ",B5)</f>
        <v>Id: ClinicalStage</v>
      </c>
    </row>
    <row r="6" spans="1:12" ht="19.899999999999999" customHeight="1">
      <c r="A6" s="14" t="s">
        <v>10</v>
      </c>
      <c r="B6" s="47" t="s">
        <v>1909</v>
      </c>
      <c r="J6" s="17" t="str">
        <f>CONCATENATE("Title: ##34#",B6,"##34#")</f>
        <v>Title: ##34#Clinical Stage##34#</v>
      </c>
    </row>
    <row r="7" spans="1:12" ht="19.899999999999999" customHeight="1">
      <c r="A7" s="26" t="s">
        <v>2</v>
      </c>
      <c r="B7" s="104" t="s">
        <v>1909</v>
      </c>
      <c r="C7" s="9" t="s">
        <v>3</v>
      </c>
      <c r="D7" s="1" t="s">
        <v>4</v>
      </c>
      <c r="E7" s="3" t="s">
        <v>5</v>
      </c>
      <c r="F7" s="3" t="s">
        <v>6</v>
      </c>
      <c r="G7" s="3" t="s">
        <v>7</v>
      </c>
      <c r="H7" s="105" t="s">
        <v>1610</v>
      </c>
      <c r="J7" s="17" t="str">
        <f>CONCATENATE("Description: "," ##334#",B7,"##334#",)</f>
        <v>Description:  ##334#Clinical Stage##334#</v>
      </c>
    </row>
    <row r="8" spans="1:12" ht="20.25" customHeight="1">
      <c r="A8" s="100">
        <v>0</v>
      </c>
      <c r="B8" s="57" t="s">
        <v>1911</v>
      </c>
      <c r="C8" s="11" t="s">
        <v>1912</v>
      </c>
      <c r="D8" s="11" t="s">
        <v>1897</v>
      </c>
      <c r="E8" s="11">
        <v>1</v>
      </c>
      <c r="F8" s="11">
        <v>1</v>
      </c>
      <c r="G8" t="s">
        <v>1994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1781</v>
      </c>
      <c r="H9" s="12" t="s">
        <v>1902</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1781</v>
      </c>
      <c r="H10" s="12" t="s">
        <v>1903</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1" t="s">
        <v>1943</v>
      </c>
      <c r="C11" s="11" t="s">
        <v>1898</v>
      </c>
      <c r="D11" s="11" t="s">
        <v>1899</v>
      </c>
      <c r="E11" s="11">
        <v>1</v>
      </c>
      <c r="F11" s="11">
        <v>1</v>
      </c>
      <c r="G11" s="57" t="s">
        <v>1781</v>
      </c>
      <c r="H11" s="12" t="s">
        <v>1904</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1781</v>
      </c>
      <c r="H12" s="12" t="s">
        <v>1905</v>
      </c>
      <c r="I12" s="25"/>
      <c r="J12" s="12" t="str">
        <f t="shared" si="0"/>
        <v>* cM 1..1 CodeableConcept ##34#cM##34# ##334#Specifies the clinical M##334#</v>
      </c>
      <c r="L12" s="12" t="str">
        <f t="shared" si="1"/>
        <v>* cM ^comment = ##334#M0; M1;M0 -  4149726
M1 - 4205430##334#</v>
      </c>
    </row>
    <row r="13" spans="1:12" ht="45.25" customHeight="1">
      <c r="A13" s="100">
        <v>5</v>
      </c>
      <c r="B13" s="57" t="s">
        <v>1910</v>
      </c>
      <c r="C13" s="11" t="s">
        <v>1620</v>
      </c>
      <c r="D13" s="12" t="s">
        <v>1621</v>
      </c>
      <c r="E13" s="11">
        <v>1</v>
      </c>
      <c r="F13" s="11">
        <v>1</v>
      </c>
      <c r="G13" s="57" t="s">
        <v>1781</v>
      </c>
      <c r="H13" s="12" t="s">
        <v>1906</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1781</v>
      </c>
      <c r="H14" s="12" t="s">
        <v>1907</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1">
        <v>7</v>
      </c>
      <c r="B15" s="57" t="s">
        <v>1648</v>
      </c>
      <c r="C15" s="11" t="s">
        <v>1624</v>
      </c>
      <c r="D15" s="12" t="s">
        <v>1625</v>
      </c>
      <c r="E15" s="11">
        <v>0</v>
      </c>
      <c r="F15" s="11">
        <v>1</v>
      </c>
      <c r="G15" s="57" t="s">
        <v>157</v>
      </c>
      <c r="H15" s="12" t="s">
        <v>1901</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1">
        <v>8</v>
      </c>
      <c r="B16" s="57" t="s">
        <v>1649</v>
      </c>
      <c r="C16" s="11" t="s">
        <v>1626</v>
      </c>
      <c r="D16" s="12" t="s">
        <v>1627</v>
      </c>
      <c r="E16" s="11">
        <v>0</v>
      </c>
      <c r="F16" s="11">
        <v>1</v>
      </c>
      <c r="G16" s="57" t="s">
        <v>157</v>
      </c>
      <c r="H16" s="12" t="s">
        <v>1901</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1">
        <v>9</v>
      </c>
      <c r="B17" s="57" t="s">
        <v>1628</v>
      </c>
      <c r="C17" s="11" t="s">
        <v>1628</v>
      </c>
      <c r="D17" s="12" t="s">
        <v>1629</v>
      </c>
      <c r="E17" s="11">
        <v>0</v>
      </c>
      <c r="F17" s="11">
        <v>1</v>
      </c>
      <c r="G17" s="57" t="s">
        <v>157</v>
      </c>
      <c r="H17" s="12" t="s">
        <v>1901</v>
      </c>
      <c r="I17" s="25"/>
      <c r="J17" s="12" t="str">
        <f t="shared" si="0"/>
        <v>* lung 0..1 boolean ##34#lung##34# ##334#Describes if site of metastasic disease  is lung##334#</v>
      </c>
      <c r="L17" s="12" t="str">
        <f t="shared" si="1"/>
        <v>* lung ^comment = ##334#True; False##334#</v>
      </c>
    </row>
    <row r="18" spans="1:13" ht="19.899999999999999" customHeight="1">
      <c r="A18" s="151">
        <v>10</v>
      </c>
      <c r="B18" s="57" t="s">
        <v>1630</v>
      </c>
      <c r="C18" s="11" t="s">
        <v>1630</v>
      </c>
      <c r="D18" s="11" t="s">
        <v>1631</v>
      </c>
      <c r="E18" s="11">
        <v>0</v>
      </c>
      <c r="F18" s="11">
        <v>1</v>
      </c>
      <c r="G18" s="57" t="s">
        <v>157</v>
      </c>
      <c r="H18" s="12" t="s">
        <v>1901</v>
      </c>
      <c r="J18" s="12" t="str">
        <f t="shared" si="0"/>
        <v>* bone 0..1 boolean ##34#bone##34# ##334#Describes if site of metastasic disease  is bone##334#</v>
      </c>
      <c r="L18" s="12" t="str">
        <f t="shared" si="1"/>
        <v>* bone ^comment = ##334#True; False##334#</v>
      </c>
    </row>
    <row r="19" spans="1:13" ht="19.899999999999999" customHeight="1">
      <c r="A19" s="151">
        <v>11</v>
      </c>
      <c r="B19" s="57" t="s">
        <v>1632</v>
      </c>
      <c r="C19" s="11" t="s">
        <v>1632</v>
      </c>
      <c r="D19" s="11" t="s">
        <v>1633</v>
      </c>
      <c r="E19" s="11">
        <v>0</v>
      </c>
      <c r="F19" s="11">
        <v>1</v>
      </c>
      <c r="G19" s="57" t="s">
        <v>157</v>
      </c>
      <c r="H19" s="12" t="s">
        <v>1901</v>
      </c>
      <c r="J19" s="12" t="str">
        <f t="shared" si="0"/>
        <v>* liver 0..1 boolean ##34#liver##34# ##334#Describes if site of metastasic disease  is liver##334#</v>
      </c>
      <c r="L19" s="12" t="str">
        <f t="shared" si="1"/>
        <v>* liver ^comment = ##334#True; False##334#</v>
      </c>
    </row>
    <row r="20" spans="1:13" ht="19.899999999999999" customHeight="1">
      <c r="A20" s="151">
        <v>12</v>
      </c>
      <c r="B20" s="57" t="s">
        <v>1634</v>
      </c>
      <c r="C20" s="11" t="s">
        <v>1634</v>
      </c>
      <c r="D20" s="11" t="s">
        <v>1635</v>
      </c>
      <c r="E20" s="11">
        <v>0</v>
      </c>
      <c r="F20" s="11">
        <v>1</v>
      </c>
      <c r="G20" s="57" t="s">
        <v>157</v>
      </c>
      <c r="H20" s="12" t="s">
        <v>1901</v>
      </c>
      <c r="J20" s="12" t="str">
        <f t="shared" si="0"/>
        <v>* pleura 0..1 boolean ##34#pleura##34# ##334#Describes if site of metastasic disease  is pleura##334#</v>
      </c>
      <c r="L20" s="12" t="str">
        <f t="shared" si="1"/>
        <v>* pleura ^comment = ##334#True; False##334#</v>
      </c>
    </row>
    <row r="21" spans="1:13" ht="19.899999999999999" customHeight="1">
      <c r="A21" s="151">
        <v>13</v>
      </c>
      <c r="B21" s="57" t="s">
        <v>1636</v>
      </c>
      <c r="C21" s="11" t="s">
        <v>1636</v>
      </c>
      <c r="D21" s="11" t="s">
        <v>1637</v>
      </c>
      <c r="E21" s="11">
        <v>0</v>
      </c>
      <c r="F21" s="11">
        <v>1</v>
      </c>
      <c r="G21" s="57" t="s">
        <v>157</v>
      </c>
      <c r="H21" s="12" t="s">
        <v>1901</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1">
        <v>14</v>
      </c>
      <c r="B22" s="57" t="s">
        <v>1638</v>
      </c>
      <c r="C22" s="11" t="s">
        <v>1638</v>
      </c>
      <c r="D22" s="11" t="s">
        <v>1639</v>
      </c>
      <c r="E22" s="11">
        <v>0</v>
      </c>
      <c r="F22" s="11">
        <v>1</v>
      </c>
      <c r="G22" s="57" t="s">
        <v>157</v>
      </c>
      <c r="H22" s="12" t="s">
        <v>1901</v>
      </c>
      <c r="J22" s="12" t="str">
        <f t="shared" si="0"/>
        <v>* brain 0..1 boolean ##34#brain##34# ##334#Describes if site of metastasic disease  is brain##334#</v>
      </c>
      <c r="L22" s="12" t="str">
        <f t="shared" si="1"/>
        <v>* brain ^comment = ##334#True; False##334#</v>
      </c>
      <c r="M22"/>
    </row>
    <row r="23" spans="1:13" ht="19.899999999999999" customHeight="1">
      <c r="A23" s="151">
        <v>15</v>
      </c>
      <c r="B23" s="57" t="s">
        <v>1650</v>
      </c>
      <c r="C23" s="11" t="s">
        <v>1640</v>
      </c>
      <c r="D23" s="12" t="s">
        <v>1641</v>
      </c>
      <c r="E23" s="11">
        <v>0</v>
      </c>
      <c r="F23" s="11">
        <v>1</v>
      </c>
      <c r="G23" s="57" t="s">
        <v>157</v>
      </c>
      <c r="H23" s="12" t="s">
        <v>1901</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1">
        <v>16</v>
      </c>
      <c r="B24" s="57" t="s">
        <v>1642</v>
      </c>
      <c r="C24" s="11" t="s">
        <v>1642</v>
      </c>
      <c r="D24" s="12" t="s">
        <v>1643</v>
      </c>
      <c r="E24" s="11">
        <v>0</v>
      </c>
      <c r="F24" s="11">
        <v>1</v>
      </c>
      <c r="G24" s="57" t="s">
        <v>157</v>
      </c>
      <c r="H24" s="12" t="s">
        <v>1901</v>
      </c>
      <c r="J24" s="12" t="str">
        <f t="shared" si="0"/>
        <v>* unknown 0..1 boolean ##34#unknown##34# ##334#Describes if site of metastasic disease  is unknown##334#</v>
      </c>
      <c r="L24" s="12" t="str">
        <f t="shared" si="1"/>
        <v>* unknown ^comment = ##334#True; False##334#</v>
      </c>
      <c r="M24"/>
    </row>
    <row r="25" spans="1:13" ht="19.899999999999999" customHeight="1">
      <c r="A25" s="140">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5" t="s">
        <v>2025</v>
      </c>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1913</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68" t="s">
        <v>2016</v>
      </c>
      <c r="F4" s="169"/>
      <c r="G4" s="169"/>
    </row>
    <row r="5" spans="1:19">
      <c r="B5" s="62" t="s">
        <v>10</v>
      </c>
      <c r="C5" s="7" t="s">
        <v>2011</v>
      </c>
      <c r="D5" s="62"/>
      <c r="E5" s="7"/>
    </row>
    <row r="6" spans="1:19">
      <c r="B6" s="62" t="s">
        <v>18</v>
      </c>
      <c r="C6" s="56"/>
      <c r="D6" s="62" t="s">
        <v>1788</v>
      </c>
      <c r="E6" s="168" t="str">
        <f>E3</f>
        <v>http://hl7.eu/fhir/ig/idea4rc/StructureDefinition/ClinicalStageI4rc</v>
      </c>
      <c r="F6" s="169"/>
      <c r="G6" s="169"/>
    </row>
    <row r="7" spans="1:19">
      <c r="B7" s="62" t="s">
        <v>15</v>
      </c>
      <c r="C7" s="119"/>
      <c r="D7" s="62" t="s">
        <v>1789</v>
      </c>
      <c r="E7" s="168" t="s">
        <v>2016</v>
      </c>
      <c r="F7" s="169"/>
      <c r="G7" s="169"/>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1870</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2017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2018</v>
      </c>
      <c r="E16" s="12"/>
      <c r="F16" s="64" t="s">
        <v>1407</v>
      </c>
      <c r="G16" s="124" t="s">
        <v>2032</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2019</v>
      </c>
      <c r="E17" s="12"/>
      <c r="F17" s="146" t="s">
        <v>1407</v>
      </c>
      <c r="G17" s="124" t="s">
        <v>2032</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2027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2020</v>
      </c>
      <c r="E19" s="12"/>
      <c r="F19" s="64" t="s">
        <v>1430</v>
      </c>
      <c r="G19" s="124" t="s">
        <v>2032</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2021</v>
      </c>
      <c r="E20" s="12"/>
      <c r="F20" s="64" t="s">
        <v>1429</v>
      </c>
      <c r="G20" s="124" t="s">
        <v>2032</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2022</v>
      </c>
      <c r="E21" s="12"/>
      <c r="F21" s="64" t="s">
        <v>1407</v>
      </c>
      <c r="G21" s="124" t="s">
        <v>2033</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7" t="s">
        <v>2026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2026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2026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2026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2026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2026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2026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2026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2026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2026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68" t="s">
        <v>2028</v>
      </c>
      <c r="F4" s="169"/>
      <c r="G4" s="169"/>
    </row>
    <row r="5" spans="1:19">
      <c r="B5" s="62" t="s">
        <v>10</v>
      </c>
      <c r="C5" s="7" t="s">
        <v>2011</v>
      </c>
      <c r="D5" s="62"/>
      <c r="E5" s="7"/>
    </row>
    <row r="6" spans="1:19">
      <c r="B6" s="62" t="s">
        <v>18</v>
      </c>
      <c r="C6" s="56"/>
      <c r="D6" s="62" t="s">
        <v>1788</v>
      </c>
      <c r="E6" s="168" t="str">
        <f>E3</f>
        <v>http://hl7.eu/fhir/ig/idea4rc/StructureDefinition/ClinicalStageI4rc</v>
      </c>
      <c r="F6" s="169"/>
      <c r="G6" s="169"/>
    </row>
    <row r="7" spans="1:19">
      <c r="B7" s="62" t="s">
        <v>15</v>
      </c>
      <c r="C7" s="119"/>
      <c r="D7" s="62" t="s">
        <v>1789</v>
      </c>
      <c r="E7" s="168" t="s">
        <v>2028</v>
      </c>
      <c r="F7" s="169"/>
      <c r="G7" s="169"/>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1870</v>
      </c>
      <c r="E14" s="6"/>
      <c r="F14" s="64"/>
      <c r="G14" s="64"/>
      <c r="I14" s="12"/>
      <c r="J14" s="11"/>
      <c r="K14" s="11"/>
      <c r="L14" s="11"/>
      <c r="M14" s="63"/>
      <c r="N14" s="66"/>
    </row>
    <row r="15" spans="1:19" ht="73.75" customHeight="1">
      <c r="A15" s="59"/>
      <c r="B15" s="11" t="str">
        <f>ClinicalStage!B9</f>
        <v>cT</v>
      </c>
      <c r="C15" s="11" t="str">
        <f>ClinicalStage!C9</f>
        <v>cT</v>
      </c>
      <c r="D15" s="12" t="s">
        <v>2021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6"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6"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6"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68" t="s">
        <v>2029</v>
      </c>
      <c r="F4" s="169"/>
      <c r="G4" s="169"/>
    </row>
    <row r="5" spans="1:19">
      <c r="B5" s="62" t="s">
        <v>10</v>
      </c>
      <c r="C5" s="7" t="s">
        <v>2011</v>
      </c>
      <c r="D5" s="62"/>
      <c r="E5" s="7"/>
    </row>
    <row r="6" spans="1:19">
      <c r="B6" s="62" t="s">
        <v>18</v>
      </c>
      <c r="C6" s="56"/>
      <c r="D6" s="62" t="s">
        <v>1788</v>
      </c>
      <c r="E6" s="168" t="str">
        <f>E3</f>
        <v>http://hl7.eu/fhir/ig/idea4rc/StructureDefinition/ClinicalStageI4rc</v>
      </c>
      <c r="F6" s="169"/>
      <c r="G6" s="169"/>
    </row>
    <row r="7" spans="1:19">
      <c r="B7" s="62" t="s">
        <v>15</v>
      </c>
      <c r="C7" s="119"/>
      <c r="D7" s="62" t="s">
        <v>1789</v>
      </c>
      <c r="E7" s="168" t="s">
        <v>2029</v>
      </c>
      <c r="F7" s="169"/>
      <c r="G7" s="169"/>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1870</v>
      </c>
      <c r="E14" s="6"/>
      <c r="F14" s="64"/>
      <c r="G14" s="64"/>
      <c r="I14" s="12"/>
      <c r="J14" s="11"/>
      <c r="K14" s="11"/>
      <c r="L14" s="11"/>
      <c r="M14" s="63"/>
      <c r="N14" s="66"/>
    </row>
    <row r="15" spans="1:19" ht="73.75" customHeight="1">
      <c r="A15" s="59"/>
      <c r="B15" s="11" t="str">
        <f>ClinicalStage!B9</f>
        <v>cT</v>
      </c>
      <c r="C15" s="11" t="str">
        <f>ClinicalStage!C9</f>
        <v>cT</v>
      </c>
      <c r="D15" s="12" t="s">
        <v>2021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6"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6"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6"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68" t="s">
        <v>2030</v>
      </c>
      <c r="F4" s="169"/>
      <c r="G4" s="169"/>
    </row>
    <row r="5" spans="1:19">
      <c r="B5" s="62" t="s">
        <v>10</v>
      </c>
      <c r="C5" s="7" t="s">
        <v>2011</v>
      </c>
      <c r="D5" s="62"/>
      <c r="E5" s="7"/>
    </row>
    <row r="6" spans="1:19">
      <c r="B6" s="62" t="s">
        <v>18</v>
      </c>
      <c r="C6" s="56"/>
      <c r="D6" s="62" t="s">
        <v>1788</v>
      </c>
      <c r="E6" s="168" t="str">
        <f>E3</f>
        <v>http://hl7.eu/fhir/ig/idea4rc/StructureDefinition/ClinicalStageI4rc</v>
      </c>
      <c r="F6" s="169"/>
      <c r="G6" s="169"/>
    </row>
    <row r="7" spans="1:19">
      <c r="B7" s="62" t="s">
        <v>15</v>
      </c>
      <c r="C7" s="119"/>
      <c r="D7" s="62" t="s">
        <v>1789</v>
      </c>
      <c r="E7" s="168" t="s">
        <v>2030</v>
      </c>
      <c r="F7" s="169"/>
      <c r="G7" s="169"/>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1870</v>
      </c>
      <c r="E14" s="6"/>
      <c r="F14" s="64"/>
      <c r="G14" s="64"/>
      <c r="I14" s="12"/>
      <c r="J14" s="11"/>
      <c r="K14" s="11"/>
      <c r="L14" s="11"/>
      <c r="M14" s="63"/>
      <c r="N14" s="66"/>
    </row>
    <row r="15" spans="1:19" ht="73.75" customHeight="1">
      <c r="A15" s="59"/>
      <c r="B15" s="11" t="str">
        <f>ClinicalStage!B9</f>
        <v>cT</v>
      </c>
      <c r="C15" s="11" t="str">
        <f>ClinicalStage!C9</f>
        <v>cT</v>
      </c>
      <c r="D15" s="12" t="s">
        <v>2021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6"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6"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6"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2031</v>
      </c>
    </row>
    <row r="3" spans="2:7">
      <c r="B3" s="24" t="s">
        <v>20</v>
      </c>
    </row>
    <row r="4" spans="2:7">
      <c r="B4" s="65" t="str">
        <f>"Instance: "&amp;'ClinicalStage-ConceptMap-1'!C4</f>
        <v>Instance: clinicalStage2FHIR</v>
      </c>
    </row>
    <row r="5" spans="2:7">
      <c r="B5" s="65" t="s">
        <v>1447</v>
      </c>
    </row>
    <row r="6" spans="2:7">
      <c r="B6" s="65" t="s">
        <v>1438</v>
      </c>
    </row>
    <row r="7" spans="2:7">
      <c r="B7" s="65" t="s">
        <v>1793</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##34#http://hl7.eu/fhir/ig/idea4rc/StructureDefinition/ClinicalStageI4rc##34#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2377</v>
      </c>
      <c r="J4" s="16" t="str">
        <f>CONCATENATE("Logical: ",B4)</f>
        <v>Logical: PathologicalStageI4rc</v>
      </c>
    </row>
    <row r="5" spans="1:12" ht="19.899999999999999" customHeight="1">
      <c r="A5" s="14" t="s">
        <v>16</v>
      </c>
      <c r="B5" s="46" t="s">
        <v>1936</v>
      </c>
      <c r="J5" s="16" t="str">
        <f>CONCATENATE("Id: ",B5)</f>
        <v>Id: PathologicalStage</v>
      </c>
    </row>
    <row r="6" spans="1:12" ht="19.899999999999999" customHeight="1">
      <c r="A6" s="14" t="s">
        <v>10</v>
      </c>
      <c r="B6" s="47" t="s">
        <v>1937</v>
      </c>
      <c r="J6" s="17" t="str">
        <f>CONCATENATE("Title: ##34#",B6,"##34#")</f>
        <v>Title: ##34#Pathological Stage##34#</v>
      </c>
    </row>
    <row r="7" spans="1:12" ht="19.899999999999999" customHeight="1">
      <c r="A7" s="26" t="s">
        <v>2</v>
      </c>
      <c r="B7" s="104" t="s">
        <v>1936</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1938</v>
      </c>
      <c r="C8" s="11" t="s">
        <v>1896</v>
      </c>
      <c r="D8" s="11" t="s">
        <v>1897</v>
      </c>
      <c r="E8" s="11">
        <v>1</v>
      </c>
      <c r="F8" s="11">
        <v>1</v>
      </c>
      <c r="G8" s="57" t="s">
        <v>1994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1914</v>
      </c>
      <c r="C9" s="11" t="s">
        <v>1914</v>
      </c>
      <c r="D9" s="11" t="s">
        <v>1915</v>
      </c>
      <c r="E9" s="11">
        <v>0</v>
      </c>
      <c r="F9" s="11">
        <v>1</v>
      </c>
      <c r="G9" s="57" t="s">
        <v>1781</v>
      </c>
      <c r="H9" s="12" t="s">
        <v>1929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1916</v>
      </c>
      <c r="C10" s="11" t="s">
        <v>1916</v>
      </c>
      <c r="D10" s="11" t="s">
        <v>1917</v>
      </c>
      <c r="E10" s="11">
        <v>0</v>
      </c>
      <c r="F10" s="11">
        <v>1</v>
      </c>
      <c r="G10" s="57" t="s">
        <v>1781</v>
      </c>
      <c r="H10" s="12" t="s">
        <v>1930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1918</v>
      </c>
      <c r="C11" s="11" t="s">
        <v>1918</v>
      </c>
      <c r="D11" s="11" t="s">
        <v>1919</v>
      </c>
      <c r="E11" s="11">
        <v>0</v>
      </c>
      <c r="F11" s="11">
        <v>1</v>
      </c>
      <c r="G11" s="57" t="s">
        <v>1781</v>
      </c>
      <c r="H11" s="12" t="s">
        <v>1931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1942</v>
      </c>
      <c r="C12" s="11" t="s">
        <v>1920</v>
      </c>
      <c r="D12" s="11" t="s">
        <v>1921</v>
      </c>
      <c r="E12" s="11">
        <v>0</v>
      </c>
      <c r="F12" s="11">
        <v>1</v>
      </c>
      <c r="G12" s="57" t="s">
        <v>1781</v>
      </c>
      <c r="H12" s="12" t="s">
        <v>1932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1939</v>
      </c>
      <c r="C13" s="11" t="s">
        <v>1922</v>
      </c>
      <c r="D13" s="12" t="s">
        <v>1923</v>
      </c>
      <c r="E13" s="11">
        <v>0</v>
      </c>
      <c r="F13" s="11">
        <v>1</v>
      </c>
      <c r="G13" s="57" t="s">
        <v>1781</v>
      </c>
      <c r="H13" s="12" t="s">
        <v>1933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1940</v>
      </c>
      <c r="C14" s="11" t="s">
        <v>1924</v>
      </c>
      <c r="D14" s="12" t="s">
        <v>1646</v>
      </c>
      <c r="E14" s="11">
        <v>1</v>
      </c>
      <c r="F14" s="11">
        <v>1</v>
      </c>
      <c r="G14" s="57" t="s">
        <v>1781</v>
      </c>
      <c r="H14" s="12" t="s">
        <v>1934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1925</v>
      </c>
      <c r="E15" s="11">
        <v>0</v>
      </c>
      <c r="F15" s="11">
        <v>1</v>
      </c>
      <c r="G15" s="57" t="s">
        <v>1781</v>
      </c>
      <c r="H15" s="12" t="s">
        <v>1934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1941</v>
      </c>
      <c r="C16" s="11" t="s">
        <v>1926</v>
      </c>
      <c r="D16" s="12" t="s">
        <v>1927</v>
      </c>
      <c r="E16" s="11">
        <v>1</v>
      </c>
      <c r="F16" s="11">
        <v>1</v>
      </c>
      <c r="G16" s="57" t="s">
        <v>1781</v>
      </c>
      <c r="H16" s="12" t="s">
        <v>1935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1781</v>
      </c>
      <c r="H17" s="12" t="s">
        <v>1900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1928</v>
      </c>
      <c r="D18" s="11" t="s">
        <v>1625</v>
      </c>
      <c r="E18" s="11">
        <v>0</v>
      </c>
      <c r="F18" s="11">
        <v>1</v>
      </c>
      <c r="G18" s="57" t="s">
        <v>157</v>
      </c>
      <c r="H18" s="12" t="s">
        <v>1901</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1901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4">
        <v>0</v>
      </c>
      <c r="F20" s="11">
        <v>1</v>
      </c>
      <c r="G20" s="57" t="s">
        <v>157</v>
      </c>
      <c r="H20" s="12" t="s">
        <v>1901</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4">
        <v>0</v>
      </c>
      <c r="F21" s="11">
        <v>1</v>
      </c>
      <c r="G21" s="57" t="s">
        <v>157</v>
      </c>
      <c r="H21" s="12" t="s">
        <v>1901</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4">
        <v>0</v>
      </c>
      <c r="F22" s="11">
        <v>1</v>
      </c>
      <c r="G22" s="57" t="s">
        <v>157</v>
      </c>
      <c r="H22" s="12" t="s">
        <v>1901</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4">
        <v>0</v>
      </c>
      <c r="F23" s="11">
        <v>1</v>
      </c>
      <c r="G23" s="57" t="s">
        <v>157</v>
      </c>
      <c r="H23" s="12" t="s">
        <v>1901</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4">
        <v>0</v>
      </c>
      <c r="F24" s="11">
        <v>1</v>
      </c>
      <c r="G24" s="57" t="s">
        <v>157</v>
      </c>
      <c r="H24" s="12" t="s">
        <v>1901</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1901</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1901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1901</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5" t="s">
        <v>2025</v>
      </c>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1944</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2034</v>
      </c>
      <c r="D3" s="62" t="s">
        <v>1786</v>
      </c>
      <c r="E3" s="118" t="str">
        <f>$C$1&amp;ClinicalStage!B4</f>
        <v>http://hl7.eu/fhir/ig/idea4rc/StructureDefinition/ClinicalStageI4rc</v>
      </c>
    </row>
    <row r="4" spans="1:19">
      <c r="B4" s="62" t="s">
        <v>16</v>
      </c>
      <c r="C4" s="28" t="s">
        <v>2037</v>
      </c>
      <c r="D4" s="62" t="s">
        <v>1787</v>
      </c>
      <c r="E4" s="168" t="s">
        <v>2016</v>
      </c>
      <c r="F4" s="169"/>
      <c r="G4" s="169"/>
    </row>
    <row r="5" spans="1:19">
      <c r="B5" s="62" t="s">
        <v>10</v>
      </c>
      <c r="C5" s="7" t="s">
        <v>2035</v>
      </c>
      <c r="D5" s="62"/>
      <c r="E5" s="7"/>
    </row>
    <row r="6" spans="1:19">
      <c r="B6" s="62" t="s">
        <v>18</v>
      </c>
      <c r="C6" s="56"/>
      <c r="D6" s="62" t="s">
        <v>1788</v>
      </c>
      <c r="E6" s="168" t="str">
        <f>E3</f>
        <v>http://hl7.eu/fhir/ig/idea4rc/StructureDefinition/ClinicalStageI4rc</v>
      </c>
      <c r="F6" s="169"/>
      <c r="G6" s="169"/>
    </row>
    <row r="7" spans="1:19">
      <c r="B7" s="62" t="s">
        <v>15</v>
      </c>
      <c r="C7" s="119"/>
      <c r="D7" s="62" t="s">
        <v>1789</v>
      </c>
      <c r="E7" s="168" t="s">
        <v>2016</v>
      </c>
      <c r="F7" s="169"/>
      <c r="G7" s="169"/>
    </row>
    <row r="8" spans="1:19" ht="44.25">
      <c r="B8" s="62" t="s">
        <v>1790</v>
      </c>
      <c r="C8" s="120" t="s">
        <v>2035</v>
      </c>
      <c r="D8" s="62"/>
      <c r="E8" s="7"/>
      <c r="I8" s="12" t="s">
        <v>1402</v>
      </c>
      <c r="J8" s="12" t="s">
        <v>1403</v>
      </c>
      <c r="K8" s="12" t="s">
        <v>1404</v>
      </c>
      <c r="L8" s="12" t="s">
        <v>1405</v>
      </c>
      <c r="M8" s="11" t="s">
        <v>1406</v>
      </c>
      <c r="P8" s="49" t="s">
        <v>1441</v>
      </c>
      <c r="Q8" s="49">
        <v>6</v>
      </c>
    </row>
    <row r="9" spans="1:19" ht="29.5">
      <c r="B9" s="62" t="s">
        <v>1791</v>
      </c>
      <c r="C9" s="12" t="s">
        <v>2036</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1870</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2017</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2018</v>
      </c>
      <c r="E16" s="12"/>
      <c r="F16" s="64" t="s">
        <v>1407</v>
      </c>
      <c r="G16" s="124" t="s">
        <v>2023</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2019</v>
      </c>
      <c r="E17" s="12"/>
      <c r="F17" s="146" t="s">
        <v>1407</v>
      </c>
      <c r="G17" s="124" t="s">
        <v>2023</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2020</v>
      </c>
      <c r="E18" s="12"/>
      <c r="F18" s="64" t="s">
        <v>1430</v>
      </c>
      <c r="G18" s="124" t="s">
        <v>2023</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2227</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2227</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2227</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2227</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2021</v>
      </c>
      <c r="E23" s="12"/>
      <c r="F23" s="64" t="s">
        <v>1407</v>
      </c>
      <c r="G23" s="124" t="s">
        <v>2023</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2022</v>
      </c>
      <c r="E24" s="12"/>
      <c r="F24" s="64" t="s">
        <v>1407</v>
      </c>
      <c r="G24" s="124" t="s">
        <v>2024</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2026</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2026</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2026</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2026</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2026</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2026</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2026</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2026</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2026</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2026</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2034</v>
      </c>
      <c r="D3" s="62" t="s">
        <v>1786</v>
      </c>
      <c r="E3" s="118" t="str">
        <f>$C$1&amp;ClinicalStage!B4</f>
        <v>http://hl7.eu/fhir/ig/idea4rc/StructureDefinition/ClinicalStageI4rc</v>
      </c>
    </row>
    <row r="4" spans="1:19">
      <c r="B4" s="62" t="s">
        <v>16</v>
      </c>
      <c r="C4" s="28" t="s">
        <v>2034</v>
      </c>
      <c r="D4" s="62" t="s">
        <v>1787</v>
      </c>
      <c r="E4" s="168" t="s">
        <v>2028</v>
      </c>
      <c r="F4" s="169"/>
      <c r="G4" s="169"/>
    </row>
    <row r="5" spans="1:19">
      <c r="B5" s="62" t="s">
        <v>10</v>
      </c>
      <c r="C5" s="7" t="s">
        <v>2011</v>
      </c>
      <c r="D5" s="62"/>
      <c r="E5" s="7"/>
    </row>
    <row r="6" spans="1:19">
      <c r="B6" s="62" t="s">
        <v>18</v>
      </c>
      <c r="C6" s="56"/>
      <c r="D6" s="62" t="s">
        <v>1788</v>
      </c>
      <c r="E6" s="168" t="str">
        <f>E3</f>
        <v>http://hl7.eu/fhir/ig/idea4rc/StructureDefinition/ClinicalStageI4rc</v>
      </c>
      <c r="F6" s="169"/>
      <c r="G6" s="169"/>
    </row>
    <row r="7" spans="1:19">
      <c r="B7" s="62" t="s">
        <v>15</v>
      </c>
      <c r="C7" s="119"/>
      <c r="D7" s="62" t="s">
        <v>1789</v>
      </c>
      <c r="E7" s="168" t="s">
        <v>2028</v>
      </c>
      <c r="F7" s="169"/>
      <c r="G7" s="169"/>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1870</v>
      </c>
      <c r="E14" s="6"/>
      <c r="F14" s="64"/>
      <c r="G14" s="64"/>
      <c r="I14" s="12"/>
      <c r="J14" s="11"/>
      <c r="K14" s="11"/>
      <c r="L14" s="11"/>
      <c r="M14" s="63"/>
      <c r="N14" s="66"/>
    </row>
    <row r="15" spans="1:19" ht="73.75" customHeight="1">
      <c r="A15" s="59"/>
      <c r="B15" s="11" t="str">
        <f>ClinicalStage!B9</f>
        <v>cT</v>
      </c>
      <c r="C15" s="11" t="str">
        <f>ClinicalStage!C9</f>
        <v>cT</v>
      </c>
      <c r="D15" s="12" t="s">
        <v>2021</v>
      </c>
      <c r="E15" s="12"/>
      <c r="F15" s="64" t="s">
        <v>1407</v>
      </c>
      <c r="G15" s="124" t="s">
        <v>2023</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6"/>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6"/>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6"/>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68" t="s">
        <v>2029</v>
      </c>
      <c r="F4" s="169"/>
      <c r="G4" s="169"/>
    </row>
    <row r="5" spans="1:19">
      <c r="B5" s="62" t="s">
        <v>10</v>
      </c>
      <c r="C5" s="7" t="s">
        <v>2011</v>
      </c>
      <c r="D5" s="62"/>
      <c r="E5" s="7"/>
    </row>
    <row r="6" spans="1:19">
      <c r="B6" s="62" t="s">
        <v>18</v>
      </c>
      <c r="C6" s="56"/>
      <c r="D6" s="62" t="s">
        <v>1788</v>
      </c>
      <c r="E6" s="168" t="str">
        <f>E3</f>
        <v>http://hl7.eu/fhir/ig/idea4rc/StructureDefinition/ClinicalStageI4rc</v>
      </c>
      <c r="F6" s="169"/>
      <c r="G6" s="169"/>
    </row>
    <row r="7" spans="1:19">
      <c r="B7" s="62" t="s">
        <v>15</v>
      </c>
      <c r="C7" s="119"/>
      <c r="D7" s="62" t="s">
        <v>1789</v>
      </c>
      <c r="E7" s="168" t="s">
        <v>2029</v>
      </c>
      <c r="F7" s="169"/>
      <c r="G7" s="169"/>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1870</v>
      </c>
      <c r="E14" s="6"/>
      <c r="F14" s="64"/>
      <c r="G14" s="64"/>
      <c r="I14" s="12"/>
      <c r="J14" s="11"/>
      <c r="K14" s="11"/>
      <c r="L14" s="11"/>
      <c r="M14" s="63"/>
      <c r="N14" s="66"/>
    </row>
    <row r="15" spans="1:19" ht="73.75" customHeight="1">
      <c r="A15" s="59"/>
      <c r="B15" s="11" t="str">
        <f>ClinicalStage!B10</f>
        <v>cN</v>
      </c>
      <c r="C15" s="11" t="str">
        <f>ClinicalStage!C10</f>
        <v>cN</v>
      </c>
      <c r="D15" s="12" t="s">
        <v>2021</v>
      </c>
      <c r="E15" s="12"/>
      <c r="F15" s="64" t="s">
        <v>1407</v>
      </c>
      <c r="G15" s="124" t="s">
        <v>2023</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6"/>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6"/>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2008</v>
      </c>
      <c r="D3" s="62" t="s">
        <v>1786</v>
      </c>
      <c r="E3" s="118" t="str">
        <f>$C$1&amp;ClinicalStage!B4</f>
        <v>http://hl7.eu/fhir/ig/idea4rc/StructureDefinition/ClinicalStageI4rc</v>
      </c>
    </row>
    <row r="4" spans="1:19">
      <c r="B4" s="62" t="s">
        <v>16</v>
      </c>
      <c r="C4" s="28" t="s">
        <v>2010</v>
      </c>
      <c r="D4" s="62" t="s">
        <v>1787</v>
      </c>
      <c r="E4" s="168" t="s">
        <v>2030</v>
      </c>
      <c r="F4" s="169"/>
      <c r="G4" s="169"/>
    </row>
    <row r="5" spans="1:19">
      <c r="B5" s="62" t="s">
        <v>10</v>
      </c>
      <c r="C5" s="7" t="s">
        <v>2011</v>
      </c>
      <c r="D5" s="62"/>
      <c r="E5" s="7"/>
    </row>
    <row r="6" spans="1:19">
      <c r="B6" s="62" t="s">
        <v>18</v>
      </c>
      <c r="C6" s="56"/>
      <c r="D6" s="62" t="s">
        <v>1788</v>
      </c>
      <c r="E6" s="168" t="str">
        <f>E3</f>
        <v>http://hl7.eu/fhir/ig/idea4rc/StructureDefinition/ClinicalStageI4rc</v>
      </c>
      <c r="F6" s="169"/>
      <c r="G6" s="169"/>
    </row>
    <row r="7" spans="1:19">
      <c r="B7" s="62" t="s">
        <v>15</v>
      </c>
      <c r="C7" s="119"/>
      <c r="D7" s="62" t="s">
        <v>1789</v>
      </c>
      <c r="E7" s="168" t="s">
        <v>2030</v>
      </c>
      <c r="F7" s="169"/>
      <c r="G7" s="169"/>
    </row>
    <row r="8" spans="1:19" ht="44.25">
      <c r="B8" s="62" t="s">
        <v>1790</v>
      </c>
      <c r="C8" s="120" t="s">
        <v>2011</v>
      </c>
      <c r="D8" s="62"/>
      <c r="E8" s="7"/>
      <c r="I8" s="12" t="s">
        <v>1402</v>
      </c>
      <c r="J8" s="12" t="s">
        <v>1403</v>
      </c>
      <c r="K8" s="12" t="s">
        <v>1404</v>
      </c>
      <c r="L8" s="12" t="s">
        <v>1405</v>
      </c>
      <c r="M8" s="11" t="s">
        <v>1406</v>
      </c>
      <c r="P8" s="49" t="s">
        <v>1441</v>
      </c>
      <c r="Q8" s="49">
        <v>6</v>
      </c>
    </row>
    <row r="9" spans="1:19">
      <c r="B9" s="62" t="s">
        <v>1791</v>
      </c>
      <c r="C9" s="12" t="s">
        <v>2012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1870</v>
      </c>
      <c r="E14" s="6"/>
      <c r="F14" s="64"/>
      <c r="G14" s="64"/>
      <c r="I14" s="12"/>
      <c r="J14" s="11"/>
      <c r="K14" s="11"/>
      <c r="L14" s="11"/>
      <c r="M14" s="63"/>
      <c r="N14" s="66"/>
    </row>
    <row r="15" spans="1:19" ht="73.75" customHeight="1">
      <c r="A15" s="59"/>
      <c r="B15" s="11" t="str">
        <f>ClinicalStage!B12</f>
        <v>cM</v>
      </c>
      <c r="C15" s="11" t="str">
        <f>ClinicalStage!C12</f>
        <v>cM</v>
      </c>
      <c r="D15" s="12" t="s">
        <v>2021</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6"/>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6"/>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6"/>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2038</v>
      </c>
    </row>
    <row r="3" spans="2:7">
      <c r="B3" s="24" t="s">
        <v>20</v>
      </c>
    </row>
    <row r="4" spans="2:7">
      <c r="B4" s="65" t="str">
        <f>"Instance: "&amp;'PathStage-ConceptMap-1'!C4</f>
        <v>Instance: pathologicalStage2FHIR</v>
      </c>
    </row>
    <row r="5" spans="2:7">
      <c r="B5" s="65" t="s">
        <v>1447</v>
      </c>
    </row>
    <row r="6" spans="2:7">
      <c r="B6" s="65" t="s">
        <v>1438</v>
      </c>
    </row>
    <row r="7" spans="2:7">
      <c r="B7" s="65" t="s">
        <v>1793</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##34#http://hl7.eu/fhir/ig/idea4rc/StructureDefinition/ClinicalStageI4rc##34#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2378</v>
      </c>
      <c r="J4" s="16" t="str">
        <f>CONCATENATE("Logical: ",B4)</f>
        <v>Logical: SystemicTreatmentI4rc</v>
      </c>
    </row>
    <row r="5" spans="1:12" ht="15.5" thickBot="1">
      <c r="A5" s="14" t="s">
        <v>16</v>
      </c>
      <c r="B5" s="45" t="s">
        <v>2039</v>
      </c>
      <c r="J5" s="16" t="str">
        <f>CONCATENATE("Id: ",B5)</f>
        <v>Id: SystemicTreatment</v>
      </c>
    </row>
    <row r="6" spans="1:12" ht="15.5" thickBot="1">
      <c r="A6" s="14" t="s">
        <v>10</v>
      </c>
      <c r="B6" s="45" t="s">
        <v>2040</v>
      </c>
      <c r="J6" s="17" t="str">
        <f>CONCATENATE("Title: ##34#",B6,"##34#")</f>
        <v>Title: ##34#Systemic Treatment##34#</v>
      </c>
    </row>
    <row r="7" spans="1:12">
      <c r="A7" s="26" t="s">
        <v>2</v>
      </c>
      <c r="B7" s="45" t="s">
        <v>2040</v>
      </c>
      <c r="C7" s="9" t="s">
        <v>3</v>
      </c>
      <c r="D7" s="1" t="s">
        <v>4</v>
      </c>
      <c r="E7" s="3" t="s">
        <v>5</v>
      </c>
      <c r="F7" s="3" t="s">
        <v>6</v>
      </c>
      <c r="G7" s="3" t="s">
        <v>7</v>
      </c>
      <c r="H7" s="105" t="s">
        <v>1610</v>
      </c>
      <c r="J7" s="17" t="str">
        <f>CONCATENATE("Description: "," ##334#",B7,"##334#",)</f>
        <v>Description:  ##334#Systemic Treatment##334#</v>
      </c>
    </row>
    <row r="8" spans="1:12" ht="59">
      <c r="A8" s="100">
        <v>0</v>
      </c>
      <c r="B8" s="12" t="s">
        <v>1938</v>
      </c>
      <c r="C8" s="12" t="s">
        <v>2041</v>
      </c>
      <c r="D8" s="12" t="s">
        <v>1897</v>
      </c>
      <c r="E8" s="11">
        <v>1</v>
      </c>
      <c r="F8" s="11">
        <v>1</v>
      </c>
      <c r="G8" s="57" t="s">
        <v>1994</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2042</v>
      </c>
      <c r="C9" s="12" t="s">
        <v>2043</v>
      </c>
      <c r="D9" s="12" t="s">
        <v>2044</v>
      </c>
      <c r="E9" s="11">
        <v>1</v>
      </c>
      <c r="F9" s="11">
        <v>1</v>
      </c>
      <c r="G9" s="11" t="s">
        <v>1781</v>
      </c>
      <c r="H9" s="12" t="s">
        <v>2045</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2046</v>
      </c>
      <c r="E10" s="11">
        <v>1</v>
      </c>
      <c r="F10" s="11">
        <v>1</v>
      </c>
      <c r="G10" s="12" t="s">
        <v>1781</v>
      </c>
      <c r="H10" s="12" t="s">
        <v>2047</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2048</v>
      </c>
      <c r="D11" s="12" t="s">
        <v>2049</v>
      </c>
      <c r="E11" s="11">
        <v>1</v>
      </c>
      <c r="F11" s="11">
        <v>1</v>
      </c>
      <c r="G11" s="12" t="s">
        <v>1781</v>
      </c>
      <c r="H11" s="12" t="s">
        <v>2050</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2051</v>
      </c>
      <c r="D14" s="12" t="s">
        <v>2052</v>
      </c>
      <c r="E14" s="11">
        <v>0</v>
      </c>
      <c r="F14" s="12">
        <v>1</v>
      </c>
      <c r="G14" s="149" t="s">
        <v>2201</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2193</v>
      </c>
      <c r="C16" s="12" t="s">
        <v>1660</v>
      </c>
      <c r="D16" s="13" t="s">
        <v>1660</v>
      </c>
      <c r="E16" s="11">
        <v>1</v>
      </c>
      <c r="F16" s="11">
        <v>1</v>
      </c>
      <c r="G16" s="11" t="s">
        <v>1781</v>
      </c>
      <c r="H16" s="12" t="s">
        <v>2053</v>
      </c>
      <c r="I16" s="25"/>
      <c r="J16" s="12" t="str">
        <f t="shared" si="0"/>
        <v>* regimen.drugs1 1..1 CodeableConcept ##34#Drugs 1##34# ##334#Drugs 1##334#</v>
      </c>
      <c r="L16" s="12" t="str">
        <f t="shared" si="1"/>
        <v>* regimen.drugs1 ^comment = ##334#ATC list
Athena vocabulary 
ATC##334#</v>
      </c>
    </row>
    <row r="17" spans="1:13" ht="44.25">
      <c r="A17" s="101">
        <v>9</v>
      </c>
      <c r="B17" s="13" t="s">
        <v>2194</v>
      </c>
      <c r="C17" s="12" t="s">
        <v>1661</v>
      </c>
      <c r="D17" s="13" t="s">
        <v>1661</v>
      </c>
      <c r="E17" s="11">
        <v>1</v>
      </c>
      <c r="F17" s="11">
        <v>1</v>
      </c>
      <c r="G17" s="11" t="s">
        <v>1781</v>
      </c>
      <c r="H17" s="12" t="s">
        <v>2053</v>
      </c>
      <c r="I17" s="25"/>
      <c r="J17" s="12" t="str">
        <f t="shared" si="0"/>
        <v>* regimen.drugs2 1..1 CodeableConcept ##34#Drugs 2##34# ##334#Drugs 2##334#</v>
      </c>
      <c r="L17" s="12" t="str">
        <f t="shared" si="1"/>
        <v>* regimen.drugs2 ^comment = ##334#ATC list
Athena vocabulary 
ATC##334#</v>
      </c>
    </row>
    <row r="18" spans="1:13" ht="44.25">
      <c r="A18" s="101">
        <v>10</v>
      </c>
      <c r="B18" s="13" t="s">
        <v>2195</v>
      </c>
      <c r="C18" s="12" t="s">
        <v>1662</v>
      </c>
      <c r="D18" s="13" t="s">
        <v>1662</v>
      </c>
      <c r="E18" s="11">
        <v>1</v>
      </c>
      <c r="F18" s="11">
        <v>1</v>
      </c>
      <c r="G18" s="11" t="s">
        <v>1781</v>
      </c>
      <c r="H18" s="12" t="s">
        <v>2053</v>
      </c>
      <c r="J18" s="12" t="str">
        <f t="shared" si="0"/>
        <v>* regimen.drugs3 1..1 CodeableConcept ##34#Drugs 3##34# ##334#Drugs 3##334#</v>
      </c>
      <c r="L18" s="12" t="str">
        <f t="shared" si="1"/>
        <v>* regimen.drugs3 ^comment = ##334#ATC list
Athena vocabulary 
ATC##334#</v>
      </c>
    </row>
    <row r="19" spans="1:13" ht="44.25">
      <c r="A19" s="101">
        <v>11</v>
      </c>
      <c r="B19" s="13" t="s">
        <v>2196</v>
      </c>
      <c r="C19" s="12" t="s">
        <v>1665</v>
      </c>
      <c r="D19" s="12" t="s">
        <v>2054</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2197</v>
      </c>
      <c r="C20" s="12" t="s">
        <v>1666</v>
      </c>
      <c r="D20" s="12" t="s">
        <v>2055</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1781</v>
      </c>
      <c r="H21" s="12" t="s">
        <v>2056</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2057</v>
      </c>
      <c r="D22" s="12" t="s">
        <v>2058</v>
      </c>
      <c r="E22" s="11">
        <v>1</v>
      </c>
      <c r="F22" s="11">
        <v>1</v>
      </c>
      <c r="G22" s="11" t="s">
        <v>1781</v>
      </c>
      <c r="H22" s="12" t="s">
        <v>2059</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2060</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2253</v>
      </c>
      <c r="D3" s="62" t="s">
        <v>1786</v>
      </c>
      <c r="E3" s="118" t="str">
        <f>$C$1&amp;B14</f>
        <v>http://hl7.eu/fhir/ig/idea4rc/StructureDefinition/SystemicTreatment</v>
      </c>
    </row>
    <row r="4" spans="1:19">
      <c r="B4" s="62" t="s">
        <v>16</v>
      </c>
      <c r="C4" s="28" t="s">
        <v>2253</v>
      </c>
      <c r="D4" s="62" t="s">
        <v>1787</v>
      </c>
      <c r="E4" s="168" t="s">
        <v>2265</v>
      </c>
      <c r="F4" s="173"/>
      <c r="G4" s="173"/>
    </row>
    <row r="5" spans="1:19">
      <c r="B5" s="62" t="s">
        <v>10</v>
      </c>
      <c r="C5" s="7" t="s">
        <v>2254</v>
      </c>
      <c r="D5" s="62"/>
      <c r="E5" s="7"/>
    </row>
    <row r="6" spans="1:19">
      <c r="B6" s="62" t="s">
        <v>18</v>
      </c>
      <c r="C6" s="56"/>
      <c r="D6" s="62" t="s">
        <v>1788</v>
      </c>
      <c r="E6" s="168" t="str">
        <f>E3</f>
        <v>http://hl7.eu/fhir/ig/idea4rc/StructureDefinition/SystemicTreatment</v>
      </c>
      <c r="F6" s="169"/>
      <c r="G6" s="169"/>
    </row>
    <row r="7" spans="1:19">
      <c r="B7" s="62" t="s">
        <v>15</v>
      </c>
      <c r="C7" s="119"/>
      <c r="D7" s="62" t="s">
        <v>1789</v>
      </c>
      <c r="E7" s="168" t="str">
        <f>E4</f>
        <v>http://hl7.eu/fhir/ig/idea4rc/StructureDefinition/MedicationAdministration-eu-i4rc</v>
      </c>
      <c r="F7" s="169"/>
      <c r="G7" s="169"/>
    </row>
    <row r="8" spans="1:19" ht="45" thickBot="1">
      <c r="B8" s="62" t="s">
        <v>1790</v>
      </c>
      <c r="C8" s="7" t="s">
        <v>2254</v>
      </c>
      <c r="D8" s="62"/>
      <c r="E8" s="7"/>
      <c r="I8" s="12" t="s">
        <v>1402</v>
      </c>
      <c r="J8" s="12" t="s">
        <v>1403</v>
      </c>
      <c r="K8" s="12" t="s">
        <v>1404</v>
      </c>
      <c r="L8" s="12" t="s">
        <v>1405</v>
      </c>
      <c r="M8" s="11" t="s">
        <v>1406</v>
      </c>
      <c r="P8" s="49" t="s">
        <v>1441</v>
      </c>
      <c r="Q8" s="49">
        <v>6</v>
      </c>
    </row>
    <row r="9" spans="1:19" ht="30.25" thickBot="1">
      <c r="B9" s="62" t="s">
        <v>1791</v>
      </c>
      <c r="C9" s="12" t="s">
        <v>2255</v>
      </c>
      <c r="D9" s="144"/>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2207</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2208</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2256</v>
      </c>
      <c r="E16" s="12"/>
      <c r="F16" s="64" t="s">
        <v>1429</v>
      </c>
      <c r="G16" s="124" t="s">
        <v>2264</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2257</v>
      </c>
      <c r="E17" s="12"/>
      <c r="F17" s="64" t="s">
        <v>1407</v>
      </c>
      <c r="G17" s="123" t="s">
        <v>1792</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2258</v>
      </c>
      <c r="E18" s="12"/>
      <c r="F18" s="64" t="s">
        <v>1407</v>
      </c>
      <c r="G18" s="123" t="s">
        <v>1792</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1999</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2259</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2260</v>
      </c>
      <c r="E23" s="11"/>
      <c r="F23" s="64" t="s">
        <v>1407</v>
      </c>
      <c r="G23" s="123" t="s">
        <v>1792</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2260</v>
      </c>
      <c r="E24" s="11"/>
      <c r="F24" s="64" t="s">
        <v>1407</v>
      </c>
      <c r="G24" s="123" t="s">
        <v>1792</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2260</v>
      </c>
      <c r="E25" s="11"/>
      <c r="F25" s="64" t="s">
        <v>1407</v>
      </c>
      <c r="G25" s="123" t="s">
        <v>1792</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1792</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1792</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2261</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2262</v>
      </c>
      <c r="E29" s="12"/>
      <c r="F29" s="64" t="s">
        <v>1407</v>
      </c>
      <c r="G29" s="123" t="s">
        <v>2263</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2266</v>
      </c>
    </row>
    <row r="3" spans="2:7">
      <c r="B3" s="24" t="s">
        <v>20</v>
      </c>
    </row>
    <row r="4" spans="2:7">
      <c r="B4" s="65" t="str">
        <f>"Instance: "&amp;'SystemicTreatm-ConceptMap-1'!C4</f>
        <v>Instance: systemicTreatment2FHIR</v>
      </c>
    </row>
    <row r="5" spans="2:7">
      <c r="B5" s="65" t="s">
        <v>1447</v>
      </c>
    </row>
    <row r="6" spans="2:7">
      <c r="B6" s="65" t="s">
        <v>1438</v>
      </c>
    </row>
    <row r="7" spans="2:7">
      <c r="B7" s="65" t="s">
        <v>1793</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2379</v>
      </c>
      <c r="J4" s="16" t="str">
        <f>CONCATENATE("Logical: ",B4)</f>
        <v>Logical: SurgeryI4rc</v>
      </c>
    </row>
    <row r="5" spans="1:12" ht="15.5" thickBot="1">
      <c r="A5" s="14" t="s">
        <v>16</v>
      </c>
      <c r="B5" s="45" t="s">
        <v>2062</v>
      </c>
      <c r="J5" s="16" t="str">
        <f>CONCATENATE("Id: ",B5)</f>
        <v>Id: Surgery</v>
      </c>
    </row>
    <row r="6" spans="1:12" ht="15.5" thickBot="1">
      <c r="A6" s="14" t="s">
        <v>10</v>
      </c>
      <c r="B6" s="45" t="s">
        <v>2062</v>
      </c>
      <c r="J6" s="17" t="str">
        <f>CONCATENATE("Title: ##34#",B6,"##34#")</f>
        <v>Title: ##34#Surgery##34#</v>
      </c>
    </row>
    <row r="7" spans="1:12">
      <c r="A7" s="26" t="s">
        <v>2</v>
      </c>
      <c r="B7" s="150" t="s">
        <v>2062</v>
      </c>
      <c r="C7" s="9" t="s">
        <v>3</v>
      </c>
      <c r="D7" s="1" t="s">
        <v>4</v>
      </c>
      <c r="E7" s="3" t="s">
        <v>5</v>
      </c>
      <c r="F7" s="3" t="s">
        <v>6</v>
      </c>
      <c r="G7" s="3" t="s">
        <v>7</v>
      </c>
      <c r="H7" s="105" t="s">
        <v>1610</v>
      </c>
      <c r="J7" s="17" t="str">
        <f>CONCATENATE("Description: "," ##334#",B7,"##334#",)</f>
        <v>Description:  ##334#Surgery##334#</v>
      </c>
    </row>
    <row r="8" spans="1:12" ht="59">
      <c r="A8" s="100">
        <v>0</v>
      </c>
      <c r="B8" s="11" t="s">
        <v>1938</v>
      </c>
      <c r="C8" s="11" t="s">
        <v>2041</v>
      </c>
      <c r="D8" s="11" t="s">
        <v>1897</v>
      </c>
      <c r="E8" s="11">
        <v>1</v>
      </c>
      <c r="F8" s="11">
        <v>1</v>
      </c>
      <c r="G8" s="57" t="s">
        <v>1994</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2063</v>
      </c>
      <c r="C9" s="11" t="s">
        <v>2062</v>
      </c>
      <c r="D9" s="11" t="s">
        <v>2064</v>
      </c>
      <c r="E9" s="11">
        <v>1</v>
      </c>
      <c r="F9" s="11">
        <v>1</v>
      </c>
      <c r="G9" s="11" t="s">
        <v>1781</v>
      </c>
      <c r="H9" s="12" t="s">
        <v>2065</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2066</v>
      </c>
      <c r="C10" s="11" t="s">
        <v>2067</v>
      </c>
      <c r="D10" s="11" t="s">
        <v>2068</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2069</v>
      </c>
      <c r="C11" s="11" t="s">
        <v>2070</v>
      </c>
      <c r="D11" s="11" t="s">
        <v>2071</v>
      </c>
      <c r="E11" s="11">
        <v>1</v>
      </c>
      <c r="F11" s="11">
        <v>1</v>
      </c>
      <c r="G11" s="11" t="s">
        <v>1781</v>
      </c>
      <c r="H11" s="12" t="s">
        <v>2072</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2073</v>
      </c>
      <c r="C12" s="11" t="s">
        <v>2074</v>
      </c>
      <c r="D12" s="11" t="s">
        <v>2075</v>
      </c>
      <c r="E12" s="11">
        <v>1</v>
      </c>
      <c r="F12" s="11">
        <v>1</v>
      </c>
      <c r="G12" s="11" t="s">
        <v>1781</v>
      </c>
      <c r="H12" s="12" t="s">
        <v>2076</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2077</v>
      </c>
      <c r="C13" s="11" t="s">
        <v>2078</v>
      </c>
      <c r="D13" s="11" t="s">
        <v>2079</v>
      </c>
      <c r="E13" s="11">
        <v>1</v>
      </c>
      <c r="F13" s="11">
        <v>1</v>
      </c>
      <c r="G13" s="11" t="s">
        <v>1781</v>
      </c>
      <c r="H13" s="12" t="s">
        <v>2080</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2081</v>
      </c>
      <c r="C14" s="11" t="s">
        <v>2082</v>
      </c>
      <c r="D14" s="11" t="s">
        <v>2083</v>
      </c>
      <c r="E14" s="11">
        <v>0</v>
      </c>
      <c r="F14" s="11">
        <v>1</v>
      </c>
      <c r="G14" s="11" t="s">
        <v>1781</v>
      </c>
      <c r="H14" s="12" t="s">
        <v>2084</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2085</v>
      </c>
      <c r="C15" s="11" t="s">
        <v>2086</v>
      </c>
      <c r="D15" s="11" t="s">
        <v>2087</v>
      </c>
      <c r="E15" s="11">
        <v>1</v>
      </c>
      <c r="F15" s="11">
        <v>1</v>
      </c>
      <c r="G15" s="11" t="s">
        <v>1781</v>
      </c>
      <c r="H15" s="12" t="s">
        <v>2088</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2089</v>
      </c>
      <c r="C16" s="11" t="s">
        <v>2090</v>
      </c>
      <c r="D16" s="11" t="s">
        <v>2091</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2092</v>
      </c>
      <c r="C17" s="11" t="s">
        <v>2093</v>
      </c>
      <c r="D17" s="11" t="s">
        <v>2094</v>
      </c>
      <c r="E17" s="11">
        <v>1</v>
      </c>
      <c r="F17" s="11">
        <v>1</v>
      </c>
      <c r="G17" s="11" t="s">
        <v>1781</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2095</v>
      </c>
      <c r="C18" s="11" t="s">
        <v>2096</v>
      </c>
      <c r="D18" s="11" t="s">
        <v>2097</v>
      </c>
      <c r="E18" s="11">
        <v>1</v>
      </c>
      <c r="F18" s="11">
        <v>1</v>
      </c>
      <c r="G18" s="11" t="s">
        <v>1781</v>
      </c>
      <c r="H18" s="12" t="s">
        <v>2088</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2098</v>
      </c>
      <c r="C19" s="11" t="s">
        <v>2099</v>
      </c>
      <c r="D19" s="11" t="s">
        <v>2100</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2200</v>
      </c>
      <c r="C20" s="6" t="s">
        <v>2198</v>
      </c>
      <c r="D20" s="6" t="s">
        <v>2199</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2229</v>
      </c>
      <c r="C21" s="11" t="s">
        <v>2101</v>
      </c>
      <c r="D21" s="11" t="s">
        <v>2102</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2230</v>
      </c>
      <c r="C22" s="11" t="s">
        <v>2103</v>
      </c>
      <c r="D22" s="11" t="s">
        <v>2104</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2231</v>
      </c>
      <c r="C23" s="11" t="s">
        <v>2105</v>
      </c>
      <c r="D23" s="11" t="s">
        <v>2106</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2235</v>
      </c>
      <c r="C24" s="11" t="s">
        <v>2107</v>
      </c>
      <c r="D24" s="11" t="s">
        <v>2108</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2232</v>
      </c>
      <c r="C25" s="11" t="s">
        <v>2109</v>
      </c>
      <c r="D25" s="11" t="s">
        <v>2110</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2233</v>
      </c>
      <c r="C26" s="11" t="s">
        <v>2111</v>
      </c>
      <c r="D26" s="11" t="s">
        <v>2112</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2234</v>
      </c>
      <c r="C27" s="11" t="s">
        <v>2113</v>
      </c>
      <c r="D27" s="11" t="s">
        <v>2114</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2236</v>
      </c>
      <c r="C28" s="11" t="s">
        <v>2115</v>
      </c>
      <c r="D28" s="11" t="s">
        <v>2116</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2238</v>
      </c>
      <c r="C29" s="11" t="s">
        <v>2117</v>
      </c>
      <c r="D29" s="11" t="s">
        <v>2118</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2237</v>
      </c>
      <c r="C30" s="11" t="s">
        <v>2119</v>
      </c>
      <c r="D30" s="11" t="s">
        <v>2120</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2121</v>
      </c>
      <c r="C31" s="11" t="s">
        <v>2122</v>
      </c>
      <c r="D31" s="11" t="s">
        <v>2123</v>
      </c>
      <c r="E31" s="11">
        <v>1</v>
      </c>
      <c r="F31" s="11">
        <v>1</v>
      </c>
      <c r="G31" s="11" t="s">
        <v>1781</v>
      </c>
      <c r="H31" s="12" t="s">
        <v>2124</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2061</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2203</v>
      </c>
      <c r="D3" s="62" t="s">
        <v>1786</v>
      </c>
      <c r="E3" s="118" t="str">
        <f>$C$1&amp;B14</f>
        <v>http://hl7.eu/fhir/ig/idea4rc/StructureDefinition/SurgeryI4rc</v>
      </c>
    </row>
    <row r="4" spans="1:19">
      <c r="B4" s="62" t="s">
        <v>16</v>
      </c>
      <c r="C4" s="28" t="s">
        <v>2203</v>
      </c>
      <c r="D4" s="62" t="s">
        <v>1787</v>
      </c>
      <c r="E4" s="168" t="s">
        <v>2206</v>
      </c>
      <c r="F4" s="169"/>
      <c r="G4" s="169"/>
    </row>
    <row r="5" spans="1:19">
      <c r="B5" s="62" t="s">
        <v>10</v>
      </c>
      <c r="C5" s="7" t="s">
        <v>2204</v>
      </c>
      <c r="D5" s="62"/>
      <c r="E5" s="7"/>
    </row>
    <row r="6" spans="1:19">
      <c r="B6" s="62" t="s">
        <v>18</v>
      </c>
      <c r="C6" s="56"/>
      <c r="D6" s="62" t="s">
        <v>1788</v>
      </c>
      <c r="E6" s="168" t="str">
        <f>E3</f>
        <v>http://hl7.eu/fhir/ig/idea4rc/StructureDefinition/SurgeryI4rc</v>
      </c>
      <c r="F6" s="169"/>
      <c r="G6" s="169"/>
    </row>
    <row r="7" spans="1:19">
      <c r="B7" s="62" t="s">
        <v>15</v>
      </c>
      <c r="C7" s="119"/>
      <c r="D7" s="62" t="s">
        <v>1789</v>
      </c>
      <c r="E7" s="168" t="str">
        <f>E4</f>
        <v>http://hl7.eu/fhir/ig/idea4rc/StructureDefinition/Procedure-surgery-eu-i4rc</v>
      </c>
      <c r="F7" s="169"/>
      <c r="G7" s="169"/>
    </row>
    <row r="8" spans="1:19" ht="45" thickBot="1">
      <c r="B8" s="62" t="s">
        <v>1790</v>
      </c>
      <c r="C8" s="7" t="s">
        <v>2204</v>
      </c>
      <c r="D8" s="62"/>
      <c r="E8" s="7"/>
      <c r="I8" s="12" t="s">
        <v>1402</v>
      </c>
      <c r="J8" s="12" t="s">
        <v>1403</v>
      </c>
      <c r="K8" s="12" t="s">
        <v>1404</v>
      </c>
      <c r="L8" s="12" t="s">
        <v>1405</v>
      </c>
      <c r="M8" s="11" t="s">
        <v>1406</v>
      </c>
      <c r="P8" s="49" t="s">
        <v>1441</v>
      </c>
      <c r="Q8" s="49">
        <v>6</v>
      </c>
    </row>
    <row r="9" spans="1:19" ht="15.5" thickBot="1">
      <c r="B9" s="62" t="s">
        <v>1791</v>
      </c>
      <c r="C9" s="12" t="s">
        <v>2205</v>
      </c>
      <c r="D9" s="144"/>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2207</v>
      </c>
      <c r="E14" s="6"/>
      <c r="F14" s="64"/>
      <c r="G14" s="64"/>
      <c r="I14" s="12"/>
      <c r="J14" s="11"/>
      <c r="K14" s="11"/>
      <c r="L14" s="11"/>
      <c r="M14" s="63"/>
      <c r="N14" s="66"/>
    </row>
    <row r="15" spans="1:19" ht="44.25">
      <c r="A15" s="59"/>
      <c r="B15" s="11" t="str">
        <f>Surgery!B8</f>
        <v>episodeEventReference</v>
      </c>
      <c r="C15" s="11" t="str">
        <f>Surgery!C8</f>
        <v>Episode Event reference</v>
      </c>
      <c r="D15" s="12" t="s">
        <v>2208</v>
      </c>
      <c r="E15" s="12"/>
      <c r="F15" s="64" t="s">
        <v>1407</v>
      </c>
      <c r="G15" s="124"/>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2222</v>
      </c>
      <c r="E16" s="12"/>
      <c r="F16" s="64" t="s">
        <v>1407</v>
      </c>
      <c r="G16" s="123" t="s">
        <v>2210</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2209</v>
      </c>
      <c r="E17" s="12"/>
      <c r="F17" s="64" t="s">
        <v>1430</v>
      </c>
      <c r="G17" s="124"/>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2211</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2212</v>
      </c>
      <c r="E19" s="12"/>
      <c r="F19" s="64" t="s">
        <v>1407</v>
      </c>
      <c r="G19" s="123" t="s">
        <v>2213</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2214</v>
      </c>
      <c r="E20" s="12"/>
      <c r="F20" s="64" t="s">
        <v>1407</v>
      </c>
      <c r="G20" s="124"/>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2215</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4" t="s">
        <v>2216</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2209</v>
      </c>
      <c r="E23" s="11"/>
      <c r="F23" s="64" t="s">
        <v>1430</v>
      </c>
      <c r="G23" s="123" t="s">
        <v>2217</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2218</v>
      </c>
      <c r="E24" s="11"/>
      <c r="F24" s="64" t="s">
        <v>1407</v>
      </c>
      <c r="G24" s="124"/>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2219</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2217</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2002</v>
      </c>
      <c r="E27" s="12"/>
      <c r="F27" s="64" t="s">
        <v>1429</v>
      </c>
      <c r="G27" s="124"/>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2002</v>
      </c>
      <c r="E28" s="12"/>
      <c r="F28" s="64" t="s">
        <v>1429</v>
      </c>
      <c r="G28" s="124"/>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2002</v>
      </c>
      <c r="E29" s="12"/>
      <c r="F29" s="64" t="s">
        <v>1429</v>
      </c>
      <c r="G29" s="124"/>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2002</v>
      </c>
      <c r="E30" s="12"/>
      <c r="F30" s="64" t="s">
        <v>1429</v>
      </c>
      <c r="G30" s="124"/>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2002</v>
      </c>
      <c r="E31" s="12"/>
      <c r="F31" s="64" t="s">
        <v>1429</v>
      </c>
      <c r="G31" s="124"/>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2002</v>
      </c>
      <c r="E32" s="12"/>
      <c r="F32" s="64" t="s">
        <v>1429</v>
      </c>
      <c r="G32" s="124"/>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2002</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2002</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2002</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2002</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2002</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2220</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2221</v>
      </c>
    </row>
    <row r="3" spans="2:7">
      <c r="B3" s="24" t="s">
        <v>20</v>
      </c>
    </row>
    <row r="4" spans="2:7">
      <c r="B4" s="65" t="str">
        <f>"Instance: "&amp;'Surgery-ConceptMap-1'!C4</f>
        <v>Instance: surgery2FHIR</v>
      </c>
    </row>
    <row r="5" spans="2:7">
      <c r="B5" s="65" t="s">
        <v>1447</v>
      </c>
    </row>
    <row r="6" spans="2:7">
      <c r="B6" s="65" t="s">
        <v>1438</v>
      </c>
    </row>
    <row r="7" spans="2:7">
      <c r="B7" s="65" t="s">
        <v>1793</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2380</v>
      </c>
      <c r="J4" s="16" t="str">
        <f>CONCATENATE("Logical: ",B4)</f>
        <v>Logical: RadiotherapyI4rc</v>
      </c>
    </row>
    <row r="5" spans="1:12" ht="15.5" thickBot="1">
      <c r="A5" s="14" t="s">
        <v>16</v>
      </c>
      <c r="B5" s="45" t="s">
        <v>2126</v>
      </c>
      <c r="J5" s="16" t="str">
        <f>CONCATENATE("Id: ",B5)</f>
        <v>Id: Radiotherapy</v>
      </c>
    </row>
    <row r="6" spans="1:12" ht="15.5" thickBot="1">
      <c r="A6" s="14" t="s">
        <v>10</v>
      </c>
      <c r="B6" s="45" t="s">
        <v>2126</v>
      </c>
      <c r="J6" s="17" t="str">
        <f>CONCATENATE("Title: ##34#",B6,"##34#")</f>
        <v>Title: ##34#Radiotherapy##34#</v>
      </c>
    </row>
    <row r="7" spans="1:12">
      <c r="A7" s="26" t="s">
        <v>2</v>
      </c>
      <c r="B7" s="45" t="s">
        <v>2126</v>
      </c>
      <c r="C7" s="9" t="s">
        <v>3</v>
      </c>
      <c r="D7" s="1" t="s">
        <v>4</v>
      </c>
      <c r="E7" s="3" t="s">
        <v>5</v>
      </c>
      <c r="F7" s="3" t="s">
        <v>6</v>
      </c>
      <c r="G7" s="3" t="s">
        <v>7</v>
      </c>
      <c r="H7" s="105" t="s">
        <v>1610</v>
      </c>
      <c r="J7" s="17" t="str">
        <f>CONCATENATE("Description: "," ##334#",B7,"##334#",)</f>
        <v>Description:  ##334#Radiotherapy##334#</v>
      </c>
    </row>
    <row r="8" spans="1:12" ht="59">
      <c r="A8" s="100">
        <v>0</v>
      </c>
      <c r="B8" s="11" t="s">
        <v>1938</v>
      </c>
      <c r="C8" s="11" t="s">
        <v>2041</v>
      </c>
      <c r="D8" s="11" t="s">
        <v>1897</v>
      </c>
      <c r="E8" s="11">
        <v>1</v>
      </c>
      <c r="F8" s="11">
        <v>1</v>
      </c>
      <c r="G8" s="57" t="s">
        <v>1994</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2125</v>
      </c>
      <c r="C9" s="11" t="s">
        <v>2126</v>
      </c>
      <c r="D9" s="11" t="s">
        <v>2127</v>
      </c>
      <c r="E9" s="11">
        <v>1</v>
      </c>
      <c r="F9" s="11">
        <v>1</v>
      </c>
      <c r="G9" s="11" t="s">
        <v>1781</v>
      </c>
      <c r="H9" s="12" t="s">
        <v>2065</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2128</v>
      </c>
      <c r="E10" s="11">
        <v>1</v>
      </c>
      <c r="F10" s="11">
        <v>1</v>
      </c>
      <c r="G10" s="11" t="s">
        <v>1781</v>
      </c>
      <c r="H10" s="12" t="s">
        <v>2047</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2048</v>
      </c>
      <c r="D11" s="11" t="s">
        <v>2129</v>
      </c>
      <c r="E11" s="11">
        <v>0</v>
      </c>
      <c r="F11" s="11">
        <v>1</v>
      </c>
      <c r="G11" s="11" t="s">
        <v>1781</v>
      </c>
      <c r="H11" s="12" t="s">
        <v>2130</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2131</v>
      </c>
      <c r="C12" s="11" t="s">
        <v>2132</v>
      </c>
      <c r="D12" s="11" t="s">
        <v>2133</v>
      </c>
      <c r="E12" s="11">
        <v>1</v>
      </c>
      <c r="F12" s="11">
        <v>1</v>
      </c>
      <c r="G12" s="11" t="s">
        <v>1781</v>
      </c>
      <c r="H12" s="12" t="s">
        <v>2134</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1">
        <v>5</v>
      </c>
      <c r="B13" s="11" t="s">
        <v>2135</v>
      </c>
      <c r="C13" s="11" t="s">
        <v>2136</v>
      </c>
      <c r="D13" s="6" t="s">
        <v>2136</v>
      </c>
      <c r="E13" s="11">
        <v>0</v>
      </c>
      <c r="F13" s="11">
        <v>1</v>
      </c>
      <c r="G13" s="11" t="s">
        <v>0</v>
      </c>
      <c r="H13" s="12"/>
      <c r="I13" s="25"/>
      <c r="J13" s="12" t="str">
        <f t="shared" si="1"/>
        <v>* otherSpecify 0..1 string ##34#Other; specify##34# ##334#Other; specify##334#</v>
      </c>
      <c r="L13" s="12" t="str">
        <f t="shared" si="2"/>
        <v/>
      </c>
    </row>
    <row r="14" spans="1:12" ht="236">
      <c r="A14" s="101">
        <v>6</v>
      </c>
      <c r="B14" s="11" t="s">
        <v>2137</v>
      </c>
      <c r="C14" s="11" t="s">
        <v>2138</v>
      </c>
      <c r="D14" s="11" t="s">
        <v>2139</v>
      </c>
      <c r="E14" s="11">
        <v>1</v>
      </c>
      <c r="F14" s="11">
        <v>1</v>
      </c>
      <c r="G14" s="11" t="s">
        <v>1781</v>
      </c>
      <c r="H14" s="12" t="s">
        <v>2140</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2141</v>
      </c>
      <c r="C15" s="11" t="s">
        <v>2142</v>
      </c>
      <c r="D15" s="11" t="s">
        <v>2143</v>
      </c>
      <c r="E15" s="11">
        <v>1</v>
      </c>
      <c r="F15" s="11">
        <v>1</v>
      </c>
      <c r="G15" s="57" t="s">
        <v>2201</v>
      </c>
      <c r="H15" s="12"/>
      <c r="I15" s="25"/>
      <c r="J15" s="12" t="str">
        <f t="shared" si="1"/>
        <v>* totalDoseTdGy 1..1 decimal ##34#Total Dose (TD) Gy##34# ##334#Refers to the total dose delivered to the patient in Gy##334#</v>
      </c>
      <c r="L15" s="12" t="str">
        <f t="shared" si="2"/>
        <v/>
      </c>
    </row>
    <row r="16" spans="1:12" ht="29.5">
      <c r="A16" s="101">
        <v>8</v>
      </c>
      <c r="B16" s="11" t="s">
        <v>2144</v>
      </c>
      <c r="C16" s="11" t="s">
        <v>2145</v>
      </c>
      <c r="D16" s="11" t="s">
        <v>2146</v>
      </c>
      <c r="E16" s="11">
        <v>1</v>
      </c>
      <c r="F16" s="11">
        <v>1</v>
      </c>
      <c r="G16" s="57" t="s">
        <v>2201</v>
      </c>
      <c r="H16" s="12"/>
      <c r="I16" s="25"/>
      <c r="J16" s="12" t="str">
        <f t="shared" si="1"/>
        <v>* fractionSizeFs 1..1 decimal ##34#Fraction Size (FS)##34# ##334#Refers to the Dose per fraction delivered to the patient.##334#</v>
      </c>
      <c r="L16" s="12" t="str">
        <f t="shared" si="2"/>
        <v/>
      </c>
    </row>
    <row r="17" spans="1:13" ht="29.5">
      <c r="A17" s="100">
        <v>9</v>
      </c>
      <c r="B17" s="11" t="s">
        <v>2147</v>
      </c>
      <c r="C17" s="11" t="s">
        <v>2148</v>
      </c>
      <c r="D17" s="11" t="s">
        <v>2149</v>
      </c>
      <c r="E17" s="11">
        <v>1</v>
      </c>
      <c r="F17" s="11">
        <v>1</v>
      </c>
      <c r="G17" s="57" t="s">
        <v>2201</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2150</v>
      </c>
      <c r="C18" s="11" t="s">
        <v>2151</v>
      </c>
      <c r="D18" s="11" t="s">
        <v>2152</v>
      </c>
      <c r="E18" s="11">
        <v>0</v>
      </c>
      <c r="F18" s="11">
        <v>1</v>
      </c>
      <c r="G18" s="11" t="s">
        <v>1781</v>
      </c>
      <c r="H18" s="12" t="s">
        <v>2088</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2153</v>
      </c>
      <c r="C19" s="11" t="s">
        <v>2154</v>
      </c>
      <c r="D19" s="11" t="s">
        <v>2155</v>
      </c>
      <c r="E19" s="11">
        <v>0</v>
      </c>
      <c r="F19" s="11">
        <v>1</v>
      </c>
      <c r="G19" s="11" t="s">
        <v>1781</v>
      </c>
      <c r="H19" s="12" t="s">
        <v>2088</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2156</v>
      </c>
      <c r="C20" s="11" t="s">
        <v>2157</v>
      </c>
      <c r="D20" s="11" t="s">
        <v>2158</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2159</v>
      </c>
      <c r="C21" s="11" t="s">
        <v>2160</v>
      </c>
      <c r="D21" s="11" t="s">
        <v>2161</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2162</v>
      </c>
      <c r="C22" s="11" t="s">
        <v>2163</v>
      </c>
      <c r="D22" s="11" t="s">
        <v>2164</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2183</v>
      </c>
      <c r="C23" s="11" t="s">
        <v>2165</v>
      </c>
      <c r="D23" s="148" t="s">
        <v>2165</v>
      </c>
      <c r="E23" s="11">
        <v>0</v>
      </c>
      <c r="F23" s="11">
        <v>1</v>
      </c>
      <c r="G23" s="11" t="s">
        <v>157</v>
      </c>
      <c r="H23" s="12"/>
      <c r="J23" s="12" t="str">
        <f t="shared" si="1"/>
        <v>* treatmentSites.primary 0..1 boolean ##34#Primary##34# ##334#Primary##334#</v>
      </c>
      <c r="L23" s="12" t="str">
        <f t="shared" si="2"/>
        <v/>
      </c>
      <c r="M23"/>
    </row>
    <row r="24" spans="1:13">
      <c r="A24" s="100">
        <v>16</v>
      </c>
      <c r="B24" s="57" t="s">
        <v>2184</v>
      </c>
      <c r="C24" s="11" t="s">
        <v>2166</v>
      </c>
      <c r="D24" s="148" t="s">
        <v>2166</v>
      </c>
      <c r="E24" s="11">
        <v>0</v>
      </c>
      <c r="F24" s="11">
        <v>1</v>
      </c>
      <c r="G24" s="11" t="s">
        <v>157</v>
      </c>
      <c r="H24" s="12"/>
      <c r="J24" s="12" t="str">
        <f t="shared" si="1"/>
        <v>* treatmentSites.neck 0..1 boolean ##34#Neck##34# ##334#Neck##334#</v>
      </c>
      <c r="L24" s="12" t="str">
        <f t="shared" si="2"/>
        <v/>
      </c>
      <c r="M24"/>
    </row>
    <row r="25" spans="1:13" ht="29.5">
      <c r="A25" s="101">
        <v>17</v>
      </c>
      <c r="B25" s="57" t="s">
        <v>2185</v>
      </c>
      <c r="C25" s="11" t="s">
        <v>2167</v>
      </c>
      <c r="D25" s="148" t="s">
        <v>2167</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2186</v>
      </c>
      <c r="C26" s="11" t="s">
        <v>2168</v>
      </c>
      <c r="D26" s="148" t="s">
        <v>2168</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2187</v>
      </c>
      <c r="C27" s="11" t="s">
        <v>2169</v>
      </c>
      <c r="D27" s="148" t="s">
        <v>2169</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2170</v>
      </c>
      <c r="C28" s="11" t="s">
        <v>2171</v>
      </c>
      <c r="D28" s="11" t="s">
        <v>2172</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2188</v>
      </c>
      <c r="C29" s="11" t="s">
        <v>2173</v>
      </c>
      <c r="D29" s="148" t="s">
        <v>2173</v>
      </c>
      <c r="E29" s="11">
        <v>0</v>
      </c>
      <c r="F29" s="11">
        <v>1</v>
      </c>
      <c r="G29" s="11" t="s">
        <v>157</v>
      </c>
      <c r="H29" s="12"/>
      <c r="J29" s="12" t="str">
        <f t="shared" si="1"/>
        <v>* metastaticTreatmentSites.lung 0..1 boolean ##34#Lung
##34# ##334#Lung
##334#</v>
      </c>
      <c r="L29" s="12" t="str">
        <f t="shared" si="2"/>
        <v/>
      </c>
    </row>
    <row r="30" spans="1:13" ht="44.25">
      <c r="A30" s="100">
        <v>22</v>
      </c>
      <c r="B30" s="57" t="s">
        <v>2189</v>
      </c>
      <c r="C30" s="11" t="s">
        <v>2175</v>
      </c>
      <c r="D30" s="148" t="s">
        <v>2175</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2190</v>
      </c>
      <c r="C31" s="12" t="s">
        <v>2176</v>
      </c>
      <c r="D31" s="13" t="s">
        <v>2176</v>
      </c>
      <c r="E31" s="11">
        <v>0</v>
      </c>
      <c r="F31" s="11">
        <v>1</v>
      </c>
      <c r="G31" s="11" t="s">
        <v>157</v>
      </c>
      <c r="H31" s="12"/>
      <c r="J31" s="12" t="str">
        <f t="shared" si="1"/>
        <v>* metastaticTreatmentSites.bone 0..1 boolean ##34#Bone
##34# ##334#Bone
##334#</v>
      </c>
      <c r="L31" s="12" t="str">
        <f t="shared" si="2"/>
        <v/>
      </c>
    </row>
    <row r="32" spans="1:13" ht="44.25">
      <c r="A32" s="11">
        <v>24</v>
      </c>
      <c r="B32" s="57" t="s">
        <v>2191</v>
      </c>
      <c r="C32" s="12" t="s">
        <v>2177</v>
      </c>
      <c r="D32" s="13" t="s">
        <v>2177</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2192</v>
      </c>
      <c r="C33" s="12" t="s">
        <v>2178</v>
      </c>
      <c r="D33" s="13" t="s">
        <v>2178</v>
      </c>
      <c r="E33" s="11">
        <v>0</v>
      </c>
      <c r="F33" s="11">
        <v>1</v>
      </c>
      <c r="G33" s="11" t="s">
        <v>157</v>
      </c>
      <c r="H33" s="12"/>
      <c r="J33" s="12" t="str">
        <f t="shared" si="1"/>
        <v>* metastaticTreatmentSites.liver 0..1 boolean ##34#Liver
##34# ##334#Liver
##334#</v>
      </c>
      <c r="L33" s="12" t="str">
        <f t="shared" si="2"/>
        <v/>
      </c>
    </row>
    <row r="34" spans="1:12" ht="147.5">
      <c r="A34" s="6">
        <v>26</v>
      </c>
      <c r="B34" s="11" t="s">
        <v>2179</v>
      </c>
      <c r="C34" s="12" t="s">
        <v>2180</v>
      </c>
      <c r="D34" s="11" t="s">
        <v>2181</v>
      </c>
      <c r="E34" s="11">
        <v>1</v>
      </c>
      <c r="F34" s="11">
        <v>1</v>
      </c>
      <c r="G34" s="11" t="s">
        <v>1781</v>
      </c>
      <c r="H34" s="12" t="s">
        <v>2182</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2174</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2202</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2223</v>
      </c>
      <c r="D3" s="62" t="s">
        <v>1786</v>
      </c>
      <c r="E3" s="118" t="str">
        <f>$C$1&amp;B14</f>
        <v>http://hl7.eu/fhir/ig/idea4rc/StructureDefinition/RadiotherapyI4rc</v>
      </c>
    </row>
    <row r="4" spans="1:19">
      <c r="B4" s="62" t="s">
        <v>16</v>
      </c>
      <c r="C4" s="28" t="s">
        <v>2223</v>
      </c>
      <c r="D4" s="62" t="s">
        <v>1787</v>
      </c>
      <c r="E4" s="168" t="s">
        <v>2267</v>
      </c>
      <c r="F4" s="169"/>
      <c r="G4" s="169"/>
    </row>
    <row r="5" spans="1:19">
      <c r="B5" s="62" t="s">
        <v>10</v>
      </c>
      <c r="C5" s="7" t="s">
        <v>2224</v>
      </c>
      <c r="D5" s="62"/>
      <c r="E5" s="7"/>
    </row>
    <row r="6" spans="1:19">
      <c r="B6" s="62" t="s">
        <v>18</v>
      </c>
      <c r="C6" s="56"/>
      <c r="D6" s="62" t="s">
        <v>1788</v>
      </c>
      <c r="E6" s="168" t="str">
        <f>E3</f>
        <v>http://hl7.eu/fhir/ig/idea4rc/StructureDefinition/RadiotherapyI4rc</v>
      </c>
      <c r="F6" s="169"/>
      <c r="G6" s="169"/>
    </row>
    <row r="7" spans="1:19">
      <c r="B7" s="62" t="s">
        <v>15</v>
      </c>
      <c r="C7" s="119"/>
      <c r="D7" s="62" t="s">
        <v>1789</v>
      </c>
      <c r="E7" s="168" t="str">
        <f>E4</f>
        <v>http://hl7.eu/fhir/ig/idea4rc/StructureDefinition/Procedure-radiotheraphy-eu-i4rc</v>
      </c>
      <c r="F7" s="169"/>
      <c r="G7" s="169"/>
    </row>
    <row r="8" spans="1:19" ht="45" thickBot="1">
      <c r="B8" s="62" t="s">
        <v>1790</v>
      </c>
      <c r="C8" s="7" t="s">
        <v>2224</v>
      </c>
      <c r="D8" s="62"/>
      <c r="E8" s="7"/>
      <c r="I8" s="12" t="s">
        <v>1402</v>
      </c>
      <c r="J8" s="12" t="s">
        <v>1403</v>
      </c>
      <c r="K8" s="12" t="s">
        <v>1404</v>
      </c>
      <c r="L8" s="12" t="s">
        <v>1405</v>
      </c>
      <c r="M8" s="11" t="s">
        <v>1406</v>
      </c>
      <c r="P8" s="49" t="s">
        <v>1441</v>
      </c>
      <c r="Q8" s="49">
        <v>6</v>
      </c>
    </row>
    <row r="9" spans="1:19" ht="30.25" thickBot="1">
      <c r="B9" s="62" t="s">
        <v>1791</v>
      </c>
      <c r="C9" s="12" t="s">
        <v>2225</v>
      </c>
      <c r="D9" s="144"/>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2207</v>
      </c>
      <c r="E14" s="6"/>
      <c r="F14" s="64"/>
      <c r="G14" s="64"/>
      <c r="I14" s="12"/>
      <c r="J14" s="11"/>
      <c r="K14" s="11"/>
      <c r="L14" s="11"/>
      <c r="M14" s="63"/>
      <c r="N14" s="66"/>
    </row>
    <row r="15" spans="1:19" ht="44.25">
      <c r="A15" s="59"/>
      <c r="B15" s="11" t="str">
        <f>Radiotherapy!B8</f>
        <v>episodeEventReference</v>
      </c>
      <c r="C15" s="11" t="str">
        <f>Radiotherapy!C8</f>
        <v>Episode Event reference</v>
      </c>
      <c r="D15" s="12" t="s">
        <v>2208</v>
      </c>
      <c r="E15" s="12"/>
      <c r="F15" s="64" t="s">
        <v>1407</v>
      </c>
      <c r="G15" s="124"/>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2251</v>
      </c>
      <c r="E16" s="12"/>
      <c r="F16" s="64" t="s">
        <v>1407</v>
      </c>
      <c r="G16" s="123" t="s">
        <v>2226</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2239</v>
      </c>
      <c r="E17" s="12"/>
      <c r="F17" s="64" t="s">
        <v>1407</v>
      </c>
      <c r="G17" s="123" t="s">
        <v>1792</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2251</v>
      </c>
      <c r="E18" s="12"/>
      <c r="F18" s="64" t="s">
        <v>1407</v>
      </c>
      <c r="G18" s="123" t="s">
        <v>2226</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2246</v>
      </c>
      <c r="E19" s="12"/>
      <c r="F19" s="64" t="s">
        <v>1407</v>
      </c>
      <c r="G19" s="124" t="s">
        <v>1792</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2247</v>
      </c>
      <c r="E20" s="12"/>
      <c r="F20" s="64" t="s">
        <v>1424</v>
      </c>
      <c r="G20" s="124" t="s">
        <v>1792</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2240</v>
      </c>
      <c r="E21" s="12"/>
      <c r="F21" s="64" t="s">
        <v>1407</v>
      </c>
      <c r="G21" s="124" t="s">
        <v>1792</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2241</v>
      </c>
      <c r="E22" s="12"/>
      <c r="F22" s="64" t="s">
        <v>1429</v>
      </c>
      <c r="G22" s="124"/>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2243</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2242</v>
      </c>
      <c r="E24" s="11"/>
      <c r="F24" s="64" t="s">
        <v>1407</v>
      </c>
      <c r="G24" s="124"/>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2244</v>
      </c>
      <c r="E25" s="11"/>
      <c r="F25" s="64" t="s">
        <v>1407</v>
      </c>
      <c r="G25" s="123" t="s">
        <v>2245</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2240</v>
      </c>
      <c r="E26" s="12"/>
      <c r="F26" s="64" t="s">
        <v>1407</v>
      </c>
      <c r="G26" s="123" t="s">
        <v>1792</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2248</v>
      </c>
      <c r="E27" s="12"/>
      <c r="F27" s="64" t="s">
        <v>1430</v>
      </c>
      <c r="G27" s="124"/>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2249</v>
      </c>
      <c r="E28" s="12"/>
      <c r="F28" s="64" t="s">
        <v>1430</v>
      </c>
      <c r="G28" s="124"/>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2002</v>
      </c>
      <c r="E29" s="12"/>
      <c r="F29" s="64" t="s">
        <v>1429</v>
      </c>
      <c r="G29" s="124"/>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2002</v>
      </c>
      <c r="E30" s="12"/>
      <c r="F30" s="64" t="s">
        <v>1407</v>
      </c>
      <c r="G30" s="123" t="s">
        <v>1792</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2002</v>
      </c>
      <c r="E31" s="12"/>
      <c r="F31" s="64" t="s">
        <v>1407</v>
      </c>
      <c r="G31" s="123" t="s">
        <v>1792</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2002</v>
      </c>
      <c r="E32" s="12"/>
      <c r="F32" s="64" t="s">
        <v>1407</v>
      </c>
      <c r="G32" s="123" t="s">
        <v>1792</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2002</v>
      </c>
      <c r="E33" s="12"/>
      <c r="F33" s="64" t="s">
        <v>1407</v>
      </c>
      <c r="G33" s="123" t="s">
        <v>1792</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2002</v>
      </c>
      <c r="E34" s="12"/>
      <c r="F34" s="64" t="s">
        <v>1407</v>
      </c>
      <c r="G34" s="123" t="s">
        <v>1792</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2002</v>
      </c>
      <c r="E35" s="12"/>
      <c r="F35" s="64" t="s">
        <v>1407</v>
      </c>
      <c r="G35" s="123" t="s">
        <v>1792</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2002</v>
      </c>
      <c r="E36" s="12"/>
      <c r="F36" s="64" t="s">
        <v>1407</v>
      </c>
      <c r="G36" s="123" t="s">
        <v>1792</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2002</v>
      </c>
      <c r="E37" s="12"/>
      <c r="F37" s="64" t="s">
        <v>1407</v>
      </c>
      <c r="G37" s="123" t="s">
        <v>1792</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2002</v>
      </c>
      <c r="E38" s="12"/>
      <c r="F38" s="64" t="s">
        <v>1407</v>
      </c>
      <c r="G38" s="123" t="s">
        <v>1792</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2002</v>
      </c>
      <c r="E39" s="12"/>
      <c r="F39" s="64" t="s">
        <v>1407</v>
      </c>
      <c r="G39" s="123" t="s">
        <v>1792</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2002</v>
      </c>
      <c r="E40" s="12"/>
      <c r="F40" s="64" t="s">
        <v>1407</v>
      </c>
      <c r="G40" s="123" t="s">
        <v>1792</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2244</v>
      </c>
      <c r="E41" s="11"/>
      <c r="F41" s="64" t="s">
        <v>1407</v>
      </c>
      <c r="G41" s="123" t="s">
        <v>2250</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2252</v>
      </c>
    </row>
    <row r="3" spans="2:7">
      <c r="B3" s="24" t="s">
        <v>20</v>
      </c>
    </row>
    <row r="4" spans="2:7">
      <c r="B4" s="65" t="str">
        <f>"Instance: "&amp;'Radiotherapy-ConceptMap-1'!C4</f>
        <v>Instance: radiotherapy2FHIR</v>
      </c>
    </row>
    <row r="5" spans="2:7">
      <c r="B5" s="65" t="s">
        <v>1447</v>
      </c>
    </row>
    <row r="6" spans="2:7">
      <c r="B6" s="65" t="s">
        <v>1438</v>
      </c>
    </row>
    <row r="7" spans="2:7">
      <c r="B7" s="65" t="s">
        <v>1793</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2370</v>
      </c>
      <c r="J4" s="16" t="str">
        <f>CONCATENATE("Logical: ",B4)</f>
        <v>Logical: HospitalPatientRecordsI4rc</v>
      </c>
    </row>
    <row r="5" spans="1:12" ht="15.5" thickBot="1">
      <c r="A5" s="14" t="s">
        <v>16</v>
      </c>
      <c r="B5" s="45" t="s">
        <v>2280</v>
      </c>
      <c r="J5" s="16" t="str">
        <f>CONCATENATE("Id: ",B5)</f>
        <v>Id: HospitalPatientRecords</v>
      </c>
    </row>
    <row r="6" spans="1:12" ht="15.5" thickBot="1">
      <c r="A6" s="14" t="s">
        <v>10</v>
      </c>
      <c r="B6" s="45" t="s">
        <v>2281</v>
      </c>
      <c r="J6" s="17" t="str">
        <f>CONCATENATE("Title: ##34#",B6,"##34#")</f>
        <v>Title: ##34#Hospital Patient Records##34#</v>
      </c>
    </row>
    <row r="7" spans="1:12">
      <c r="A7" s="26" t="s">
        <v>2</v>
      </c>
      <c r="B7" s="150" t="s">
        <v>2281</v>
      </c>
      <c r="C7" s="9" t="s">
        <v>3</v>
      </c>
      <c r="D7" s="1" t="s">
        <v>4</v>
      </c>
      <c r="E7" s="3" t="s">
        <v>5</v>
      </c>
      <c r="F7" s="3" t="s">
        <v>6</v>
      </c>
      <c r="G7" s="3" t="s">
        <v>7</v>
      </c>
      <c r="H7" s="105" t="s">
        <v>1610</v>
      </c>
      <c r="J7" s="17" t="str">
        <f>CONCATENATE("Description: "," ##334#",B7,"##334#",)</f>
        <v>Description:  ##334#Hospital Patient Records##334#</v>
      </c>
    </row>
    <row r="8" spans="1:12" ht="44.25">
      <c r="A8" s="100">
        <v>0</v>
      </c>
      <c r="B8" s="11" t="s">
        <v>1800</v>
      </c>
      <c r="C8" s="11" t="s">
        <v>14</v>
      </c>
      <c r="D8" s="11" t="s">
        <v>1755</v>
      </c>
      <c r="E8" s="11">
        <v>1</v>
      </c>
      <c r="F8" s="11">
        <v>1</v>
      </c>
      <c r="G8" s="119" t="s">
        <v>1778</v>
      </c>
      <c r="H8" s="11" t="s">
        <v>2270</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2271</v>
      </c>
      <c r="C9" s="11" t="s">
        <v>2272</v>
      </c>
      <c r="D9" s="11" t="s">
        <v>2273</v>
      </c>
      <c r="E9" s="11">
        <v>1</v>
      </c>
      <c r="F9" s="11">
        <v>1</v>
      </c>
      <c r="G9" s="120" t="s">
        <v>1</v>
      </c>
      <c r="H9" s="11" t="s">
        <v>2274</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2279</v>
      </c>
      <c r="C10" s="11" t="s">
        <v>2268</v>
      </c>
      <c r="D10" s="11" t="s">
        <v>2269</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2275</v>
      </c>
      <c r="C11" s="11" t="s">
        <v>2276</v>
      </c>
      <c r="D11" s="11" t="s">
        <v>2277</v>
      </c>
      <c r="E11" s="11">
        <v>1</v>
      </c>
      <c r="F11" s="11">
        <v>1</v>
      </c>
      <c r="G11" s="11" t="s">
        <v>156</v>
      </c>
      <c r="H11" s="11" t="s">
        <v>2278</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7" customWidth="1"/>
    <col min="2" max="2" width="7.36328125" style="157" customWidth="1"/>
    <col min="3" max="3" width="108.2265625" style="155" customWidth="1"/>
    <col min="7" max="7" width="29.54296875" customWidth="1"/>
    <col min="8" max="8" width="54.90625" customWidth="1"/>
  </cols>
  <sheetData>
    <row r="1" spans="3:7" ht="15.5" thickBot="1">
      <c r="C1" s="153" t="str">
        <f>HospitalPatientRecords!J1</f>
        <v>//===================================================</v>
      </c>
    </row>
    <row r="2" spans="3:7" ht="16.75" thickBot="1">
      <c r="C2" s="24" t="str">
        <f>HospitalPatientRecords!J2</f>
        <v>//  Logical Model</v>
      </c>
      <c r="G2" s="29" t="s">
        <v>2282</v>
      </c>
    </row>
    <row r="3" spans="3:7">
      <c r="C3" s="24" t="str">
        <f>HospitalPatientRecords!J3</f>
        <v>//===================================================</v>
      </c>
    </row>
    <row r="4" spans="3:7">
      <c r="C4" s="154" t="str">
        <f>HospitalPatientRecords!J4</f>
        <v>Logical: HospitalPatientRecordsI4rc</v>
      </c>
    </row>
    <row r="5" spans="3:7">
      <c r="C5" s="154" t="str">
        <f>HospitalPatientRecords!J5</f>
        <v>Id: HospitalPatientRecords</v>
      </c>
    </row>
    <row r="6" spans="3:7">
      <c r="C6" s="154" t="str">
        <f>HospitalPatientRecords!J6</f>
        <v>Title: ##34#Hospital Patient Records##34#</v>
      </c>
    </row>
    <row r="7" spans="3:7">
      <c r="C7" s="154" t="str">
        <f>HospitalPatientRecords!J7</f>
        <v>Description:  ##334#Hospital Patient Records##334#</v>
      </c>
    </row>
    <row r="8" spans="3:7" ht="29.5">
      <c r="C8" s="155" t="str">
        <f>IF(HospitalPatientRecords!J8="*  ..  ##34###34# ##334###334#","//--- END",HospitalPatientRecords!J8)</f>
        <v>* patient 1..1 http://hl7.eu/fhir/ig/idea4rc/StructureDefinition/Subject ##34#Patient##34# ##334#Patient element containing the data regarding the patient followed by the hospital##334#</v>
      </c>
    </row>
    <row r="9" spans="3:7" ht="29.5">
      <c r="C9" s="155" t="str">
        <f>IF(HospitalPatientRecords!J9="*  ..  ##34###34# ##334###334#","//--- END",HospitalPatientRecords!J9)</f>
        <v>* hospital 1..1 BackboneElement ##34#Hospital##34# ##334#Hospital element containing the data regarding the patient followed by the hospital##334#</v>
      </c>
    </row>
    <row r="10" spans="3:7">
      <c r="C10" s="155" t="str">
        <f>IF(HospitalPatientRecords!J10="*  ..  ##34###34# ##334###334#","//--- END",HospitalPatientRecords!J10)</f>
        <v>* hospital.name 1..1 string ##34#Hospital Name##34# ##334#Hospital where the patients is included in the registry##334#</v>
      </c>
    </row>
    <row r="11" spans="3:7" ht="59">
      <c r="C11" s="155"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5" t="str">
        <f>IF(HospitalPatientRecords!J12="*  ..  ##34###34# ##334###334#","//--- END",HospitalPatientRecords!J12)</f>
        <v>//--- END</v>
      </c>
    </row>
    <row r="13" spans="3:7">
      <c r="C13" s="155" t="str">
        <f>IF(HospitalPatientRecords!J14="*  ..  ##34###34# ##334###334#","//--- END",HospitalPatientRecords!J14)</f>
        <v>//--- END</v>
      </c>
    </row>
    <row r="14" spans="3:7">
      <c r="C14" s="155" t="str">
        <f>IF(HospitalPatientRecords!J15="*  ..  ##34###34# ##334###334#","//--- END",HospitalPatientRecords!J15)</f>
        <v>//--- END</v>
      </c>
    </row>
    <row r="15" spans="3:7">
      <c r="C15" s="155" t="str">
        <f>IF(HospitalPatientRecords!J16="*  ..  ##34###34# ##334###334#","//--- END",HospitalPatientRecords!J16)</f>
        <v>//--- END</v>
      </c>
    </row>
    <row r="16" spans="3:7">
      <c r="C16" s="155" t="str">
        <f>IF(HospitalPatientRecords!J17="*  ..  ##34###34# ##334###334#","//--- END",HospitalPatientRecords!J17)</f>
        <v>//--- END</v>
      </c>
    </row>
    <row r="17" spans="3:3">
      <c r="C17" s="155" t="str">
        <f>IF(HospitalPatientRecords!J18="*  ..  ##34###34# ##334###334#","//--- END",HospitalPatientRecords!J18)</f>
        <v>//--- END</v>
      </c>
    </row>
    <row r="18" spans="3:3">
      <c r="C18" s="155" t="str">
        <f>IF(HospitalPatientRecords!J19="*  ..  ##34###34# ##334###334#","//--- END",HospitalPatientRecords!J19)</f>
        <v>//--- END</v>
      </c>
    </row>
    <row r="19" spans="3:3">
      <c r="C19" s="155" t="str">
        <f>IF(HospitalPatientRecords!J20="*  ..  ##34###34# ##334###334#","//--- END",HospitalPatientRecords!J20)</f>
        <v>//--- END</v>
      </c>
    </row>
    <row r="20" spans="3:3">
      <c r="C20" s="155" t="str">
        <f>IF(HospitalPatientRecords!J21="*  ..  ##34###34# ##334###334#","//--- END",HospitalPatientRecords!J21)</f>
        <v>//--- END</v>
      </c>
    </row>
    <row r="21" spans="3:3">
      <c r="C21" s="155" t="str">
        <f>IF(HospitalPatientRecords!J22="*  ..  ##34###34# ##334###334#","//--- END",HospitalPatientRecords!J22)</f>
        <v>//--- END</v>
      </c>
    </row>
    <row r="22" spans="3:3">
      <c r="C22" s="155" t="str">
        <f>IF(HospitalPatientRecords!J23="*  ..  ##34###34# ##334###334#","//--- END",HospitalPatientRecords!J23)</f>
        <v>//--- END</v>
      </c>
    </row>
    <row r="23" spans="3:3">
      <c r="C23" s="155" t="str">
        <f>IF(HospitalPatientRecords!J24="*  ..  ##34###34# ##334###334#","//--- END",HospitalPatientRecords!J24)</f>
        <v>//--- END</v>
      </c>
    </row>
    <row r="24" spans="3:3">
      <c r="C24" s="155" t="str">
        <f>IF(HospitalPatientRecords!J25="*  ..  ##34###34# ##334###334#","//--- END",HospitalPatientRecords!J25)</f>
        <v>//--- END</v>
      </c>
    </row>
    <row r="31" spans="3:3">
      <c r="C31" s="153" t="s">
        <v>1613</v>
      </c>
    </row>
    <row r="32" spans="3:3">
      <c r="C32" s="24" t="s">
        <v>1651</v>
      </c>
    </row>
    <row r="33" spans="3:3">
      <c r="C33" s="24" t="s">
        <v>1613</v>
      </c>
    </row>
    <row r="34" spans="3:3" ht="29.5">
      <c r="C34" s="155" t="str">
        <f>IF(HospitalPatientRecords!L8="*  ..  ##34###34# ##334###334#","//--- END",HospitalPatientRecords!L8)</f>
        <v>* patient ^comment = ##334#A patient element data
-##334#</v>
      </c>
    </row>
    <row r="35" spans="3:3" ht="29.5">
      <c r="C35" s="155" t="str">
        <f>IF(HospitalPatientRecords!L9="*  ..  ##34###34# ##334###334#","//--- END",HospitalPatientRecords!L9)</f>
        <v>* hospital ^comment = ##334#A hospital element data
-##334#</v>
      </c>
    </row>
    <row r="36" spans="3:3">
      <c r="C36" s="155" t="str">
        <f>IF(HospitalPatientRecords!L10="*  ..  ##34###34# ##334###334#","//--- END",HospitalPatientRecords!L10)</f>
        <v/>
      </c>
    </row>
    <row r="37" spans="3:3" ht="29.5">
      <c r="C37" s="155" t="str">
        <f>IF(HospitalPatientRecords!L11="*  ..  ##34###34# ##334###334#","//--- END",HospitalPatientRecords!L11)</f>
        <v>* firstContactDate ^comment = ##334#Date
-##334#</v>
      </c>
    </row>
    <row r="38" spans="3:3">
      <c r="C38" s="155" t="str">
        <f>IF(HospitalPatientRecords!L13="*  ..  ##34###34# ##334###334#","//--- END",HospitalPatientRecords!L13)</f>
        <v>//--- END</v>
      </c>
    </row>
    <row r="39" spans="3:3">
      <c r="C39" s="155" t="str">
        <f>IF(HospitalPatientRecords!L14="*  ..  ##34###34# ##334###334#","//--- END",HospitalPatientRecords!L14)</f>
        <v>//--- END</v>
      </c>
    </row>
    <row r="40" spans="3:3">
      <c r="C40" s="155"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2381</v>
      </c>
      <c r="D3" s="62" t="s">
        <v>1786</v>
      </c>
      <c r="E3" s="118" t="str">
        <f>$C$1&amp;B14</f>
        <v>http://hl7.eu/fhir/ig/idea4rc/StructureDefinition/HospitalPatientRecords</v>
      </c>
    </row>
    <row r="4" spans="1:19">
      <c r="B4" s="62" t="s">
        <v>16</v>
      </c>
      <c r="C4" s="28" t="s">
        <v>2381</v>
      </c>
      <c r="D4" s="62" t="s">
        <v>1787</v>
      </c>
      <c r="E4" s="168" t="s">
        <v>2384</v>
      </c>
      <c r="F4" s="169"/>
      <c r="G4" s="169"/>
    </row>
    <row r="5" spans="1:19">
      <c r="B5" s="62" t="s">
        <v>10</v>
      </c>
      <c r="C5" s="7" t="s">
        <v>2382</v>
      </c>
      <c r="D5" s="62"/>
      <c r="E5" s="7"/>
    </row>
    <row r="6" spans="1:19">
      <c r="B6" s="62" t="s">
        <v>18</v>
      </c>
      <c r="C6" s="56"/>
      <c r="D6" s="62" t="s">
        <v>1788</v>
      </c>
      <c r="E6" s="168" t="str">
        <f>E3</f>
        <v>http://hl7.eu/fhir/ig/idea4rc/StructureDefinition/HospitalPatientRecords</v>
      </c>
      <c r="F6" s="169"/>
      <c r="G6" s="169"/>
    </row>
    <row r="7" spans="1:19">
      <c r="B7" s="62" t="s">
        <v>15</v>
      </c>
      <c r="C7" s="119"/>
      <c r="D7" s="62" t="s">
        <v>1789</v>
      </c>
      <c r="E7" s="168" t="str">
        <f>E4</f>
        <v>http://hl7.eu/fhir/ig/idea4rc/StructureDefinition/episodeOfCare-eu-i4rc</v>
      </c>
      <c r="F7" s="169"/>
      <c r="G7" s="169"/>
    </row>
    <row r="8" spans="1:19" ht="45" thickBot="1">
      <c r="B8" s="62" t="s">
        <v>1790</v>
      </c>
      <c r="C8" t="s">
        <v>2382</v>
      </c>
      <c r="D8" s="62"/>
      <c r="E8" s="7"/>
      <c r="I8" s="12" t="s">
        <v>1402</v>
      </c>
      <c r="J8" s="12" t="s">
        <v>1403</v>
      </c>
      <c r="K8" s="12" t="s">
        <v>1404</v>
      </c>
      <c r="L8" s="12" t="s">
        <v>1405</v>
      </c>
      <c r="M8" s="11" t="s">
        <v>1406</v>
      </c>
      <c r="P8" s="49" t="s">
        <v>1441</v>
      </c>
      <c r="Q8" s="49">
        <v>6</v>
      </c>
    </row>
    <row r="9" spans="1:19" ht="30.25" thickBot="1">
      <c r="B9" s="62" t="s">
        <v>1791</v>
      </c>
      <c r="C9" s="12" t="s">
        <v>2383</v>
      </c>
      <c r="D9" s="144"/>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2385</v>
      </c>
      <c r="E14" s="6"/>
      <c r="F14" s="64"/>
      <c r="G14" s="64"/>
      <c r="I14" s="12"/>
      <c r="J14" s="11"/>
      <c r="K14" s="11"/>
      <c r="L14" s="11"/>
      <c r="M14" s="63"/>
      <c r="N14" s="66"/>
    </row>
    <row r="15" spans="1:19" ht="44.25">
      <c r="A15" s="59"/>
      <c r="B15" s="11" t="str">
        <f>HospitalPatientRecords!B8</f>
        <v>patient</v>
      </c>
      <c r="C15" s="11" t="str">
        <f>HospitalPatientRecords!C8</f>
        <v>Patient</v>
      </c>
      <c r="D15" s="12" t="s">
        <v>1800</v>
      </c>
      <c r="E15" s="12"/>
      <c r="F15" s="64" t="s">
        <v>1430</v>
      </c>
      <c r="G15" s="124"/>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2386</v>
      </c>
      <c r="E16" s="12"/>
      <c r="F16" s="64" t="s">
        <v>1429</v>
      </c>
      <c r="G16" s="124"/>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2387</v>
      </c>
      <c r="E17" s="12"/>
      <c r="F17" s="64" t="s">
        <v>1429</v>
      </c>
      <c r="G17" s="124"/>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2388</v>
      </c>
      <c r="E18" s="12"/>
      <c r="F18" s="64" t="s">
        <v>1430</v>
      </c>
      <c r="G18" s="124"/>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4"/>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4"/>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4"/>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4"/>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4"/>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4"/>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4"/>
      <c r="P45" s="11">
        <v>31</v>
      </c>
      <c r="Q45" s="11">
        <f t="shared" si="13"/>
        <v>5</v>
      </c>
      <c r="R45" s="11">
        <f t="shared" si="14"/>
        <v>1</v>
      </c>
      <c r="S45" s="12" cm="1">
        <f t="array" ref="S45">INDEX('HospitalPatientRec-ConceptMap-1'!$I$15:$N$124,Q45+1,R45)</f>
        <v>0</v>
      </c>
    </row>
    <row r="46" spans="1:19">
      <c r="B46" s="11"/>
      <c r="C46" s="11"/>
      <c r="D46" s="12"/>
      <c r="E46" s="12"/>
      <c r="F46" s="64"/>
      <c r="G46" s="124"/>
      <c r="P46" s="11">
        <v>32</v>
      </c>
      <c r="Q46" s="11">
        <f t="shared" si="13"/>
        <v>5</v>
      </c>
      <c r="R46" s="11">
        <f t="shared" si="14"/>
        <v>2</v>
      </c>
      <c r="S46" s="12" cm="1">
        <f t="array" ref="S46">INDEX('HospitalPatientRec-ConceptMap-1'!$I$15:$N$124,Q46+1,R46)</f>
        <v>0</v>
      </c>
    </row>
    <row r="47" spans="1:19">
      <c r="B47" s="11"/>
      <c r="C47" s="11"/>
      <c r="D47" s="12"/>
      <c r="E47" s="12"/>
      <c r="F47" s="64"/>
      <c r="G47" s="124"/>
      <c r="P47" s="11">
        <v>33</v>
      </c>
      <c r="Q47" s="11">
        <f t="shared" si="13"/>
        <v>5</v>
      </c>
      <c r="R47" s="11">
        <f t="shared" si="14"/>
        <v>3</v>
      </c>
      <c r="S47" s="12" cm="1">
        <f t="array" ref="S47">INDEX('HospitalPatientRec-ConceptMap-1'!$I$15:$N$124,Q47+1,R47)</f>
        <v>0</v>
      </c>
    </row>
    <row r="48" spans="1:19">
      <c r="B48" s="11"/>
      <c r="C48" s="11"/>
      <c r="D48" s="12"/>
      <c r="E48" s="12"/>
      <c r="F48" s="64"/>
      <c r="G48" s="124"/>
      <c r="P48" s="11">
        <v>34</v>
      </c>
      <c r="Q48" s="11">
        <f t="shared" si="13"/>
        <v>5</v>
      </c>
      <c r="R48" s="11">
        <f t="shared" si="14"/>
        <v>4</v>
      </c>
      <c r="S48" s="12" cm="1">
        <f t="array" ref="S48">INDEX('HospitalPatientRec-ConceptMap-1'!$I$15:$N$124,Q48+1,R48)</f>
        <v>0</v>
      </c>
    </row>
    <row r="49" spans="2:19">
      <c r="B49" s="11"/>
      <c r="C49" s="11"/>
      <c r="D49" s="12"/>
      <c r="E49" s="12"/>
      <c r="F49" s="64"/>
      <c r="G49" s="124"/>
      <c r="P49" s="11">
        <v>35</v>
      </c>
      <c r="Q49" s="11">
        <f t="shared" si="13"/>
        <v>5</v>
      </c>
      <c r="R49" s="11">
        <f t="shared" si="14"/>
        <v>5</v>
      </c>
      <c r="S49" s="12" cm="1">
        <f t="array" ref="S49">INDEX('HospitalPatientRec-ConceptMap-1'!$I$15:$N$124,Q49+1,R49)</f>
        <v>0</v>
      </c>
    </row>
    <row r="50" spans="2:19">
      <c r="B50" s="11"/>
      <c r="C50" s="11"/>
      <c r="D50" s="12"/>
      <c r="E50" s="12"/>
      <c r="F50" s="64"/>
      <c r="G50" s="124"/>
      <c r="P50" s="11">
        <v>36</v>
      </c>
      <c r="Q50" s="11">
        <f t="shared" si="13"/>
        <v>5</v>
      </c>
      <c r="R50" s="11">
        <f t="shared" si="14"/>
        <v>6</v>
      </c>
      <c r="S50" s="12" cm="1">
        <f t="array" ref="S50">INDEX('HospitalPatientRec-ConceptMap-1'!$I$15:$N$124,Q50+1,R50)</f>
        <v>0</v>
      </c>
    </row>
    <row r="51" spans="2:19">
      <c r="B51" s="11"/>
      <c r="C51" s="11"/>
      <c r="D51" s="12"/>
      <c r="E51" s="12"/>
      <c r="F51" s="64"/>
      <c r="G51" s="124"/>
      <c r="P51" s="11">
        <v>37</v>
      </c>
      <c r="Q51" s="11">
        <f t="shared" si="13"/>
        <v>6</v>
      </c>
      <c r="R51" s="11">
        <f t="shared" si="14"/>
        <v>1</v>
      </c>
      <c r="S51" s="12" cm="1">
        <f t="array" ref="S51">INDEX('HospitalPatientRec-ConceptMap-1'!$I$15:$N$124,Q51+1,R51)</f>
        <v>0</v>
      </c>
    </row>
    <row r="52" spans="2:19">
      <c r="B52" s="11"/>
      <c r="C52" s="11"/>
      <c r="D52" s="12"/>
      <c r="E52" s="12"/>
      <c r="F52" s="64"/>
      <c r="G52" s="124"/>
      <c r="P52" s="11">
        <v>38</v>
      </c>
      <c r="Q52" s="11">
        <f t="shared" si="13"/>
        <v>6</v>
      </c>
      <c r="R52" s="11">
        <f t="shared" si="14"/>
        <v>2</v>
      </c>
      <c r="S52" s="12" cm="1">
        <f t="array" ref="S52">INDEX('HospitalPatientRec-ConceptMap-1'!$I$15:$N$124,Q52+1,R52)</f>
        <v>0</v>
      </c>
    </row>
    <row r="53" spans="2:19">
      <c r="B53" s="11"/>
      <c r="C53" s="11"/>
      <c r="D53" s="12"/>
      <c r="E53" s="12"/>
      <c r="F53" s="64"/>
      <c r="G53" s="124"/>
      <c r="P53" s="11">
        <v>39</v>
      </c>
      <c r="Q53" s="11">
        <f t="shared" si="13"/>
        <v>6</v>
      </c>
      <c r="R53" s="11">
        <f t="shared" si="14"/>
        <v>3</v>
      </c>
      <c r="S53" s="12" cm="1">
        <f t="array" ref="S53">INDEX('HospitalPatientRec-ConceptMap-1'!$I$15:$N$124,Q53+1,R53)</f>
        <v>0</v>
      </c>
    </row>
    <row r="54" spans="2:19">
      <c r="B54" s="11"/>
      <c r="C54" s="11"/>
      <c r="D54" s="12"/>
      <c r="E54" s="12"/>
      <c r="F54" s="64"/>
      <c r="G54" s="124"/>
      <c r="P54" s="11">
        <v>40</v>
      </c>
      <c r="Q54" s="11">
        <f t="shared" si="13"/>
        <v>6</v>
      </c>
      <c r="R54" s="11">
        <f t="shared" si="14"/>
        <v>4</v>
      </c>
      <c r="S54" s="12" cm="1">
        <f t="array" ref="S54">INDEX('HospitalPatientRec-ConceptMap-1'!$I$15:$N$124,Q54+1,R54)</f>
        <v>0</v>
      </c>
    </row>
    <row r="55" spans="2:19">
      <c r="B55" s="11"/>
      <c r="C55" s="11"/>
      <c r="D55" s="12"/>
      <c r="E55" s="12"/>
      <c r="F55" s="64"/>
      <c r="G55" s="124"/>
      <c r="P55" s="11">
        <v>41</v>
      </c>
      <c r="Q55" s="11">
        <f t="shared" si="13"/>
        <v>6</v>
      </c>
      <c r="R55" s="11">
        <f t="shared" si="14"/>
        <v>5</v>
      </c>
      <c r="S55" s="12" cm="1">
        <f t="array" ref="S55">INDEX('HospitalPatientRec-ConceptMap-1'!$I$15:$N$124,Q55+1,R55)</f>
        <v>0</v>
      </c>
    </row>
    <row r="56" spans="2:19">
      <c r="B56" s="11"/>
      <c r="C56" s="11"/>
      <c r="D56" s="12"/>
      <c r="E56" s="12"/>
      <c r="F56" s="64"/>
      <c r="G56" s="124"/>
      <c r="P56" s="11">
        <v>42</v>
      </c>
      <c r="Q56" s="11">
        <f t="shared" si="13"/>
        <v>6</v>
      </c>
      <c r="R56" s="11">
        <f t="shared" si="14"/>
        <v>6</v>
      </c>
      <c r="S56" s="12" cm="1">
        <f t="array" ref="S56">INDEX('HospitalPatientRec-ConceptMap-1'!$I$15:$N$124,Q56+1,R56)</f>
        <v>0</v>
      </c>
    </row>
    <row r="57" spans="2:19">
      <c r="B57" s="11"/>
      <c r="C57" s="11"/>
      <c r="D57" s="12"/>
      <c r="E57" s="12"/>
      <c r="F57" s="64"/>
      <c r="G57" s="124"/>
      <c r="P57" s="11">
        <v>43</v>
      </c>
      <c r="Q57" s="11">
        <f t="shared" si="13"/>
        <v>7</v>
      </c>
      <c r="R57" s="11">
        <f t="shared" si="14"/>
        <v>1</v>
      </c>
      <c r="S57" s="12" cm="1">
        <f t="array" ref="S57">INDEX('HospitalPatientRec-ConceptMap-1'!$I$15:$N$124,Q57+1,R57)</f>
        <v>0</v>
      </c>
    </row>
    <row r="58" spans="2:19">
      <c r="B58" s="11"/>
      <c r="C58" s="11"/>
      <c r="D58" s="12"/>
      <c r="E58" s="12"/>
      <c r="F58" s="64"/>
      <c r="G58" s="124"/>
      <c r="P58" s="11">
        <v>44</v>
      </c>
      <c r="Q58" s="11">
        <f t="shared" si="13"/>
        <v>7</v>
      </c>
      <c r="R58" s="11">
        <f t="shared" si="14"/>
        <v>2</v>
      </c>
      <c r="S58" s="12" cm="1">
        <f t="array" ref="S58">INDEX('HospitalPatientRec-ConceptMap-1'!$I$15:$N$124,Q58+1,R58)</f>
        <v>0</v>
      </c>
    </row>
    <row r="59" spans="2:19">
      <c r="B59" s="11"/>
      <c r="C59" s="11"/>
      <c r="D59" s="12"/>
      <c r="E59" s="12"/>
      <c r="F59" s="64"/>
      <c r="G59" s="124"/>
      <c r="P59" s="11">
        <v>45</v>
      </c>
      <c r="Q59" s="11">
        <f t="shared" si="13"/>
        <v>7</v>
      </c>
      <c r="R59" s="11">
        <f t="shared" si="14"/>
        <v>3</v>
      </c>
      <c r="S59" s="12" cm="1">
        <f t="array" ref="S59">INDEX('HospitalPatientRec-ConceptMap-1'!$I$15:$N$124,Q59+1,R59)</f>
        <v>0</v>
      </c>
    </row>
    <row r="60" spans="2:19">
      <c r="B60" s="11"/>
      <c r="C60" s="11"/>
      <c r="D60" s="12"/>
      <c r="E60" s="12"/>
      <c r="F60" s="64"/>
      <c r="G60" s="124"/>
      <c r="P60" s="11">
        <v>46</v>
      </c>
      <c r="Q60" s="11">
        <f t="shared" si="13"/>
        <v>7</v>
      </c>
      <c r="R60" s="11">
        <f t="shared" si="14"/>
        <v>4</v>
      </c>
      <c r="S60" s="12" cm="1">
        <f t="array" ref="S60">INDEX('HospitalPatientRec-ConceptMap-1'!$I$15:$N$124,Q60+1,R60)</f>
        <v>0</v>
      </c>
    </row>
    <row r="61" spans="2:19">
      <c r="B61" s="11"/>
      <c r="C61" s="11"/>
      <c r="D61" s="12"/>
      <c r="E61" s="12"/>
      <c r="F61" s="64"/>
      <c r="G61" s="124"/>
      <c r="P61" s="11">
        <v>47</v>
      </c>
      <c r="Q61" s="11">
        <f t="shared" si="13"/>
        <v>7</v>
      </c>
      <c r="R61" s="11">
        <f t="shared" si="14"/>
        <v>5</v>
      </c>
      <c r="S61" s="12" cm="1">
        <f t="array" ref="S61">INDEX('HospitalPatientRec-ConceptMap-1'!$I$15:$N$124,Q61+1,R61)</f>
        <v>0</v>
      </c>
    </row>
    <row r="62" spans="2:19">
      <c r="B62" s="11"/>
      <c r="C62" s="11"/>
      <c r="D62" s="12"/>
      <c r="E62" s="12"/>
      <c r="F62" s="64"/>
      <c r="G62" s="124"/>
      <c r="P62" s="11">
        <v>48</v>
      </c>
      <c r="Q62" s="11">
        <f t="shared" si="13"/>
        <v>7</v>
      </c>
      <c r="R62" s="11">
        <f t="shared" si="14"/>
        <v>6</v>
      </c>
      <c r="S62" s="12" cm="1">
        <f t="array" ref="S62">INDEX('HospitalPatientRec-ConceptMap-1'!$I$15:$N$124,Q62+1,R62)</f>
        <v>0</v>
      </c>
    </row>
    <row r="63" spans="2:19">
      <c r="B63" s="11"/>
      <c r="C63" s="11"/>
      <c r="D63" s="12"/>
      <c r="E63" s="12"/>
      <c r="F63" s="64"/>
      <c r="G63" s="124"/>
      <c r="P63" s="11">
        <v>49</v>
      </c>
      <c r="Q63" s="11">
        <f t="shared" si="13"/>
        <v>8</v>
      </c>
      <c r="R63" s="11">
        <f t="shared" si="14"/>
        <v>1</v>
      </c>
      <c r="S63" s="12" cm="1">
        <f t="array" ref="S63">INDEX('HospitalPatientRec-ConceptMap-1'!$I$15:$N$124,Q63+1,R63)</f>
        <v>0</v>
      </c>
    </row>
    <row r="64" spans="2:19">
      <c r="B64" s="11"/>
      <c r="C64" s="11"/>
      <c r="D64" s="12"/>
      <c r="E64" s="12"/>
      <c r="F64" s="64"/>
      <c r="G64" s="124"/>
      <c r="P64" s="11">
        <v>50</v>
      </c>
      <c r="Q64" s="11">
        <f t="shared" si="13"/>
        <v>8</v>
      </c>
      <c r="R64" s="11">
        <f t="shared" si="14"/>
        <v>2</v>
      </c>
      <c r="S64" s="12" cm="1">
        <f t="array" ref="S64">INDEX('HospitalPatientRec-ConceptMap-1'!$I$15:$N$124,Q64+1,R64)</f>
        <v>0</v>
      </c>
    </row>
    <row r="65" spans="2:19">
      <c r="B65" s="11"/>
      <c r="C65" s="11"/>
      <c r="D65" s="12"/>
      <c r="E65" s="12"/>
      <c r="F65" s="64"/>
      <c r="G65" s="124"/>
      <c r="P65" s="11">
        <v>51</v>
      </c>
      <c r="Q65" s="11">
        <f t="shared" si="13"/>
        <v>8</v>
      </c>
      <c r="R65" s="11">
        <f t="shared" si="14"/>
        <v>3</v>
      </c>
      <c r="S65" s="12" cm="1">
        <f t="array" ref="S65">INDEX('HospitalPatientRec-ConceptMap-1'!$I$15:$N$124,Q65+1,R65)</f>
        <v>0</v>
      </c>
    </row>
    <row r="66" spans="2:19">
      <c r="B66" s="11"/>
      <c r="C66" s="11"/>
      <c r="D66" s="12"/>
      <c r="E66" s="12"/>
      <c r="F66" s="64"/>
      <c r="G66" s="124"/>
      <c r="P66" s="11">
        <v>52</v>
      </c>
      <c r="Q66" s="11">
        <f t="shared" si="13"/>
        <v>8</v>
      </c>
      <c r="R66" s="11">
        <f t="shared" si="14"/>
        <v>4</v>
      </c>
      <c r="S66" s="12" cm="1">
        <f t="array" ref="S66">INDEX('HospitalPatientRec-ConceptMap-1'!$I$15:$N$124,Q66+1,R66)</f>
        <v>0</v>
      </c>
    </row>
    <row r="67" spans="2:19">
      <c r="B67" s="11"/>
      <c r="C67" s="11"/>
      <c r="D67" s="12"/>
      <c r="E67" s="12"/>
      <c r="F67" s="64"/>
      <c r="G67" s="124"/>
      <c r="P67" s="11">
        <v>53</v>
      </c>
      <c r="Q67" s="11">
        <f t="shared" si="13"/>
        <v>8</v>
      </c>
      <c r="R67" s="11">
        <f t="shared" si="14"/>
        <v>5</v>
      </c>
      <c r="S67" s="12" cm="1">
        <f t="array" ref="S67">INDEX('HospitalPatientRec-ConceptMap-1'!$I$15:$N$124,Q67+1,R67)</f>
        <v>0</v>
      </c>
    </row>
    <row r="68" spans="2:19">
      <c r="B68" s="11"/>
      <c r="C68" s="11"/>
      <c r="D68" s="12"/>
      <c r="E68" s="12"/>
      <c r="F68" s="64"/>
      <c r="G68" s="124"/>
      <c r="P68" s="11">
        <v>54</v>
      </c>
      <c r="Q68" s="11">
        <f t="shared" si="13"/>
        <v>8</v>
      </c>
      <c r="R68" s="11">
        <f t="shared" si="14"/>
        <v>6</v>
      </c>
      <c r="S68" s="12" cm="1">
        <f t="array" ref="S68">INDEX('HospitalPatientRec-ConceptMap-1'!$I$15:$N$124,Q68+1,R68)</f>
        <v>0</v>
      </c>
    </row>
    <row r="69" spans="2:19">
      <c r="B69" s="11"/>
      <c r="C69" s="11"/>
      <c r="D69" s="12"/>
      <c r="E69" s="12"/>
      <c r="F69" s="64"/>
      <c r="G69" s="124"/>
      <c r="P69" s="11">
        <v>55</v>
      </c>
      <c r="Q69" s="11">
        <f t="shared" si="13"/>
        <v>9</v>
      </c>
      <c r="R69" s="11">
        <f t="shared" si="14"/>
        <v>1</v>
      </c>
      <c r="S69" s="12" cm="1">
        <f t="array" ref="S69">INDEX('HospitalPatientRec-ConceptMap-1'!$I$15:$N$124,Q69+1,R69)</f>
        <v>0</v>
      </c>
    </row>
    <row r="70" spans="2:19">
      <c r="B70" s="11"/>
      <c r="C70" s="11"/>
      <c r="D70" s="12"/>
      <c r="E70" s="12"/>
      <c r="F70" s="64"/>
      <c r="G70" s="124"/>
      <c r="P70" s="11">
        <v>56</v>
      </c>
      <c r="Q70" s="11">
        <f t="shared" si="13"/>
        <v>9</v>
      </c>
      <c r="R70" s="11">
        <f t="shared" si="14"/>
        <v>2</v>
      </c>
      <c r="S70" s="12" cm="1">
        <f t="array" ref="S70">INDEX('HospitalPatientRec-ConceptMap-1'!$I$15:$N$124,Q70+1,R70)</f>
        <v>0</v>
      </c>
    </row>
    <row r="71" spans="2:19">
      <c r="B71" s="11"/>
      <c r="C71" s="11"/>
      <c r="D71" s="12"/>
      <c r="E71" s="12"/>
      <c r="F71" s="64"/>
      <c r="G71" s="124"/>
      <c r="P71" s="11">
        <v>57</v>
      </c>
      <c r="Q71" s="11">
        <f t="shared" si="13"/>
        <v>9</v>
      </c>
      <c r="R71" s="11">
        <f t="shared" si="14"/>
        <v>3</v>
      </c>
      <c r="S71" s="12" cm="1">
        <f t="array" ref="S71">INDEX('HospitalPatientRec-ConceptMap-1'!$I$15:$N$124,Q71+1,R71)</f>
        <v>0</v>
      </c>
    </row>
    <row r="72" spans="2:19">
      <c r="B72" s="11"/>
      <c r="C72" s="11"/>
      <c r="D72" s="12"/>
      <c r="E72" s="12"/>
      <c r="F72" s="64"/>
      <c r="G72" s="124"/>
      <c r="P72" s="11">
        <v>58</v>
      </c>
      <c r="Q72" s="11">
        <f t="shared" si="13"/>
        <v>9</v>
      </c>
      <c r="R72" s="11">
        <f t="shared" si="14"/>
        <v>4</v>
      </c>
      <c r="S72" s="12" cm="1">
        <f t="array" ref="S72">INDEX('HospitalPatientRec-ConceptMap-1'!$I$15:$N$124,Q72+1,R72)</f>
        <v>0</v>
      </c>
    </row>
    <row r="73" spans="2:19">
      <c r="B73" s="11"/>
      <c r="C73" s="11"/>
      <c r="D73" s="12"/>
      <c r="E73" s="12"/>
      <c r="F73" s="64"/>
      <c r="G73" s="124"/>
      <c r="P73" s="11">
        <v>59</v>
      </c>
      <c r="Q73" s="11">
        <f t="shared" si="13"/>
        <v>9</v>
      </c>
      <c r="R73" s="11">
        <f t="shared" si="14"/>
        <v>5</v>
      </c>
      <c r="S73" s="12" cm="1">
        <f t="array" ref="S73">INDEX('HospitalPatientRec-ConceptMap-1'!$I$15:$N$124,Q73+1,R73)</f>
        <v>0</v>
      </c>
    </row>
    <row r="74" spans="2:19">
      <c r="B74" s="11"/>
      <c r="C74" s="11"/>
      <c r="D74" s="12"/>
      <c r="E74" s="12"/>
      <c r="F74" s="64"/>
      <c r="G74" s="124"/>
      <c r="P74" s="11">
        <v>60</v>
      </c>
      <c r="Q74" s="11">
        <f t="shared" si="13"/>
        <v>9</v>
      </c>
      <c r="R74" s="11">
        <f t="shared" si="14"/>
        <v>6</v>
      </c>
      <c r="S74" s="12" cm="1">
        <f t="array" ref="S74">INDEX('HospitalPatientRec-ConceptMap-1'!$I$15:$N$124,Q74+1,R74)</f>
        <v>0</v>
      </c>
    </row>
    <row r="75" spans="2:19">
      <c r="B75" s="11"/>
      <c r="C75" s="11"/>
      <c r="D75" s="12"/>
      <c r="E75" s="12"/>
      <c r="F75" s="64"/>
      <c r="G75" s="124"/>
      <c r="P75" s="11">
        <v>61</v>
      </c>
      <c r="Q75" s="11">
        <f t="shared" si="13"/>
        <v>10</v>
      </c>
      <c r="R75" s="11">
        <f t="shared" si="14"/>
        <v>1</v>
      </c>
      <c r="S75" s="12" cm="1">
        <f t="array" ref="S75">INDEX('HospitalPatientRec-ConceptMap-1'!$I$15:$N$124,Q75+1,R75)</f>
        <v>0</v>
      </c>
    </row>
    <row r="76" spans="2:19">
      <c r="B76" s="11"/>
      <c r="C76" s="11"/>
      <c r="D76" s="12"/>
      <c r="E76" s="12"/>
      <c r="F76" s="64"/>
      <c r="G76" s="124"/>
      <c r="P76" s="11">
        <v>62</v>
      </c>
      <c r="Q76" s="11">
        <f t="shared" si="13"/>
        <v>10</v>
      </c>
      <c r="R76" s="11">
        <f t="shared" si="14"/>
        <v>2</v>
      </c>
      <c r="S76" s="12" cm="1">
        <f t="array" ref="S76">INDEX('HospitalPatientRec-ConceptMap-1'!$I$15:$N$124,Q76+1,R76)</f>
        <v>0</v>
      </c>
    </row>
    <row r="77" spans="2:19">
      <c r="B77" s="11"/>
      <c r="C77" s="11"/>
      <c r="D77" s="12"/>
      <c r="E77" s="12"/>
      <c r="F77" s="64"/>
      <c r="G77" s="124"/>
      <c r="P77" s="11">
        <v>63</v>
      </c>
      <c r="Q77" s="11">
        <f t="shared" si="13"/>
        <v>10</v>
      </c>
      <c r="R77" s="11">
        <f t="shared" si="14"/>
        <v>3</v>
      </c>
      <c r="S77" s="12" cm="1">
        <f t="array" ref="S77">INDEX('HospitalPatientRec-ConceptMap-1'!$I$15:$N$124,Q77+1,R77)</f>
        <v>0</v>
      </c>
    </row>
    <row r="78" spans="2:19">
      <c r="B78" s="11"/>
      <c r="C78" s="11"/>
      <c r="D78" s="12"/>
      <c r="E78" s="12"/>
      <c r="F78" s="64"/>
      <c r="G78" s="124"/>
      <c r="P78" s="11">
        <v>64</v>
      </c>
      <c r="Q78" s="11">
        <f t="shared" si="13"/>
        <v>10</v>
      </c>
      <c r="R78" s="11">
        <f t="shared" si="14"/>
        <v>4</v>
      </c>
      <c r="S78" s="12" cm="1">
        <f t="array" ref="S78">INDEX('HospitalPatientRec-ConceptMap-1'!$I$15:$N$124,Q78+1,R78)</f>
        <v>0</v>
      </c>
    </row>
    <row r="79" spans="2:19">
      <c r="B79" s="11"/>
      <c r="C79" s="11"/>
      <c r="D79" s="12"/>
      <c r="E79" s="12"/>
      <c r="F79" s="64"/>
      <c r="G79" s="124"/>
      <c r="P79" s="11">
        <v>65</v>
      </c>
      <c r="Q79" s="11">
        <f t="shared" si="13"/>
        <v>10</v>
      </c>
      <c r="R79" s="11">
        <f t="shared" si="14"/>
        <v>5</v>
      </c>
      <c r="S79" s="12" cm="1">
        <f t="array" ref="S79">INDEX('HospitalPatientRec-ConceptMap-1'!$I$15:$N$124,Q79+1,R79)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4"/>
      <c r="P81" s="11">
        <v>67</v>
      </c>
      <c r="Q81" s="11">
        <f t="shared" si="15"/>
        <v>11</v>
      </c>
      <c r="R81" s="11">
        <f t="shared" si="16"/>
        <v>1</v>
      </c>
      <c r="S81" s="12" cm="1">
        <f t="array" ref="S81">INDEX('HospitalPatientRec-ConceptMap-1'!$I$15:$N$124,Q81+1,R81)</f>
        <v>0</v>
      </c>
    </row>
    <row r="82" spans="2:19">
      <c r="B82" s="11"/>
      <c r="C82" s="11"/>
      <c r="D82" s="12"/>
      <c r="E82" s="12"/>
      <c r="F82" s="64"/>
      <c r="G82" s="124"/>
      <c r="P82" s="11">
        <v>68</v>
      </c>
      <c r="Q82" s="11">
        <f t="shared" si="15"/>
        <v>11</v>
      </c>
      <c r="R82" s="11">
        <f t="shared" si="16"/>
        <v>2</v>
      </c>
      <c r="S82" s="12" cm="1">
        <f t="array" ref="S82">INDEX('HospitalPatientRec-ConceptMap-1'!$I$15:$N$124,Q82+1,R82)</f>
        <v>0</v>
      </c>
    </row>
    <row r="83" spans="2:19">
      <c r="B83" s="11"/>
      <c r="C83" s="11"/>
      <c r="D83" s="12"/>
      <c r="E83" s="12"/>
      <c r="F83" s="64"/>
      <c r="G83" s="124"/>
      <c r="P83" s="11">
        <v>69</v>
      </c>
      <c r="Q83" s="11">
        <f t="shared" si="15"/>
        <v>11</v>
      </c>
      <c r="R83" s="11">
        <f t="shared" si="16"/>
        <v>3</v>
      </c>
      <c r="S83" s="12" cm="1">
        <f t="array" ref="S83">INDEX('HospitalPatientRec-ConceptMap-1'!$I$15:$N$124,Q83+1,R83)</f>
        <v>0</v>
      </c>
    </row>
    <row r="84" spans="2:19">
      <c r="B84" s="11"/>
      <c r="C84" s="11"/>
      <c r="D84" s="12"/>
      <c r="E84" s="12"/>
      <c r="F84" s="64"/>
      <c r="G84" s="124"/>
      <c r="P84" s="11">
        <v>70</v>
      </c>
      <c r="Q84" s="11">
        <f t="shared" si="15"/>
        <v>11</v>
      </c>
      <c r="R84" s="11">
        <f t="shared" si="16"/>
        <v>4</v>
      </c>
      <c r="S84" s="12" cm="1">
        <f t="array" ref="S84">INDEX('HospitalPatientRec-ConceptMap-1'!$I$15:$N$124,Q84+1,R84)</f>
        <v>0</v>
      </c>
    </row>
    <row r="85" spans="2:19">
      <c r="B85" s="11"/>
      <c r="C85" s="11"/>
      <c r="D85" s="12"/>
      <c r="E85" s="12"/>
      <c r="F85" s="64"/>
      <c r="G85" s="124"/>
      <c r="P85" s="11">
        <v>71</v>
      </c>
      <c r="Q85" s="11">
        <f t="shared" si="15"/>
        <v>11</v>
      </c>
      <c r="R85" s="11">
        <f t="shared" si="16"/>
        <v>5</v>
      </c>
      <c r="S85" s="12" cm="1">
        <f t="array" ref="S85">INDEX('HospitalPatientRec-ConceptMap-1'!$I$15:$N$124,Q85+1,R85)</f>
        <v>0</v>
      </c>
    </row>
    <row r="86" spans="2:19">
      <c r="B86" s="11"/>
      <c r="C86" s="11"/>
      <c r="D86" s="12"/>
      <c r="E86" s="12"/>
      <c r="F86" s="64"/>
      <c r="G86" s="124"/>
      <c r="P86" s="11">
        <v>72</v>
      </c>
      <c r="Q86" s="11">
        <f t="shared" si="15"/>
        <v>11</v>
      </c>
      <c r="R86" s="11">
        <f t="shared" si="16"/>
        <v>6</v>
      </c>
      <c r="S86" s="12" cm="1">
        <f t="array" ref="S86">INDEX('HospitalPatientRec-ConceptMap-1'!$I$15:$N$124,Q86+1,R86)</f>
        <v>0</v>
      </c>
    </row>
    <row r="87" spans="2:19">
      <c r="B87" s="11"/>
      <c r="C87" s="11"/>
      <c r="D87" s="12"/>
      <c r="E87" s="12"/>
      <c r="F87" s="64"/>
      <c r="G87" s="124"/>
      <c r="P87" s="11">
        <v>73</v>
      </c>
      <c r="Q87" s="11">
        <f t="shared" si="15"/>
        <v>12</v>
      </c>
      <c r="R87" s="11">
        <f t="shared" si="16"/>
        <v>1</v>
      </c>
      <c r="S87" s="12" cm="1">
        <f t="array" ref="S87">INDEX('HospitalPatientRec-ConceptMap-1'!$I$15:$N$124,Q87+1,R87)</f>
        <v>0</v>
      </c>
    </row>
    <row r="88" spans="2:19">
      <c r="B88" s="11"/>
      <c r="C88" s="11"/>
      <c r="D88" s="12"/>
      <c r="E88" s="12"/>
      <c r="F88" s="64"/>
      <c r="G88" s="124"/>
      <c r="P88" s="11">
        <v>74</v>
      </c>
      <c r="Q88" s="11">
        <f t="shared" si="15"/>
        <v>12</v>
      </c>
      <c r="R88" s="11">
        <f t="shared" si="16"/>
        <v>2</v>
      </c>
      <c r="S88" s="12" cm="1">
        <f t="array" ref="S88">INDEX('HospitalPatientRec-ConceptMap-1'!$I$15:$N$124,Q88+1,R88)</f>
        <v>0</v>
      </c>
    </row>
    <row r="89" spans="2:19">
      <c r="B89" s="11"/>
      <c r="C89" s="11"/>
      <c r="D89" s="12"/>
      <c r="E89" s="12"/>
      <c r="F89" s="64"/>
      <c r="G89" s="124"/>
      <c r="P89" s="11">
        <v>75</v>
      </c>
      <c r="Q89" s="11">
        <f t="shared" si="15"/>
        <v>12</v>
      </c>
      <c r="R89" s="11">
        <f t="shared" si="16"/>
        <v>3</v>
      </c>
      <c r="S89" s="12" cm="1">
        <f t="array" ref="S89">INDEX('HospitalPatientRec-ConceptMap-1'!$I$15:$N$124,Q89+1,R89)</f>
        <v>0</v>
      </c>
    </row>
    <row r="90" spans="2:19">
      <c r="B90" s="11"/>
      <c r="C90" s="11"/>
      <c r="D90" s="12"/>
      <c r="E90" s="12"/>
      <c r="F90" s="64"/>
      <c r="G90" s="124"/>
      <c r="P90" s="11">
        <v>76</v>
      </c>
      <c r="Q90" s="11">
        <f t="shared" si="15"/>
        <v>12</v>
      </c>
      <c r="R90" s="11">
        <f t="shared" si="16"/>
        <v>4</v>
      </c>
      <c r="S90" s="12" cm="1">
        <f t="array" ref="S90">INDEX('HospitalPatientRec-ConceptMap-1'!$I$15:$N$124,Q90+1,R90)</f>
        <v>0</v>
      </c>
    </row>
    <row r="91" spans="2:19">
      <c r="B91" s="11"/>
      <c r="C91" s="11"/>
      <c r="D91" s="12"/>
      <c r="E91" s="12"/>
      <c r="F91" s="64"/>
      <c r="G91" s="124"/>
      <c r="P91" s="11">
        <v>77</v>
      </c>
      <c r="Q91" s="11">
        <f t="shared" si="15"/>
        <v>12</v>
      </c>
      <c r="R91" s="11">
        <f t="shared" si="16"/>
        <v>5</v>
      </c>
      <c r="S91" s="12" cm="1">
        <f t="array" ref="S91">INDEX('HospitalPatientRec-ConceptMap-1'!$I$15:$N$124,Q91+1,R91)</f>
        <v>0</v>
      </c>
    </row>
    <row r="92" spans="2:19">
      <c r="B92" s="11"/>
      <c r="C92" s="11"/>
      <c r="D92" s="12"/>
      <c r="E92" s="12"/>
      <c r="F92" s="64"/>
      <c r="G92" s="124"/>
      <c r="P92" s="11">
        <v>78</v>
      </c>
      <c r="Q92" s="11">
        <f t="shared" si="15"/>
        <v>12</v>
      </c>
      <c r="R92" s="11">
        <f t="shared" si="16"/>
        <v>6</v>
      </c>
      <c r="S92" s="12" cm="1">
        <f t="array" ref="S92">INDEX('HospitalPatientRec-ConceptMap-1'!$I$15:$N$124,Q92+1,R92)</f>
        <v>0</v>
      </c>
    </row>
    <row r="93" spans="2:19">
      <c r="B93" s="11"/>
      <c r="C93" s="11"/>
      <c r="D93" s="12"/>
      <c r="E93" s="12"/>
      <c r="F93" s="64"/>
      <c r="G93" s="124"/>
      <c r="P93" s="11">
        <v>79</v>
      </c>
      <c r="Q93" s="11">
        <f t="shared" si="15"/>
        <v>13</v>
      </c>
      <c r="R93" s="11">
        <f t="shared" si="16"/>
        <v>1</v>
      </c>
      <c r="S93" s="12" cm="1">
        <f t="array" ref="S93">INDEX('HospitalPatientRec-ConceptMap-1'!$I$15:$N$124,Q93+1,R93)</f>
        <v>0</v>
      </c>
    </row>
    <row r="94" spans="2:19">
      <c r="B94" s="11"/>
      <c r="C94" s="11"/>
      <c r="D94" s="12"/>
      <c r="E94" s="12"/>
      <c r="F94" s="64"/>
      <c r="G94" s="124"/>
      <c r="P94" s="11">
        <v>80</v>
      </c>
      <c r="Q94" s="11">
        <f t="shared" si="15"/>
        <v>13</v>
      </c>
      <c r="R94" s="11">
        <f t="shared" si="16"/>
        <v>2</v>
      </c>
      <c r="S94" s="12" cm="1">
        <f t="array" ref="S94">INDEX('HospitalPatientRec-ConceptMap-1'!$I$15:$N$124,Q94+1,R94)</f>
        <v>0</v>
      </c>
    </row>
    <row r="95" spans="2:19">
      <c r="B95" s="11"/>
      <c r="C95" s="11"/>
      <c r="D95" s="12"/>
      <c r="E95" s="12"/>
      <c r="F95" s="64"/>
      <c r="G95" s="124"/>
      <c r="P95" s="11">
        <v>81</v>
      </c>
      <c r="Q95" s="11">
        <f t="shared" si="15"/>
        <v>13</v>
      </c>
      <c r="R95" s="11">
        <f t="shared" si="16"/>
        <v>3</v>
      </c>
      <c r="S95" s="12" cm="1">
        <f t="array" ref="S95">INDEX('HospitalPatientRec-ConceptMap-1'!$I$15:$N$124,Q95+1,R95)</f>
        <v>0</v>
      </c>
    </row>
    <row r="96" spans="2:19">
      <c r="B96" s="11"/>
      <c r="C96" s="11"/>
      <c r="D96" s="12"/>
      <c r="E96" s="12"/>
      <c r="F96" s="64"/>
      <c r="G96" s="124"/>
      <c r="P96" s="11">
        <v>82</v>
      </c>
      <c r="Q96" s="11">
        <f t="shared" si="15"/>
        <v>13</v>
      </c>
      <c r="R96" s="11">
        <f t="shared" si="16"/>
        <v>4</v>
      </c>
      <c r="S96" s="12" cm="1">
        <f t="array" ref="S96">INDEX('HospitalPatientRec-ConceptMap-1'!$I$15:$N$124,Q96+1,R96)</f>
        <v>0</v>
      </c>
    </row>
    <row r="97" spans="2:19">
      <c r="B97" s="11"/>
      <c r="C97" s="11"/>
      <c r="D97" s="12"/>
      <c r="E97" s="12"/>
      <c r="F97" s="64"/>
      <c r="G97" s="124"/>
      <c r="P97" s="11">
        <v>83</v>
      </c>
      <c r="Q97" s="11">
        <f t="shared" si="15"/>
        <v>13</v>
      </c>
      <c r="R97" s="11">
        <f t="shared" si="16"/>
        <v>5</v>
      </c>
      <c r="S97" s="12" cm="1">
        <f t="array" ref="S97">INDEX('HospitalPatientRec-ConceptMap-1'!$I$15:$N$124,Q97+1,R97)</f>
        <v>0</v>
      </c>
    </row>
    <row r="98" spans="2:19">
      <c r="B98" s="11"/>
      <c r="C98" s="11"/>
      <c r="D98" s="12"/>
      <c r="E98" s="12"/>
      <c r="F98" s="64"/>
      <c r="G98" s="124"/>
      <c r="P98" s="11">
        <v>84</v>
      </c>
      <c r="Q98" s="11">
        <f t="shared" si="15"/>
        <v>13</v>
      </c>
      <c r="R98" s="11">
        <f t="shared" si="16"/>
        <v>6</v>
      </c>
      <c r="S98" s="12" cm="1">
        <f t="array" ref="S98">INDEX('HospitalPatientRec-ConceptMap-1'!$I$15:$N$124,Q98+1,R98)</f>
        <v>0</v>
      </c>
    </row>
    <row r="99" spans="2:19">
      <c r="B99" s="11"/>
      <c r="C99" s="11"/>
      <c r="D99" s="12"/>
      <c r="E99" s="12"/>
      <c r="F99" s="64"/>
      <c r="G99" s="124"/>
      <c r="P99" s="11">
        <v>85</v>
      </c>
      <c r="Q99" s="11">
        <f t="shared" si="15"/>
        <v>14</v>
      </c>
      <c r="R99" s="11">
        <f t="shared" si="16"/>
        <v>1</v>
      </c>
      <c r="S99" s="12" cm="1">
        <f t="array" ref="S99">INDEX('HospitalPatientRec-ConceptMap-1'!$I$15:$N$124,Q99+1,R99)</f>
        <v>0</v>
      </c>
    </row>
    <row r="100" spans="2:19">
      <c r="B100" s="11"/>
      <c r="C100" s="11"/>
      <c r="D100" s="12"/>
      <c r="E100" s="12"/>
      <c r="F100" s="64"/>
      <c r="G100" s="124"/>
      <c r="P100" s="11">
        <v>86</v>
      </c>
      <c r="Q100" s="11">
        <f t="shared" si="15"/>
        <v>14</v>
      </c>
      <c r="R100" s="11">
        <f t="shared" si="16"/>
        <v>2</v>
      </c>
      <c r="S100" s="12" cm="1">
        <f t="array" ref="S100">INDEX('HospitalPatientRec-ConceptMap-1'!$I$15:$N$124,Q100+1,R100)</f>
        <v>0</v>
      </c>
    </row>
    <row r="101" spans="2:19">
      <c r="B101" s="11"/>
      <c r="C101" s="11"/>
      <c r="D101" s="12"/>
      <c r="E101" s="12"/>
      <c r="F101" s="64"/>
      <c r="G101" s="124"/>
      <c r="P101" s="11">
        <v>87</v>
      </c>
      <c r="Q101" s="11">
        <f t="shared" si="15"/>
        <v>14</v>
      </c>
      <c r="R101" s="11">
        <f t="shared" si="16"/>
        <v>3</v>
      </c>
      <c r="S101" s="12" cm="1">
        <f t="array" ref="S101">INDEX('HospitalPatientRec-ConceptMap-1'!$I$15:$N$124,Q101+1,R101)</f>
        <v>0</v>
      </c>
    </row>
    <row r="102" spans="2:19">
      <c r="B102" s="11"/>
      <c r="C102" s="11"/>
      <c r="D102" s="12"/>
      <c r="E102" s="12"/>
      <c r="F102" s="64"/>
      <c r="G102" s="124"/>
      <c r="P102" s="11">
        <v>88</v>
      </c>
      <c r="Q102" s="11">
        <f t="shared" si="15"/>
        <v>14</v>
      </c>
      <c r="R102" s="11">
        <f t="shared" si="16"/>
        <v>4</v>
      </c>
      <c r="S102" s="12" cm="1">
        <f t="array" ref="S102">INDEX('HospitalPatientRec-ConceptMap-1'!$I$15:$N$124,Q102+1,R102)</f>
        <v>0</v>
      </c>
    </row>
    <row r="103" spans="2:19">
      <c r="B103" s="11"/>
      <c r="C103" s="11"/>
      <c r="D103" s="12"/>
      <c r="E103" s="12"/>
      <c r="F103" s="64"/>
      <c r="G103" s="124"/>
      <c r="P103" s="11">
        <v>89</v>
      </c>
      <c r="Q103" s="11">
        <f t="shared" si="15"/>
        <v>14</v>
      </c>
      <c r="R103" s="11">
        <f t="shared" si="16"/>
        <v>5</v>
      </c>
      <c r="S103" s="12" cm="1">
        <f t="array" ref="S103">INDEX('HospitalPatientRec-ConceptMap-1'!$I$15:$N$124,Q103+1,R103)</f>
        <v>0</v>
      </c>
    </row>
    <row r="104" spans="2:19">
      <c r="B104" s="11"/>
      <c r="C104" s="11"/>
      <c r="D104" s="12"/>
      <c r="E104" s="12"/>
      <c r="F104" s="64"/>
      <c r="G104" s="124"/>
      <c r="P104" s="11">
        <v>90</v>
      </c>
      <c r="Q104" s="11">
        <f t="shared" si="15"/>
        <v>14</v>
      </c>
      <c r="R104" s="11">
        <f t="shared" si="16"/>
        <v>6</v>
      </c>
      <c r="S104" s="12" cm="1">
        <f t="array" ref="S104">INDEX('HospitalPatientRec-ConceptMap-1'!$I$15:$N$124,Q104+1,R104)</f>
        <v>0</v>
      </c>
    </row>
    <row r="105" spans="2:19">
      <c r="B105" s="11"/>
      <c r="C105" s="11"/>
      <c r="D105" s="12"/>
      <c r="E105" s="12"/>
      <c r="F105" s="64"/>
      <c r="G105" s="124"/>
      <c r="P105" s="11">
        <v>91</v>
      </c>
      <c r="Q105" s="11">
        <f t="shared" si="15"/>
        <v>15</v>
      </c>
      <c r="R105" s="11">
        <f t="shared" si="16"/>
        <v>1</v>
      </c>
      <c r="S105" s="12" cm="1">
        <f t="array" ref="S105">INDEX('HospitalPatientRec-ConceptMap-1'!$I$15:$N$124,Q105+1,R105)</f>
        <v>0</v>
      </c>
    </row>
    <row r="106" spans="2:19">
      <c r="B106" s="11"/>
      <c r="C106" s="11"/>
      <c r="D106" s="12"/>
      <c r="E106" s="12"/>
      <c r="F106" s="64"/>
      <c r="G106" s="124"/>
      <c r="P106" s="11">
        <v>92</v>
      </c>
      <c r="Q106" s="11">
        <f t="shared" si="15"/>
        <v>15</v>
      </c>
      <c r="R106" s="11">
        <f t="shared" si="16"/>
        <v>2</v>
      </c>
      <c r="S106" s="12" cm="1">
        <f t="array" ref="S106">INDEX('HospitalPatientRec-ConceptMap-1'!$I$15:$N$124,Q106+1,R106)</f>
        <v>0</v>
      </c>
    </row>
    <row r="107" spans="2:19">
      <c r="B107" s="11"/>
      <c r="C107" s="11"/>
      <c r="D107" s="12"/>
      <c r="E107" s="12"/>
      <c r="F107" s="64"/>
      <c r="G107" s="124"/>
      <c r="P107" s="11">
        <v>93</v>
      </c>
      <c r="Q107" s="11">
        <f t="shared" si="15"/>
        <v>15</v>
      </c>
      <c r="R107" s="11">
        <f t="shared" si="16"/>
        <v>3</v>
      </c>
      <c r="S107" s="12" cm="1">
        <f t="array" ref="S107">INDEX('HospitalPatientRec-ConceptMap-1'!$I$15:$N$124,Q107+1,R107)</f>
        <v>0</v>
      </c>
    </row>
    <row r="108" spans="2:19">
      <c r="B108" s="11"/>
      <c r="C108" s="11"/>
      <c r="D108" s="12"/>
      <c r="E108" s="12"/>
      <c r="F108" s="64"/>
      <c r="G108" s="124"/>
      <c r="P108" s="11">
        <v>94</v>
      </c>
      <c r="Q108" s="11">
        <f t="shared" si="15"/>
        <v>15</v>
      </c>
      <c r="R108" s="11">
        <f t="shared" si="16"/>
        <v>4</v>
      </c>
      <c r="S108" s="12" cm="1">
        <f t="array" ref="S108">INDEX('HospitalPatientRec-ConceptMap-1'!$I$15:$N$124,Q108+1,R108)</f>
        <v>0</v>
      </c>
    </row>
    <row r="109" spans="2:19">
      <c r="B109" s="11"/>
      <c r="C109" s="11"/>
      <c r="D109" s="12"/>
      <c r="E109" s="12"/>
      <c r="F109" s="64"/>
      <c r="G109" s="124"/>
      <c r="P109" s="11">
        <v>95</v>
      </c>
      <c r="Q109" s="11">
        <f t="shared" si="15"/>
        <v>15</v>
      </c>
      <c r="R109" s="11">
        <f t="shared" si="16"/>
        <v>5</v>
      </c>
      <c r="S109" s="12" cm="1">
        <f t="array" ref="S109">INDEX('HospitalPatientRec-ConceptMap-1'!$I$15:$N$124,Q109+1,R109)</f>
        <v>0</v>
      </c>
    </row>
    <row r="110" spans="2:19">
      <c r="B110" s="11"/>
      <c r="C110" s="11"/>
      <c r="D110" s="12"/>
      <c r="E110" s="12"/>
      <c r="F110" s="64"/>
      <c r="G110" s="124"/>
      <c r="P110" s="11">
        <v>96</v>
      </c>
      <c r="Q110" s="11">
        <f t="shared" si="15"/>
        <v>15</v>
      </c>
      <c r="R110" s="11">
        <f t="shared" si="16"/>
        <v>6</v>
      </c>
      <c r="S110" s="12" cm="1">
        <f t="array" ref="S110">INDEX('HospitalPatientRec-ConceptMap-1'!$I$15:$N$124,Q110+1,R110)</f>
        <v>0</v>
      </c>
    </row>
    <row r="111" spans="2:19">
      <c r="B111" s="11"/>
      <c r="C111" s="11"/>
      <c r="D111" s="12"/>
      <c r="E111" s="12"/>
      <c r="F111" s="64"/>
      <c r="G111" s="124"/>
      <c r="P111" s="11">
        <v>97</v>
      </c>
      <c r="Q111" s="11">
        <f t="shared" si="15"/>
        <v>16</v>
      </c>
      <c r="R111" s="11">
        <f t="shared" si="16"/>
        <v>1</v>
      </c>
      <c r="S111" s="12" cm="1">
        <f t="array" ref="S111">INDEX('HospitalPatientRec-ConceptMap-1'!$I$15:$N$124,Q111+1,R111)</f>
        <v>0</v>
      </c>
    </row>
    <row r="112" spans="2:19">
      <c r="B112" s="11"/>
      <c r="C112" s="11"/>
      <c r="D112" s="12"/>
      <c r="E112" s="12"/>
      <c r="F112" s="64"/>
      <c r="G112" s="124"/>
      <c r="P112" s="11">
        <v>98</v>
      </c>
      <c r="Q112" s="11">
        <f t="shared" si="15"/>
        <v>16</v>
      </c>
      <c r="R112" s="11">
        <f t="shared" si="16"/>
        <v>2</v>
      </c>
      <c r="S112" s="12" cm="1">
        <f t="array" ref="S112">INDEX('HospitalPatientRec-ConceptMap-1'!$I$15:$N$124,Q112+1,R112)</f>
        <v>0</v>
      </c>
    </row>
    <row r="113" spans="2:19">
      <c r="B113" s="11"/>
      <c r="C113" s="11"/>
      <c r="D113" s="12"/>
      <c r="E113" s="12"/>
      <c r="F113" s="64"/>
      <c r="G113" s="124"/>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2303</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1793</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2"/>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2374</v>
      </c>
      <c r="J4" s="16" t="str">
        <f>CONCATENATE("Logical: ",B4)</f>
        <v>Logical: PatientFollowUpI4rc</v>
      </c>
    </row>
    <row r="5" spans="1:12" ht="15.5" thickBot="1">
      <c r="A5" s="14" t="s">
        <v>16</v>
      </c>
      <c r="B5" s="45" t="s">
        <v>2299</v>
      </c>
      <c r="J5" s="16" t="str">
        <f>CONCATENATE("Id: ",B5)</f>
        <v>Id: PatientFollowUp</v>
      </c>
    </row>
    <row r="6" spans="1:12" ht="15.5" thickBot="1">
      <c r="A6" s="14" t="s">
        <v>10</v>
      </c>
      <c r="B6" s="45" t="s">
        <v>2300</v>
      </c>
      <c r="J6" s="17" t="str">
        <f>CONCATENATE("Title: ##34#",B6,"##34#")</f>
        <v>Title: ##34#Patient Follow Up##34#</v>
      </c>
    </row>
    <row r="7" spans="1:12">
      <c r="A7" s="26" t="s">
        <v>2</v>
      </c>
      <c r="B7" s="45" t="s">
        <v>2300</v>
      </c>
      <c r="C7" s="9" t="s">
        <v>3</v>
      </c>
      <c r="D7" s="1" t="s">
        <v>4</v>
      </c>
      <c r="E7" s="3" t="s">
        <v>5</v>
      </c>
      <c r="F7" s="3" t="s">
        <v>6</v>
      </c>
      <c r="G7" s="3" t="s">
        <v>7</v>
      </c>
      <c r="H7" s="105" t="s">
        <v>1610</v>
      </c>
      <c r="J7" s="17" t="str">
        <f>CONCATENATE("Description: "," ##334#",B7,"##334#",)</f>
        <v>Description:  ##334#Patient Follow Up##334#</v>
      </c>
    </row>
    <row r="8" spans="1:12" ht="29.5">
      <c r="A8" s="100">
        <v>0</v>
      </c>
      <c r="B8" s="11" t="s">
        <v>1800</v>
      </c>
      <c r="C8" s="11" t="s">
        <v>14</v>
      </c>
      <c r="D8" s="11" t="s">
        <v>2283</v>
      </c>
      <c r="E8" s="11">
        <v>1</v>
      </c>
      <c r="F8" s="11">
        <v>1</v>
      </c>
      <c r="G8" s="119" t="s">
        <v>1778</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2284</v>
      </c>
      <c r="C9" s="11" t="s">
        <v>2285</v>
      </c>
      <c r="D9" s="11" t="s">
        <v>2286</v>
      </c>
      <c r="E9" s="11">
        <v>1</v>
      </c>
      <c r="F9" s="11">
        <v>1</v>
      </c>
      <c r="G9" s="120" t="s">
        <v>1781</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2287</v>
      </c>
      <c r="C10" s="11" t="s">
        <v>2288</v>
      </c>
      <c r="D10" s="11" t="s">
        <v>2289</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2290</v>
      </c>
      <c r="C11" s="11" t="s">
        <v>2291</v>
      </c>
      <c r="D11" s="11" t="s">
        <v>2292</v>
      </c>
      <c r="E11" s="11">
        <v>1</v>
      </c>
      <c r="F11" s="11">
        <v>1</v>
      </c>
      <c r="G11" s="11" t="s">
        <v>1781</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2293</v>
      </c>
      <c r="C12" s="11" t="s">
        <v>2294</v>
      </c>
      <c r="D12" s="11" t="s">
        <v>2295</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2296</v>
      </c>
      <c r="C13" s="11" t="s">
        <v>2297</v>
      </c>
      <c r="D13" s="11" t="s">
        <v>2298</v>
      </c>
      <c r="E13" s="11">
        <v>1</v>
      </c>
      <c r="F13" s="11">
        <v>1</v>
      </c>
      <c r="G13" s="11" t="s">
        <v>1781</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2301</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2391</v>
      </c>
      <c r="D3" s="62" t="s">
        <v>1786</v>
      </c>
      <c r="E3" s="118" t="str">
        <f>$C$1&amp;B14</f>
        <v>http://hl7.eu/fhir/ig/idea4rc/StructureDefinition/PatientFollowUpI4rc</v>
      </c>
    </row>
    <row r="4" spans="1:19">
      <c r="B4" s="62" t="s">
        <v>16</v>
      </c>
      <c r="C4" s="28" t="s">
        <v>2391</v>
      </c>
      <c r="D4" s="62" t="s">
        <v>1787</v>
      </c>
      <c r="E4" s="168" t="s">
        <v>2390</v>
      </c>
      <c r="F4" s="169"/>
      <c r="G4" s="169"/>
    </row>
    <row r="5" spans="1:19">
      <c r="B5" s="62" t="s">
        <v>10</v>
      </c>
      <c r="C5" s="7" t="s">
        <v>2392</v>
      </c>
      <c r="D5" s="62"/>
      <c r="E5" s="7"/>
    </row>
    <row r="6" spans="1:19">
      <c r="B6" s="62" t="s">
        <v>18</v>
      </c>
      <c r="C6" s="56"/>
      <c r="D6" s="62" t="s">
        <v>1788</v>
      </c>
      <c r="E6" s="168" t="str">
        <f>E3</f>
        <v>http://hl7.eu/fhir/ig/idea4rc/StructureDefinition/PatientFollowUpI4rc</v>
      </c>
      <c r="F6" s="169"/>
      <c r="G6" s="169"/>
    </row>
    <row r="7" spans="1:19">
      <c r="B7" s="62" t="s">
        <v>15</v>
      </c>
      <c r="C7" s="119"/>
      <c r="D7" s="62" t="s">
        <v>1789</v>
      </c>
      <c r="E7" s="168" t="str">
        <f>C1&amp;"encounter-followup-eu-i4rc"</f>
        <v>http://hl7.eu/fhir/ig/idea4rc/StructureDefinition/encounter-followup-eu-i4rc</v>
      </c>
      <c r="F7" s="169"/>
      <c r="G7" s="169"/>
    </row>
    <row r="8" spans="1:19" ht="45" thickBot="1">
      <c r="B8" s="62" t="s">
        <v>1790</v>
      </c>
      <c r="C8" s="7" t="s">
        <v>2392</v>
      </c>
      <c r="D8" s="62"/>
      <c r="E8" s="7"/>
      <c r="I8" s="12" t="s">
        <v>1402</v>
      </c>
      <c r="J8" s="12" t="s">
        <v>1403</v>
      </c>
      <c r="K8" s="12" t="s">
        <v>1404</v>
      </c>
      <c r="L8" s="12" t="s">
        <v>1405</v>
      </c>
      <c r="M8" s="11" t="s">
        <v>1406</v>
      </c>
      <c r="P8" s="49" t="s">
        <v>1441</v>
      </c>
      <c r="Q8" s="49">
        <v>6</v>
      </c>
    </row>
    <row r="9" spans="1:19" ht="30.25" thickBot="1">
      <c r="B9" s="62" t="s">
        <v>1791</v>
      </c>
      <c r="C9" s="12" t="s">
        <v>2393</v>
      </c>
      <c r="D9" s="144"/>
      <c r="E9" s="170"/>
      <c r="F9" s="171"/>
      <c r="G9" s="172"/>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2394</v>
      </c>
      <c r="E14" s="6"/>
      <c r="F14" s="64"/>
      <c r="G14" s="64"/>
      <c r="I14" s="12"/>
      <c r="J14" s="11"/>
      <c r="K14" s="11"/>
      <c r="L14" s="11"/>
      <c r="M14" s="63"/>
      <c r="N14" s="66"/>
    </row>
    <row r="15" spans="1:19" ht="44.25">
      <c r="A15" s="59"/>
      <c r="B15" s="11" t="str">
        <f>PatientFollowUp!B8</f>
        <v>patient</v>
      </c>
      <c r="C15" s="11" t="str">
        <f>PatientFollowUp!C8</f>
        <v>Patient</v>
      </c>
      <c r="D15" s="12" t="s">
        <v>1823</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4" t="s">
        <v>2395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2396</v>
      </c>
      <c r="E17" s="12"/>
      <c r="F17" s="64" t="s">
        <v>1407</v>
      </c>
      <c r="G17" s="123" t="s">
        <v>2397</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4"/>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4"/>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4"/>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4"/>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INDEX('PatientFollowUp-ConceptMap-1'!$I$15:$N$124,Q47+1,R47)</f>
        <v>//-- unmatched</v>
      </c>
    </row>
    <row r="48" spans="1:19">
      <c r="B48" s="11"/>
      <c r="C48" s="11"/>
      <c r="D48" s="12"/>
      <c r="E48" s="12"/>
      <c r="F48" s="64"/>
      <c r="G48" s="124"/>
      <c r="P48" s="11">
        <v>34</v>
      </c>
      <c r="Q48" s="11">
        <f t="shared" si="13"/>
        <v>5</v>
      </c>
      <c r="R48" s="11">
        <f t="shared" si="14"/>
        <v>4</v>
      </c>
      <c r="S48" s="12" t="str" cm="1">
        <f t="array" ref="S48">INDEX('PatientFollowUp-ConceptMap-1'!$I$15:$N$124,Q48+1,R48)</f>
        <v>//-- unmatched</v>
      </c>
    </row>
    <row r="49" spans="2:19">
      <c r="B49" s="11"/>
      <c r="C49" s="11"/>
      <c r="D49" s="12"/>
      <c r="E49" s="12"/>
      <c r="F49" s="64"/>
      <c r="G49" s="124"/>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4"/>
      <c r="P50" s="11">
        <v>36</v>
      </c>
      <c r="Q50" s="11">
        <f t="shared" si="13"/>
        <v>5</v>
      </c>
      <c r="R50" s="11">
        <f t="shared" si="14"/>
        <v>6</v>
      </c>
      <c r="S50" s="12" t="str" cm="1">
        <f t="array" ref="S50">INDEX('PatientFollowUp-ConceptMap-1'!$I$15:$N$124,Q50+1,R50)</f>
        <v/>
      </c>
    </row>
    <row r="51" spans="2:19">
      <c r="B51" s="11"/>
      <c r="C51" s="11"/>
      <c r="D51" s="12"/>
      <c r="E51" s="12"/>
      <c r="F51" s="64"/>
      <c r="G51" s="124"/>
      <c r="P51" s="11">
        <v>37</v>
      </c>
      <c r="Q51" s="11">
        <f t="shared" si="13"/>
        <v>6</v>
      </c>
      <c r="R51" s="11">
        <f t="shared" si="14"/>
        <v>1</v>
      </c>
      <c r="S51" s="12" cm="1">
        <f t="array" ref="S51">INDEX('PatientFollowUp-ConceptMap-1'!$I$15:$N$124,Q51+1,R51)</f>
        <v>0</v>
      </c>
    </row>
    <row r="52" spans="2:19">
      <c r="B52" s="11"/>
      <c r="C52" s="11"/>
      <c r="D52" s="12"/>
      <c r="E52" s="12"/>
      <c r="F52" s="64"/>
      <c r="G52" s="124"/>
      <c r="P52" s="11">
        <v>38</v>
      </c>
      <c r="Q52" s="11">
        <f t="shared" si="13"/>
        <v>6</v>
      </c>
      <c r="R52" s="11">
        <f t="shared" si="14"/>
        <v>2</v>
      </c>
      <c r="S52" s="12" cm="1">
        <f t="array" ref="S52">INDEX('PatientFollowUp-ConceptMap-1'!$I$15:$N$124,Q52+1,R52)</f>
        <v>0</v>
      </c>
    </row>
    <row r="53" spans="2:19">
      <c r="B53" s="11"/>
      <c r="C53" s="11"/>
      <c r="D53" s="12"/>
      <c r="E53" s="12"/>
      <c r="F53" s="64"/>
      <c r="G53" s="124"/>
      <c r="P53" s="11">
        <v>39</v>
      </c>
      <c r="Q53" s="11">
        <f t="shared" si="13"/>
        <v>6</v>
      </c>
      <c r="R53" s="11">
        <f t="shared" si="14"/>
        <v>3</v>
      </c>
      <c r="S53" s="12" cm="1">
        <f t="array" ref="S53">INDEX('PatientFollowUp-ConceptMap-1'!$I$15:$N$124,Q53+1,R53)</f>
        <v>0</v>
      </c>
    </row>
    <row r="54" spans="2:19">
      <c r="B54" s="11"/>
      <c r="C54" s="11"/>
      <c r="D54" s="12"/>
      <c r="E54" s="12"/>
      <c r="F54" s="64"/>
      <c r="G54" s="124"/>
      <c r="P54" s="11">
        <v>40</v>
      </c>
      <c r="Q54" s="11">
        <f t="shared" si="13"/>
        <v>6</v>
      </c>
      <c r="R54" s="11">
        <f t="shared" si="14"/>
        <v>4</v>
      </c>
      <c r="S54" s="12" cm="1">
        <f t="array" ref="S54">INDEX('PatientFollowUp-ConceptMap-1'!$I$15:$N$124,Q54+1,R54)</f>
        <v>0</v>
      </c>
    </row>
    <row r="55" spans="2:19">
      <c r="B55" s="11"/>
      <c r="C55" s="11"/>
      <c r="D55" s="12"/>
      <c r="E55" s="12"/>
      <c r="F55" s="64"/>
      <c r="G55" s="124"/>
      <c r="P55" s="11">
        <v>41</v>
      </c>
      <c r="Q55" s="11">
        <f t="shared" si="13"/>
        <v>6</v>
      </c>
      <c r="R55" s="11">
        <f t="shared" si="14"/>
        <v>5</v>
      </c>
      <c r="S55" s="12" cm="1">
        <f t="array" ref="S55">INDEX('PatientFollowUp-ConceptMap-1'!$I$15:$N$124,Q55+1,R55)</f>
        <v>0</v>
      </c>
    </row>
    <row r="56" spans="2:19">
      <c r="B56" s="11"/>
      <c r="C56" s="11"/>
      <c r="D56" s="12"/>
      <c r="E56" s="12"/>
      <c r="F56" s="64"/>
      <c r="G56" s="124"/>
      <c r="P56" s="11">
        <v>42</v>
      </c>
      <c r="Q56" s="11">
        <f t="shared" si="13"/>
        <v>6</v>
      </c>
      <c r="R56" s="11">
        <f t="shared" si="14"/>
        <v>6</v>
      </c>
      <c r="S56" s="12" cm="1">
        <f t="array" ref="S56">INDEX('PatientFollowUp-ConceptMap-1'!$I$15:$N$124,Q56+1,R56)</f>
        <v>0</v>
      </c>
    </row>
    <row r="57" spans="2:19">
      <c r="B57" s="11"/>
      <c r="C57" s="11"/>
      <c r="D57" s="12"/>
      <c r="E57" s="12"/>
      <c r="F57" s="64"/>
      <c r="G57" s="124"/>
      <c r="P57" s="11">
        <v>43</v>
      </c>
      <c r="Q57" s="11">
        <f t="shared" si="13"/>
        <v>7</v>
      </c>
      <c r="R57" s="11">
        <f t="shared" si="14"/>
        <v>1</v>
      </c>
      <c r="S57" s="12" cm="1">
        <f t="array" ref="S57">INDEX('PatientFollowUp-ConceptMap-1'!$I$15:$N$124,Q57+1,R57)</f>
        <v>0</v>
      </c>
    </row>
    <row r="58" spans="2:19">
      <c r="B58" s="11"/>
      <c r="C58" s="11"/>
      <c r="D58" s="12"/>
      <c r="E58" s="12"/>
      <c r="F58" s="64"/>
      <c r="G58" s="124"/>
      <c r="P58" s="11">
        <v>44</v>
      </c>
      <c r="Q58" s="11">
        <f t="shared" si="13"/>
        <v>7</v>
      </c>
      <c r="R58" s="11">
        <f t="shared" si="14"/>
        <v>2</v>
      </c>
      <c r="S58" s="12" cm="1">
        <f t="array" ref="S58">INDEX('PatientFollowUp-ConceptMap-1'!$I$15:$N$124,Q58+1,R58)</f>
        <v>0</v>
      </c>
    </row>
    <row r="59" spans="2:19">
      <c r="B59" s="11"/>
      <c r="C59" s="11"/>
      <c r="D59" s="12"/>
      <c r="E59" s="12"/>
      <c r="F59" s="64"/>
      <c r="G59" s="124"/>
      <c r="P59" s="11">
        <v>45</v>
      </c>
      <c r="Q59" s="11">
        <f t="shared" si="13"/>
        <v>7</v>
      </c>
      <c r="R59" s="11">
        <f t="shared" si="14"/>
        <v>3</v>
      </c>
      <c r="S59" s="12" cm="1">
        <f t="array" ref="S59">INDEX('PatientFollowUp-ConceptMap-1'!$I$15:$N$124,Q59+1,R59)</f>
        <v>0</v>
      </c>
    </row>
    <row r="60" spans="2:19">
      <c r="B60" s="11"/>
      <c r="C60" s="11"/>
      <c r="D60" s="12"/>
      <c r="E60" s="12"/>
      <c r="F60" s="64"/>
      <c r="G60" s="124"/>
      <c r="P60" s="11">
        <v>46</v>
      </c>
      <c r="Q60" s="11">
        <f t="shared" si="13"/>
        <v>7</v>
      </c>
      <c r="R60" s="11">
        <f t="shared" si="14"/>
        <v>4</v>
      </c>
      <c r="S60" s="12" cm="1">
        <f t="array" ref="S60">INDEX('PatientFollowUp-ConceptMap-1'!$I$15:$N$124,Q60+1,R60)</f>
        <v>0</v>
      </c>
    </row>
    <row r="61" spans="2:19">
      <c r="B61" s="11"/>
      <c r="C61" s="11"/>
      <c r="D61" s="12"/>
      <c r="E61" s="12"/>
      <c r="F61" s="64"/>
      <c r="G61" s="124"/>
      <c r="P61" s="11">
        <v>47</v>
      </c>
      <c r="Q61" s="11">
        <f t="shared" si="13"/>
        <v>7</v>
      </c>
      <c r="R61" s="11">
        <f t="shared" si="14"/>
        <v>5</v>
      </c>
      <c r="S61" s="12" cm="1">
        <f t="array" ref="S61">INDEX('PatientFollowUp-ConceptMap-1'!$I$15:$N$124,Q61+1,R61)</f>
        <v>0</v>
      </c>
    </row>
    <row r="62" spans="2:19">
      <c r="B62" s="11"/>
      <c r="C62" s="11"/>
      <c r="D62" s="12"/>
      <c r="E62" s="12"/>
      <c r="F62" s="64"/>
      <c r="G62" s="124"/>
      <c r="P62" s="11">
        <v>48</v>
      </c>
      <c r="Q62" s="11">
        <f t="shared" si="13"/>
        <v>7</v>
      </c>
      <c r="R62" s="11">
        <f t="shared" si="14"/>
        <v>6</v>
      </c>
      <c r="S62" s="12" cm="1">
        <f t="array" ref="S62">INDEX('PatientFollowUp-ConceptMap-1'!$I$15:$N$124,Q62+1,R62)</f>
        <v>0</v>
      </c>
    </row>
    <row r="63" spans="2:19">
      <c r="B63" s="11"/>
      <c r="C63" s="11"/>
      <c r="D63" s="12"/>
      <c r="E63" s="12"/>
      <c r="F63" s="64"/>
      <c r="G63" s="124"/>
      <c r="P63" s="11">
        <v>49</v>
      </c>
      <c r="Q63" s="11">
        <f t="shared" si="13"/>
        <v>8</v>
      </c>
      <c r="R63" s="11">
        <f t="shared" si="14"/>
        <v>1</v>
      </c>
      <c r="S63" s="12" cm="1">
        <f t="array" ref="S63">INDEX('PatientFollowUp-ConceptMap-1'!$I$15:$N$124,Q63+1,R63)</f>
        <v>0</v>
      </c>
    </row>
    <row r="64" spans="2:19">
      <c r="B64" s="11"/>
      <c r="C64" s="11"/>
      <c r="D64" s="12"/>
      <c r="E64" s="12"/>
      <c r="F64" s="64"/>
      <c r="G64" s="124"/>
      <c r="P64" s="11">
        <v>50</v>
      </c>
      <c r="Q64" s="11">
        <f t="shared" si="13"/>
        <v>8</v>
      </c>
      <c r="R64" s="11">
        <f t="shared" si="14"/>
        <v>2</v>
      </c>
      <c r="S64" s="12" cm="1">
        <f t="array" ref="S64">INDEX('PatientFollowUp-ConceptMap-1'!$I$15:$N$124,Q64+1,R64)</f>
        <v>0</v>
      </c>
    </row>
    <row r="65" spans="2:19">
      <c r="B65" s="11"/>
      <c r="C65" s="11"/>
      <c r="D65" s="12"/>
      <c r="E65" s="12"/>
      <c r="F65" s="64"/>
      <c r="G65" s="124"/>
      <c r="P65" s="11">
        <v>51</v>
      </c>
      <c r="Q65" s="11">
        <f t="shared" si="13"/>
        <v>8</v>
      </c>
      <c r="R65" s="11">
        <f t="shared" si="14"/>
        <v>3</v>
      </c>
      <c r="S65" s="12" cm="1">
        <f t="array" ref="S65">INDEX('PatientFollowUp-ConceptMap-1'!$I$15:$N$124,Q65+1,R65)</f>
        <v>0</v>
      </c>
    </row>
    <row r="66" spans="2:19">
      <c r="B66" s="11"/>
      <c r="C66" s="11"/>
      <c r="D66" s="12"/>
      <c r="E66" s="12"/>
      <c r="F66" s="64"/>
      <c r="G66" s="124"/>
      <c r="P66" s="11">
        <v>52</v>
      </c>
      <c r="Q66" s="11">
        <f t="shared" si="13"/>
        <v>8</v>
      </c>
      <c r="R66" s="11">
        <f t="shared" si="14"/>
        <v>4</v>
      </c>
      <c r="S66" s="12" cm="1">
        <f t="array" ref="S66">INDEX('PatientFollowUp-ConceptMap-1'!$I$15:$N$124,Q66+1,R66)</f>
        <v>0</v>
      </c>
    </row>
    <row r="67" spans="2:19">
      <c r="B67" s="11"/>
      <c r="C67" s="11"/>
      <c r="D67" s="12"/>
      <c r="E67" s="12"/>
      <c r="F67" s="64"/>
      <c r="G67" s="124"/>
      <c r="P67" s="11">
        <v>53</v>
      </c>
      <c r="Q67" s="11">
        <f t="shared" si="13"/>
        <v>8</v>
      </c>
      <c r="R67" s="11">
        <f t="shared" si="14"/>
        <v>5</v>
      </c>
      <c r="S67" s="12" cm="1">
        <f t="array" ref="S67">INDEX('PatientFollowUp-ConceptMap-1'!$I$15:$N$124,Q67+1,R67)</f>
        <v>0</v>
      </c>
    </row>
    <row r="68" spans="2:19">
      <c r="B68" s="11"/>
      <c r="C68" s="11"/>
      <c r="D68" s="12"/>
      <c r="E68" s="12"/>
      <c r="F68" s="64"/>
      <c r="G68" s="124"/>
      <c r="P68" s="11">
        <v>54</v>
      </c>
      <c r="Q68" s="11">
        <f t="shared" si="13"/>
        <v>8</v>
      </c>
      <c r="R68" s="11">
        <f t="shared" si="14"/>
        <v>6</v>
      </c>
      <c r="S68" s="12" cm="1">
        <f t="array" ref="S68">INDEX('PatientFollowUp-ConceptMap-1'!$I$15:$N$124,Q68+1,R68)</f>
        <v>0</v>
      </c>
    </row>
    <row r="69" spans="2:19">
      <c r="B69" s="11"/>
      <c r="C69" s="11"/>
      <c r="D69" s="12"/>
      <c r="E69" s="12"/>
      <c r="F69" s="64"/>
      <c r="G69" s="124"/>
      <c r="P69" s="11">
        <v>55</v>
      </c>
      <c r="Q69" s="11">
        <f t="shared" si="13"/>
        <v>9</v>
      </c>
      <c r="R69" s="11">
        <f t="shared" si="14"/>
        <v>1</v>
      </c>
      <c r="S69" s="12" cm="1">
        <f t="array" ref="S69">INDEX('PatientFollowUp-ConceptMap-1'!$I$15:$N$124,Q69+1,R69)</f>
        <v>0</v>
      </c>
    </row>
    <row r="70" spans="2:19">
      <c r="B70" s="11"/>
      <c r="C70" s="11"/>
      <c r="D70" s="12"/>
      <c r="E70" s="12"/>
      <c r="F70" s="64"/>
      <c r="G70" s="124"/>
      <c r="P70" s="11">
        <v>56</v>
      </c>
      <c r="Q70" s="11">
        <f t="shared" si="13"/>
        <v>9</v>
      </c>
      <c r="R70" s="11">
        <f t="shared" si="14"/>
        <v>2</v>
      </c>
      <c r="S70" s="12" cm="1">
        <f t="array" ref="S70">INDEX('PatientFollowUp-ConceptMap-1'!$I$15:$N$124,Q70+1,R70)</f>
        <v>0</v>
      </c>
    </row>
    <row r="71" spans="2:19">
      <c r="B71" s="11"/>
      <c r="C71" s="11"/>
      <c r="D71" s="12"/>
      <c r="E71" s="12"/>
      <c r="F71" s="64"/>
      <c r="G71" s="124"/>
      <c r="P71" s="11">
        <v>57</v>
      </c>
      <c r="Q71" s="11">
        <f t="shared" si="13"/>
        <v>9</v>
      </c>
      <c r="R71" s="11">
        <f t="shared" si="14"/>
        <v>3</v>
      </c>
      <c r="S71" s="12" cm="1">
        <f t="array" ref="S71">INDEX('PatientFollowUp-ConceptMap-1'!$I$15:$N$124,Q71+1,R71)</f>
        <v>0</v>
      </c>
    </row>
    <row r="72" spans="2:19">
      <c r="B72" s="11"/>
      <c r="C72" s="11"/>
      <c r="D72" s="12"/>
      <c r="E72" s="12"/>
      <c r="F72" s="64"/>
      <c r="G72" s="124"/>
      <c r="P72" s="11">
        <v>58</v>
      </c>
      <c r="Q72" s="11">
        <f t="shared" si="13"/>
        <v>9</v>
      </c>
      <c r="R72" s="11">
        <f t="shared" si="14"/>
        <v>4</v>
      </c>
      <c r="S72" s="12" cm="1">
        <f t="array" ref="S72">INDEX('PatientFollowUp-ConceptMap-1'!$I$15:$N$124,Q72+1,R72)</f>
        <v>0</v>
      </c>
    </row>
    <row r="73" spans="2:19">
      <c r="B73" s="11"/>
      <c r="C73" s="11"/>
      <c r="D73" s="12"/>
      <c r="E73" s="12"/>
      <c r="F73" s="64"/>
      <c r="G73" s="124"/>
      <c r="P73" s="11">
        <v>59</v>
      </c>
      <c r="Q73" s="11">
        <f t="shared" si="13"/>
        <v>9</v>
      </c>
      <c r="R73" s="11">
        <f t="shared" si="14"/>
        <v>5</v>
      </c>
      <c r="S73" s="12" cm="1">
        <f t="array" ref="S73">INDEX('PatientFollowUp-ConceptMap-1'!$I$15:$N$124,Q73+1,R73)</f>
        <v>0</v>
      </c>
    </row>
    <row r="74" spans="2:19">
      <c r="B74" s="11"/>
      <c r="C74" s="11"/>
      <c r="D74" s="12"/>
      <c r="E74" s="12"/>
      <c r="F74" s="64"/>
      <c r="G74" s="124"/>
      <c r="P74" s="11">
        <v>60</v>
      </c>
      <c r="Q74" s="11">
        <f t="shared" si="13"/>
        <v>9</v>
      </c>
      <c r="R74" s="11">
        <f t="shared" si="14"/>
        <v>6</v>
      </c>
      <c r="S74" s="12" cm="1">
        <f t="array" ref="S74">INDEX('PatientFollowUp-ConceptMap-1'!$I$15:$N$124,Q74+1,R74)</f>
        <v>0</v>
      </c>
    </row>
    <row r="75" spans="2:19">
      <c r="B75" s="11"/>
      <c r="C75" s="11"/>
      <c r="D75" s="12"/>
      <c r="E75" s="12"/>
      <c r="F75" s="64"/>
      <c r="G75" s="124"/>
      <c r="P75" s="11">
        <v>61</v>
      </c>
      <c r="Q75" s="11">
        <f t="shared" si="13"/>
        <v>10</v>
      </c>
      <c r="R75" s="11">
        <f t="shared" si="14"/>
        <v>1</v>
      </c>
      <c r="S75" s="12" cm="1">
        <f t="array" ref="S75">INDEX('PatientFollowUp-ConceptMap-1'!$I$15:$N$124,Q75+1,R75)</f>
        <v>0</v>
      </c>
    </row>
    <row r="76" spans="2:19">
      <c r="B76" s="11"/>
      <c r="C76" s="11"/>
      <c r="D76" s="12"/>
      <c r="E76" s="12"/>
      <c r="F76" s="64"/>
      <c r="G76" s="124"/>
      <c r="P76" s="11">
        <v>62</v>
      </c>
      <c r="Q76" s="11">
        <f t="shared" si="13"/>
        <v>10</v>
      </c>
      <c r="R76" s="11">
        <f t="shared" si="14"/>
        <v>2</v>
      </c>
      <c r="S76" s="12" cm="1">
        <f t="array" ref="S76">INDEX('PatientFollowUp-ConceptMap-1'!$I$15:$N$124,Q76+1,R76)</f>
        <v>0</v>
      </c>
    </row>
    <row r="77" spans="2:19">
      <c r="B77" s="11"/>
      <c r="C77" s="11"/>
      <c r="D77" s="12"/>
      <c r="E77" s="12"/>
      <c r="F77" s="64"/>
      <c r="G77" s="124"/>
      <c r="P77" s="11">
        <v>63</v>
      </c>
      <c r="Q77" s="11">
        <f t="shared" si="13"/>
        <v>10</v>
      </c>
      <c r="R77" s="11">
        <f t="shared" si="14"/>
        <v>3</v>
      </c>
      <c r="S77" s="12" cm="1">
        <f t="array" ref="S77">INDEX('PatientFollowUp-ConceptMap-1'!$I$15:$N$124,Q77+1,R77)</f>
        <v>0</v>
      </c>
    </row>
    <row r="78" spans="2:19">
      <c r="B78" s="11"/>
      <c r="C78" s="11"/>
      <c r="D78" s="12"/>
      <c r="E78" s="12"/>
      <c r="F78" s="64"/>
      <c r="G78" s="124"/>
      <c r="P78" s="11">
        <v>64</v>
      </c>
      <c r="Q78" s="11">
        <f t="shared" si="13"/>
        <v>10</v>
      </c>
      <c r="R78" s="11">
        <f t="shared" si="14"/>
        <v>4</v>
      </c>
      <c r="S78" s="12" cm="1">
        <f t="array" ref="S78">INDEX('PatientFollowUp-ConceptMap-1'!$I$15:$N$124,Q78+1,R78)</f>
        <v>0</v>
      </c>
    </row>
    <row r="79" spans="2:19">
      <c r="B79" s="11"/>
      <c r="C79" s="11"/>
      <c r="D79" s="12"/>
      <c r="E79" s="12"/>
      <c r="F79" s="64"/>
      <c r="G79" s="124"/>
      <c r="P79" s="11">
        <v>65</v>
      </c>
      <c r="Q79" s="11">
        <f t="shared" si="13"/>
        <v>10</v>
      </c>
      <c r="R79" s="11">
        <f t="shared" si="14"/>
        <v>5</v>
      </c>
      <c r="S79" s="12" cm="1">
        <f t="array" ref="S79">INDEX('PatientFollowUp-ConceptMap-1'!$I$15:$N$124,Q79+1,R79)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4"/>
      <c r="P81" s="11">
        <v>67</v>
      </c>
      <c r="Q81" s="11">
        <f t="shared" si="15"/>
        <v>11</v>
      </c>
      <c r="R81" s="11">
        <f t="shared" si="16"/>
        <v>1</v>
      </c>
      <c r="S81" s="12" cm="1">
        <f t="array" ref="S81">INDEX('PatientFollowUp-ConceptMap-1'!$I$15:$N$124,Q81+1,R81)</f>
        <v>0</v>
      </c>
    </row>
    <row r="82" spans="2:19">
      <c r="B82" s="11"/>
      <c r="C82" s="11"/>
      <c r="D82" s="12"/>
      <c r="E82" s="12"/>
      <c r="F82" s="64"/>
      <c r="G82" s="124"/>
      <c r="P82" s="11">
        <v>68</v>
      </c>
      <c r="Q82" s="11">
        <f t="shared" si="15"/>
        <v>11</v>
      </c>
      <c r="R82" s="11">
        <f t="shared" si="16"/>
        <v>2</v>
      </c>
      <c r="S82" s="12" cm="1">
        <f t="array" ref="S82">INDEX('PatientFollowUp-ConceptMap-1'!$I$15:$N$124,Q82+1,R82)</f>
        <v>0</v>
      </c>
    </row>
    <row r="83" spans="2:19">
      <c r="B83" s="11"/>
      <c r="C83" s="11"/>
      <c r="D83" s="12"/>
      <c r="E83" s="12"/>
      <c r="F83" s="64"/>
      <c r="G83" s="124"/>
      <c r="P83" s="11">
        <v>69</v>
      </c>
      <c r="Q83" s="11">
        <f t="shared" si="15"/>
        <v>11</v>
      </c>
      <c r="R83" s="11">
        <f t="shared" si="16"/>
        <v>3</v>
      </c>
      <c r="S83" s="12" cm="1">
        <f t="array" ref="S83">INDEX('PatientFollowUp-ConceptMap-1'!$I$15:$N$124,Q83+1,R83)</f>
        <v>0</v>
      </c>
    </row>
    <row r="84" spans="2:19">
      <c r="B84" s="11"/>
      <c r="C84" s="11"/>
      <c r="D84" s="12"/>
      <c r="E84" s="12"/>
      <c r="F84" s="64"/>
      <c r="G84" s="124"/>
      <c r="P84" s="11">
        <v>70</v>
      </c>
      <c r="Q84" s="11">
        <f t="shared" si="15"/>
        <v>11</v>
      </c>
      <c r="R84" s="11">
        <f t="shared" si="16"/>
        <v>4</v>
      </c>
      <c r="S84" s="12" cm="1">
        <f t="array" ref="S84">INDEX('PatientFollowUp-ConceptMap-1'!$I$15:$N$124,Q84+1,R84)</f>
        <v>0</v>
      </c>
    </row>
    <row r="85" spans="2:19">
      <c r="B85" s="11"/>
      <c r="C85" s="11"/>
      <c r="D85" s="12"/>
      <c r="E85" s="12"/>
      <c r="F85" s="64"/>
      <c r="G85" s="124"/>
      <c r="P85" s="11">
        <v>71</v>
      </c>
      <c r="Q85" s="11">
        <f t="shared" si="15"/>
        <v>11</v>
      </c>
      <c r="R85" s="11">
        <f t="shared" si="16"/>
        <v>5</v>
      </c>
      <c r="S85" s="12" cm="1">
        <f t="array" ref="S85">INDEX('PatientFollowUp-ConceptMap-1'!$I$15:$N$124,Q85+1,R85)</f>
        <v>0</v>
      </c>
    </row>
    <row r="86" spans="2:19">
      <c r="B86" s="11"/>
      <c r="C86" s="11"/>
      <c r="D86" s="12"/>
      <c r="E86" s="12"/>
      <c r="F86" s="64"/>
      <c r="G86" s="124"/>
      <c r="P86" s="11">
        <v>72</v>
      </c>
      <c r="Q86" s="11">
        <f t="shared" si="15"/>
        <v>11</v>
      </c>
      <c r="R86" s="11">
        <f t="shared" si="16"/>
        <v>6</v>
      </c>
      <c r="S86" s="12" cm="1">
        <f t="array" ref="S86">INDEX('PatientFollowUp-ConceptMap-1'!$I$15:$N$124,Q86+1,R86)</f>
        <v>0</v>
      </c>
    </row>
    <row r="87" spans="2:19">
      <c r="B87" s="11"/>
      <c r="C87" s="11"/>
      <c r="D87" s="12"/>
      <c r="E87" s="12"/>
      <c r="F87" s="64"/>
      <c r="G87" s="124"/>
      <c r="P87" s="11">
        <v>73</v>
      </c>
      <c r="Q87" s="11">
        <f t="shared" si="15"/>
        <v>12</v>
      </c>
      <c r="R87" s="11">
        <f t="shared" si="16"/>
        <v>1</v>
      </c>
      <c r="S87" s="12" cm="1">
        <f t="array" ref="S87">INDEX('PatientFollowUp-ConceptMap-1'!$I$15:$N$124,Q87+1,R87)</f>
        <v>0</v>
      </c>
    </row>
    <row r="88" spans="2:19">
      <c r="B88" s="11"/>
      <c r="C88" s="11"/>
      <c r="D88" s="12"/>
      <c r="E88" s="12"/>
      <c r="F88" s="64"/>
      <c r="G88" s="124"/>
      <c r="P88" s="11">
        <v>74</v>
      </c>
      <c r="Q88" s="11">
        <f t="shared" si="15"/>
        <v>12</v>
      </c>
      <c r="R88" s="11">
        <f t="shared" si="16"/>
        <v>2</v>
      </c>
      <c r="S88" s="12" cm="1">
        <f t="array" ref="S88">INDEX('PatientFollowUp-ConceptMap-1'!$I$15:$N$124,Q88+1,R88)</f>
        <v>0</v>
      </c>
    </row>
    <row r="89" spans="2:19">
      <c r="B89" s="11"/>
      <c r="C89" s="11"/>
      <c r="D89" s="12"/>
      <c r="E89" s="12"/>
      <c r="F89" s="64"/>
      <c r="G89" s="124"/>
      <c r="P89" s="11">
        <v>75</v>
      </c>
      <c r="Q89" s="11">
        <f t="shared" si="15"/>
        <v>12</v>
      </c>
      <c r="R89" s="11">
        <f t="shared" si="16"/>
        <v>3</v>
      </c>
      <c r="S89" s="12" cm="1">
        <f t="array" ref="S89">INDEX('PatientFollowUp-ConceptMap-1'!$I$15:$N$124,Q89+1,R89)</f>
        <v>0</v>
      </c>
    </row>
    <row r="90" spans="2:19">
      <c r="B90" s="11"/>
      <c r="C90" s="11"/>
      <c r="D90" s="12"/>
      <c r="E90" s="12"/>
      <c r="F90" s="64"/>
      <c r="G90" s="124"/>
      <c r="P90" s="11">
        <v>76</v>
      </c>
      <c r="Q90" s="11">
        <f t="shared" si="15"/>
        <v>12</v>
      </c>
      <c r="R90" s="11">
        <f t="shared" si="16"/>
        <v>4</v>
      </c>
      <c r="S90" s="12" cm="1">
        <f t="array" ref="S90">INDEX('PatientFollowUp-ConceptMap-1'!$I$15:$N$124,Q90+1,R90)</f>
        <v>0</v>
      </c>
    </row>
    <row r="91" spans="2:19">
      <c r="B91" s="11"/>
      <c r="C91" s="11"/>
      <c r="D91" s="12"/>
      <c r="E91" s="12"/>
      <c r="F91" s="64"/>
      <c r="G91" s="124"/>
      <c r="P91" s="11">
        <v>77</v>
      </c>
      <c r="Q91" s="11">
        <f t="shared" si="15"/>
        <v>12</v>
      </c>
      <c r="R91" s="11">
        <f t="shared" si="16"/>
        <v>5</v>
      </c>
      <c r="S91" s="12" cm="1">
        <f t="array" ref="S91">INDEX('PatientFollowUp-ConceptMap-1'!$I$15:$N$124,Q91+1,R91)</f>
        <v>0</v>
      </c>
    </row>
    <row r="92" spans="2:19">
      <c r="B92" s="11"/>
      <c r="C92" s="11"/>
      <c r="D92" s="12"/>
      <c r="E92" s="12"/>
      <c r="F92" s="64"/>
      <c r="G92" s="124"/>
      <c r="P92" s="11">
        <v>78</v>
      </c>
      <c r="Q92" s="11">
        <f t="shared" si="15"/>
        <v>12</v>
      </c>
      <c r="R92" s="11">
        <f t="shared" si="16"/>
        <v>6</v>
      </c>
      <c r="S92" s="12" cm="1">
        <f t="array" ref="S92">INDEX('PatientFollowUp-ConceptMap-1'!$I$15:$N$124,Q92+1,R92)</f>
        <v>0</v>
      </c>
    </row>
    <row r="93" spans="2:19">
      <c r="B93" s="11"/>
      <c r="C93" s="11"/>
      <c r="D93" s="12"/>
      <c r="E93" s="12"/>
      <c r="F93" s="64"/>
      <c r="G93" s="124"/>
      <c r="P93" s="11">
        <v>79</v>
      </c>
      <c r="Q93" s="11">
        <f t="shared" si="15"/>
        <v>13</v>
      </c>
      <c r="R93" s="11">
        <f t="shared" si="16"/>
        <v>1</v>
      </c>
      <c r="S93" s="12" cm="1">
        <f t="array" ref="S93">INDEX('PatientFollowUp-ConceptMap-1'!$I$15:$N$124,Q93+1,R93)</f>
        <v>0</v>
      </c>
    </row>
    <row r="94" spans="2:19">
      <c r="B94" s="11"/>
      <c r="C94" s="11"/>
      <c r="D94" s="12"/>
      <c r="E94" s="12"/>
      <c r="F94" s="64"/>
      <c r="G94" s="124"/>
      <c r="P94" s="11">
        <v>80</v>
      </c>
      <c r="Q94" s="11">
        <f t="shared" si="15"/>
        <v>13</v>
      </c>
      <c r="R94" s="11">
        <f t="shared" si="16"/>
        <v>2</v>
      </c>
      <c r="S94" s="12" cm="1">
        <f t="array" ref="S94">INDEX('PatientFollowUp-ConceptMap-1'!$I$15:$N$124,Q94+1,R94)</f>
        <v>0</v>
      </c>
    </row>
    <row r="95" spans="2:19">
      <c r="B95" s="11"/>
      <c r="C95" s="11"/>
      <c r="D95" s="12"/>
      <c r="E95" s="12"/>
      <c r="F95" s="64"/>
      <c r="G95" s="124"/>
      <c r="P95" s="11">
        <v>81</v>
      </c>
      <c r="Q95" s="11">
        <f t="shared" si="15"/>
        <v>13</v>
      </c>
      <c r="R95" s="11">
        <f t="shared" si="16"/>
        <v>3</v>
      </c>
      <c r="S95" s="12" cm="1">
        <f t="array" ref="S95">INDEX('PatientFollowUp-ConceptMap-1'!$I$15:$N$124,Q95+1,R95)</f>
        <v>0</v>
      </c>
    </row>
    <row r="96" spans="2:19">
      <c r="B96" s="11"/>
      <c r="C96" s="11"/>
      <c r="D96" s="12"/>
      <c r="E96" s="12"/>
      <c r="F96" s="64"/>
      <c r="G96" s="124"/>
      <c r="P96" s="11">
        <v>82</v>
      </c>
      <c r="Q96" s="11">
        <f t="shared" si="15"/>
        <v>13</v>
      </c>
      <c r="R96" s="11">
        <f t="shared" si="16"/>
        <v>4</v>
      </c>
      <c r="S96" s="12" cm="1">
        <f t="array" ref="S96">INDEX('PatientFollowUp-ConceptMap-1'!$I$15:$N$124,Q96+1,R96)</f>
        <v>0</v>
      </c>
    </row>
    <row r="97" spans="2:19">
      <c r="B97" s="11"/>
      <c r="C97" s="11"/>
      <c r="D97" s="12"/>
      <c r="E97" s="12"/>
      <c r="F97" s="64"/>
      <c r="G97" s="124"/>
      <c r="P97" s="11">
        <v>83</v>
      </c>
      <c r="Q97" s="11">
        <f t="shared" si="15"/>
        <v>13</v>
      </c>
      <c r="R97" s="11">
        <f t="shared" si="16"/>
        <v>5</v>
      </c>
      <c r="S97" s="12" cm="1">
        <f t="array" ref="S97">INDEX('PatientFollowUp-ConceptMap-1'!$I$15:$N$124,Q97+1,R97)</f>
        <v>0</v>
      </c>
    </row>
    <row r="98" spans="2:19">
      <c r="B98" s="11"/>
      <c r="C98" s="11"/>
      <c r="D98" s="12"/>
      <c r="E98" s="12"/>
      <c r="F98" s="64"/>
      <c r="G98" s="124"/>
      <c r="P98" s="11">
        <v>84</v>
      </c>
      <c r="Q98" s="11">
        <f t="shared" si="15"/>
        <v>13</v>
      </c>
      <c r="R98" s="11">
        <f t="shared" si="16"/>
        <v>6</v>
      </c>
      <c r="S98" s="12" cm="1">
        <f t="array" ref="S98">INDEX('PatientFollowUp-ConceptMap-1'!$I$15:$N$124,Q98+1,R98)</f>
        <v>0</v>
      </c>
    </row>
    <row r="99" spans="2:19">
      <c r="B99" s="11"/>
      <c r="C99" s="11"/>
      <c r="D99" s="12"/>
      <c r="E99" s="12"/>
      <c r="F99" s="64"/>
      <c r="G99" s="124"/>
      <c r="P99" s="11">
        <v>85</v>
      </c>
      <c r="Q99" s="11">
        <f t="shared" si="15"/>
        <v>14</v>
      </c>
      <c r="R99" s="11">
        <f t="shared" si="16"/>
        <v>1</v>
      </c>
      <c r="S99" s="12" cm="1">
        <f t="array" ref="S99">INDEX('PatientFollowUp-ConceptMap-1'!$I$15:$N$124,Q99+1,R99)</f>
        <v>0</v>
      </c>
    </row>
    <row r="100" spans="2:19">
      <c r="B100" s="11"/>
      <c r="C100" s="11"/>
      <c r="D100" s="12"/>
      <c r="E100" s="12"/>
      <c r="F100" s="64"/>
      <c r="G100" s="124"/>
      <c r="P100" s="11">
        <v>86</v>
      </c>
      <c r="Q100" s="11">
        <f t="shared" si="15"/>
        <v>14</v>
      </c>
      <c r="R100" s="11">
        <f t="shared" si="16"/>
        <v>2</v>
      </c>
      <c r="S100" s="12" cm="1">
        <f t="array" ref="S100">INDEX('PatientFollowUp-ConceptMap-1'!$I$15:$N$124,Q100+1,R100)</f>
        <v>0</v>
      </c>
    </row>
    <row r="101" spans="2:19">
      <c r="B101" s="11"/>
      <c r="C101" s="11"/>
      <c r="D101" s="12"/>
      <c r="E101" s="12"/>
      <c r="F101" s="64"/>
      <c r="G101" s="124"/>
      <c r="P101" s="11">
        <v>87</v>
      </c>
      <c r="Q101" s="11">
        <f t="shared" si="15"/>
        <v>14</v>
      </c>
      <c r="R101" s="11">
        <f t="shared" si="16"/>
        <v>3</v>
      </c>
      <c r="S101" s="12" cm="1">
        <f t="array" ref="S101">INDEX('PatientFollowUp-ConceptMap-1'!$I$15:$N$124,Q101+1,R101)</f>
        <v>0</v>
      </c>
    </row>
    <row r="102" spans="2:19">
      <c r="B102" s="11"/>
      <c r="C102" s="11"/>
      <c r="D102" s="12"/>
      <c r="E102" s="12"/>
      <c r="F102" s="64"/>
      <c r="G102" s="124"/>
      <c r="P102" s="11">
        <v>88</v>
      </c>
      <c r="Q102" s="11">
        <f t="shared" si="15"/>
        <v>14</v>
      </c>
      <c r="R102" s="11">
        <f t="shared" si="16"/>
        <v>4</v>
      </c>
      <c r="S102" s="12" cm="1">
        <f t="array" ref="S102">INDEX('PatientFollowUp-ConceptMap-1'!$I$15:$N$124,Q102+1,R102)</f>
        <v>0</v>
      </c>
    </row>
    <row r="103" spans="2:19">
      <c r="B103" s="11"/>
      <c r="C103" s="11"/>
      <c r="D103" s="12"/>
      <c r="E103" s="12"/>
      <c r="F103" s="64"/>
      <c r="G103" s="124"/>
      <c r="P103" s="11">
        <v>89</v>
      </c>
      <c r="Q103" s="11">
        <f t="shared" si="15"/>
        <v>14</v>
      </c>
      <c r="R103" s="11">
        <f t="shared" si="16"/>
        <v>5</v>
      </c>
      <c r="S103" s="12" cm="1">
        <f t="array" ref="S103">INDEX('PatientFollowUp-ConceptMap-1'!$I$15:$N$124,Q103+1,R103)</f>
        <v>0</v>
      </c>
    </row>
    <row r="104" spans="2:19">
      <c r="B104" s="11"/>
      <c r="C104" s="11"/>
      <c r="D104" s="12"/>
      <c r="E104" s="12"/>
      <c r="F104" s="64"/>
      <c r="G104" s="124"/>
      <c r="P104" s="11">
        <v>90</v>
      </c>
      <c r="Q104" s="11">
        <f t="shared" si="15"/>
        <v>14</v>
      </c>
      <c r="R104" s="11">
        <f t="shared" si="16"/>
        <v>6</v>
      </c>
      <c r="S104" s="12" cm="1">
        <f t="array" ref="S104">INDEX('PatientFollowUp-ConceptMap-1'!$I$15:$N$124,Q104+1,R104)</f>
        <v>0</v>
      </c>
    </row>
    <row r="105" spans="2:19">
      <c r="B105" s="11"/>
      <c r="C105" s="11"/>
      <c r="D105" s="12"/>
      <c r="E105" s="12"/>
      <c r="F105" s="64"/>
      <c r="G105" s="124"/>
      <c r="P105" s="11">
        <v>91</v>
      </c>
      <c r="Q105" s="11">
        <f t="shared" si="15"/>
        <v>15</v>
      </c>
      <c r="R105" s="11">
        <f t="shared" si="16"/>
        <v>1</v>
      </c>
      <c r="S105" s="12" cm="1">
        <f t="array" ref="S105">INDEX('PatientFollowUp-ConceptMap-1'!$I$15:$N$124,Q105+1,R105)</f>
        <v>0</v>
      </c>
    </row>
    <row r="106" spans="2:19">
      <c r="B106" s="11"/>
      <c r="C106" s="11"/>
      <c r="D106" s="12"/>
      <c r="E106" s="12"/>
      <c r="F106" s="64"/>
      <c r="G106" s="124"/>
      <c r="P106" s="11">
        <v>92</v>
      </c>
      <c r="Q106" s="11">
        <f t="shared" si="15"/>
        <v>15</v>
      </c>
      <c r="R106" s="11">
        <f t="shared" si="16"/>
        <v>2</v>
      </c>
      <c r="S106" s="12" cm="1">
        <f t="array" ref="S106">INDEX('PatientFollowUp-ConceptMap-1'!$I$15:$N$124,Q106+1,R106)</f>
        <v>0</v>
      </c>
    </row>
    <row r="107" spans="2:19">
      <c r="B107" s="11"/>
      <c r="C107" s="11"/>
      <c r="D107" s="12"/>
      <c r="E107" s="12"/>
      <c r="F107" s="64"/>
      <c r="G107" s="124"/>
      <c r="P107" s="11">
        <v>93</v>
      </c>
      <c r="Q107" s="11">
        <f t="shared" si="15"/>
        <v>15</v>
      </c>
      <c r="R107" s="11">
        <f t="shared" si="16"/>
        <v>3</v>
      </c>
      <c r="S107" s="12" cm="1">
        <f t="array" ref="S107">INDEX('PatientFollowUp-ConceptMap-1'!$I$15:$N$124,Q107+1,R107)</f>
        <v>0</v>
      </c>
    </row>
    <row r="108" spans="2:19">
      <c r="B108" s="11"/>
      <c r="C108" s="11"/>
      <c r="D108" s="12"/>
      <c r="E108" s="12"/>
      <c r="F108" s="64"/>
      <c r="G108" s="124"/>
      <c r="P108" s="11">
        <v>94</v>
      </c>
      <c r="Q108" s="11">
        <f t="shared" si="15"/>
        <v>15</v>
      </c>
      <c r="R108" s="11">
        <f t="shared" si="16"/>
        <v>4</v>
      </c>
      <c r="S108" s="12" cm="1">
        <f t="array" ref="S108">INDEX('PatientFollowUp-ConceptMap-1'!$I$15:$N$124,Q108+1,R108)</f>
        <v>0</v>
      </c>
    </row>
    <row r="109" spans="2:19">
      <c r="B109" s="11"/>
      <c r="C109" s="11"/>
      <c r="D109" s="12"/>
      <c r="E109" s="12"/>
      <c r="F109" s="64"/>
      <c r="G109" s="124"/>
      <c r="P109" s="11">
        <v>95</v>
      </c>
      <c r="Q109" s="11">
        <f t="shared" si="15"/>
        <v>15</v>
      </c>
      <c r="R109" s="11">
        <f t="shared" si="16"/>
        <v>5</v>
      </c>
      <c r="S109" s="12" cm="1">
        <f t="array" ref="S109">INDEX('PatientFollowUp-ConceptMap-1'!$I$15:$N$124,Q109+1,R109)</f>
        <v>0</v>
      </c>
    </row>
    <row r="110" spans="2:19">
      <c r="B110" s="11"/>
      <c r="C110" s="11"/>
      <c r="D110" s="12"/>
      <c r="E110" s="12"/>
      <c r="F110" s="64"/>
      <c r="G110" s="124"/>
      <c r="P110" s="11">
        <v>96</v>
      </c>
      <c r="Q110" s="11">
        <f t="shared" si="15"/>
        <v>15</v>
      </c>
      <c r="R110" s="11">
        <f t="shared" si="16"/>
        <v>6</v>
      </c>
      <c r="S110" s="12" cm="1">
        <f t="array" ref="S110">INDEX('PatientFollowUp-ConceptMap-1'!$I$15:$N$124,Q110+1,R110)</f>
        <v>0</v>
      </c>
    </row>
    <row r="111" spans="2:19">
      <c r="B111" s="11"/>
      <c r="C111" s="11"/>
      <c r="D111" s="12"/>
      <c r="E111" s="12"/>
      <c r="F111" s="64"/>
      <c r="G111" s="124"/>
      <c r="P111" s="11">
        <v>97</v>
      </c>
      <c r="Q111" s="11">
        <f t="shared" si="15"/>
        <v>16</v>
      </c>
      <c r="R111" s="11">
        <f t="shared" si="16"/>
        <v>1</v>
      </c>
      <c r="S111" s="12" cm="1">
        <f t="array" ref="S111">INDEX('PatientFollowUp-ConceptMap-1'!$I$15:$N$124,Q111+1,R111)</f>
        <v>0</v>
      </c>
    </row>
    <row r="112" spans="2:19">
      <c r="B112" s="11"/>
      <c r="C112" s="11"/>
      <c r="D112" s="12"/>
      <c r="E112" s="12"/>
      <c r="F112" s="64"/>
      <c r="G112" s="124"/>
      <c r="P112" s="11">
        <v>98</v>
      </c>
      <c r="Q112" s="11">
        <f t="shared" si="15"/>
        <v>16</v>
      </c>
      <c r="R112" s="11">
        <f t="shared" si="16"/>
        <v>2</v>
      </c>
      <c r="S112" s="12" cm="1">
        <f t="array" ref="S112">INDEX('PatientFollowUp-ConceptMap-1'!$I$15:$N$124,Q112+1,R112)</f>
        <v>0</v>
      </c>
    </row>
    <row r="113" spans="2:19">
      <c r="B113" s="11"/>
      <c r="C113" s="11"/>
      <c r="D113" s="12"/>
      <c r="E113" s="12"/>
      <c r="F113" s="64"/>
      <c r="G113" s="124"/>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2391</v>
      </c>
      <c r="D3" s="62" t="s">
        <v>1786</v>
      </c>
      <c r="E3" s="118" t="str">
        <f>$C$1&amp;B14</f>
        <v>http://hl7.eu/fhir/ig/idea4rc/StructureDefinition/PatientFollowUpI4rc</v>
      </c>
    </row>
    <row r="4" spans="1:19">
      <c r="B4" s="62" t="s">
        <v>16</v>
      </c>
      <c r="C4" s="28" t="s">
        <v>2391</v>
      </c>
      <c r="D4" s="62" t="s">
        <v>1787</v>
      </c>
      <c r="E4" s="168" t="s">
        <v>2390</v>
      </c>
      <c r="F4" s="169"/>
      <c r="G4" s="169"/>
    </row>
    <row r="5" spans="1:19">
      <c r="B5" s="62" t="s">
        <v>10</v>
      </c>
      <c r="C5" s="7" t="s">
        <v>2392</v>
      </c>
      <c r="D5" s="62"/>
      <c r="E5" s="7"/>
    </row>
    <row r="6" spans="1:19">
      <c r="B6" s="62" t="s">
        <v>18</v>
      </c>
      <c r="C6" s="56"/>
      <c r="D6" s="62" t="s">
        <v>1788</v>
      </c>
      <c r="E6" s="168" t="str">
        <f>E3</f>
        <v>http://hl7.eu/fhir/ig/idea4rc/StructureDefinition/PatientFollowUpI4rc</v>
      </c>
      <c r="F6" s="169"/>
      <c r="G6" s="169"/>
    </row>
    <row r="7" spans="1:19">
      <c r="B7" s="62" t="s">
        <v>15</v>
      </c>
      <c r="C7" s="119"/>
      <c r="D7" s="62" t="s">
        <v>1789</v>
      </c>
      <c r="E7" s="168" t="str">
        <f>C1&amp;"Condition-primaryCancer-eu-i4rc"</f>
        <v>http://hl7.eu/fhir/ig/idea4rc/StructureDefinition/Condition-primaryCancer-eu-i4rc</v>
      </c>
      <c r="F7" s="169"/>
      <c r="G7" s="169"/>
    </row>
    <row r="8" spans="1:19" ht="45" thickBot="1">
      <c r="B8" s="62" t="s">
        <v>1790</v>
      </c>
      <c r="C8" s="7" t="s">
        <v>2392</v>
      </c>
      <c r="D8" s="62"/>
      <c r="E8" s="7"/>
      <c r="I8" s="12" t="s">
        <v>1402</v>
      </c>
      <c r="J8" s="12" t="s">
        <v>1403</v>
      </c>
      <c r="K8" s="12" t="s">
        <v>1404</v>
      </c>
      <c r="L8" s="12" t="s">
        <v>1405</v>
      </c>
      <c r="M8" s="11" t="s">
        <v>1406</v>
      </c>
      <c r="P8" s="49" t="s">
        <v>1441</v>
      </c>
      <c r="Q8" s="49">
        <v>6</v>
      </c>
    </row>
    <row r="9" spans="1:19" ht="30.25" thickBot="1">
      <c r="B9" s="62" t="s">
        <v>1791</v>
      </c>
      <c r="C9" s="12" t="s">
        <v>2393</v>
      </c>
      <c r="D9" s="144"/>
      <c r="E9" s="170"/>
      <c r="F9" s="171"/>
      <c r="G9" s="172"/>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2394</v>
      </c>
      <c r="E14" s="6"/>
      <c r="F14" s="64"/>
      <c r="G14" s="64"/>
      <c r="I14" s="12"/>
      <c r="J14" s="11"/>
      <c r="K14" s="11"/>
      <c r="L14" s="11"/>
      <c r="M14" s="63"/>
      <c r="N14" s="66"/>
    </row>
    <row r="15" spans="1:19" ht="44.25">
      <c r="A15" s="59"/>
      <c r="B15" s="11" t="str">
        <f>PatientFollowUp!B8</f>
        <v>patient</v>
      </c>
      <c r="C15" s="11" t="str">
        <f>PatientFollowUp!C8</f>
        <v>Patient</v>
      </c>
      <c r="D15" s="12" t="s">
        <v>1800</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3" t="s">
        <v>2395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4"/>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1995</v>
      </c>
      <c r="E18" s="12"/>
      <c r="F18" s="64" t="s">
        <v>1407</v>
      </c>
      <c r="G18" s="124" t="s">
        <v>2398</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2399</v>
      </c>
      <c r="E19" s="12"/>
      <c r="F19" s="64" t="s">
        <v>1407</v>
      </c>
      <c r="G19" s="123" t="s">
        <v>1792</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2002</v>
      </c>
      <c r="E20" s="12"/>
      <c r="F20" s="64" t="s">
        <v>1407</v>
      </c>
      <c r="G20" s="123" t="s">
        <v>1792</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4"/>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4"/>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4"/>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4"/>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4"/>
      <c r="P51" s="11">
        <v>37</v>
      </c>
      <c r="Q51" s="11">
        <f t="shared" si="13"/>
        <v>6</v>
      </c>
      <c r="R51" s="11">
        <f t="shared" si="14"/>
        <v>1</v>
      </c>
      <c r="S51" s="12" cm="1">
        <f t="array" ref="S51">INDEX('PatientFollowUp-ConceptMap-2'!$I$15:$N$124,Q51+1,R51)</f>
        <v>0</v>
      </c>
    </row>
    <row r="52" spans="2:19">
      <c r="B52" s="11"/>
      <c r="C52" s="11"/>
      <c r="D52" s="12"/>
      <c r="E52" s="12"/>
      <c r="F52" s="64"/>
      <c r="G52" s="124"/>
      <c r="P52" s="11">
        <v>38</v>
      </c>
      <c r="Q52" s="11">
        <f t="shared" si="13"/>
        <v>6</v>
      </c>
      <c r="R52" s="11">
        <f t="shared" si="14"/>
        <v>2</v>
      </c>
      <c r="S52" s="12" cm="1">
        <f t="array" ref="S52">INDEX('PatientFollowUp-ConceptMap-2'!$I$15:$N$124,Q52+1,R52)</f>
        <v>0</v>
      </c>
    </row>
    <row r="53" spans="2:19">
      <c r="B53" s="11"/>
      <c r="C53" s="11"/>
      <c r="D53" s="12"/>
      <c r="E53" s="12"/>
      <c r="F53" s="64"/>
      <c r="G53" s="124"/>
      <c r="P53" s="11">
        <v>39</v>
      </c>
      <c r="Q53" s="11">
        <f t="shared" si="13"/>
        <v>6</v>
      </c>
      <c r="R53" s="11">
        <f t="shared" si="14"/>
        <v>3</v>
      </c>
      <c r="S53" s="12" cm="1">
        <f t="array" ref="S53">INDEX('PatientFollowUp-ConceptMap-2'!$I$15:$N$124,Q53+1,R53)</f>
        <v>0</v>
      </c>
    </row>
    <row r="54" spans="2:19">
      <c r="B54" s="11"/>
      <c r="C54" s="11"/>
      <c r="D54" s="12"/>
      <c r="E54" s="12"/>
      <c r="F54" s="64"/>
      <c r="G54" s="124"/>
      <c r="P54" s="11">
        <v>40</v>
      </c>
      <c r="Q54" s="11">
        <f t="shared" si="13"/>
        <v>6</v>
      </c>
      <c r="R54" s="11">
        <f t="shared" si="14"/>
        <v>4</v>
      </c>
      <c r="S54" s="12" cm="1">
        <f t="array" ref="S54">INDEX('PatientFollowUp-ConceptMap-2'!$I$15:$N$124,Q54+1,R54)</f>
        <v>0</v>
      </c>
    </row>
    <row r="55" spans="2:19">
      <c r="B55" s="11"/>
      <c r="C55" s="11"/>
      <c r="D55" s="12"/>
      <c r="E55" s="12"/>
      <c r="F55" s="64"/>
      <c r="G55" s="124"/>
      <c r="P55" s="11">
        <v>41</v>
      </c>
      <c r="Q55" s="11">
        <f t="shared" si="13"/>
        <v>6</v>
      </c>
      <c r="R55" s="11">
        <f t="shared" si="14"/>
        <v>5</v>
      </c>
      <c r="S55" s="12" cm="1">
        <f t="array" ref="S55">INDEX('PatientFollowUp-ConceptMap-2'!$I$15:$N$124,Q55+1,R55)</f>
        <v>0</v>
      </c>
    </row>
    <row r="56" spans="2:19">
      <c r="B56" s="11"/>
      <c r="C56" s="11"/>
      <c r="D56" s="12"/>
      <c r="E56" s="12"/>
      <c r="F56" s="64"/>
      <c r="G56" s="124"/>
      <c r="P56" s="11">
        <v>42</v>
      </c>
      <c r="Q56" s="11">
        <f t="shared" si="13"/>
        <v>6</v>
      </c>
      <c r="R56" s="11">
        <f t="shared" si="14"/>
        <v>6</v>
      </c>
      <c r="S56" s="12" cm="1">
        <f t="array" ref="S56">INDEX('PatientFollowUp-ConceptMap-2'!$I$15:$N$124,Q56+1,R56)</f>
        <v>0</v>
      </c>
    </row>
    <row r="57" spans="2:19">
      <c r="B57" s="11"/>
      <c r="C57" s="11"/>
      <c r="D57" s="12"/>
      <c r="E57" s="12"/>
      <c r="F57" s="64"/>
      <c r="G57" s="124"/>
      <c r="P57" s="11">
        <v>43</v>
      </c>
      <c r="Q57" s="11">
        <f t="shared" si="13"/>
        <v>7</v>
      </c>
      <c r="R57" s="11">
        <f t="shared" si="14"/>
        <v>1</v>
      </c>
      <c r="S57" s="12" cm="1">
        <f t="array" ref="S57">INDEX('PatientFollowUp-ConceptMap-2'!$I$15:$N$124,Q57+1,R57)</f>
        <v>0</v>
      </c>
    </row>
    <row r="58" spans="2:19">
      <c r="B58" s="11"/>
      <c r="C58" s="11"/>
      <c r="D58" s="12"/>
      <c r="E58" s="12"/>
      <c r="F58" s="64"/>
      <c r="G58" s="124"/>
      <c r="P58" s="11">
        <v>44</v>
      </c>
      <c r="Q58" s="11">
        <f t="shared" si="13"/>
        <v>7</v>
      </c>
      <c r="R58" s="11">
        <f t="shared" si="14"/>
        <v>2</v>
      </c>
      <c r="S58" s="12" cm="1">
        <f t="array" ref="S58">INDEX('PatientFollowUp-ConceptMap-2'!$I$15:$N$124,Q58+1,R58)</f>
        <v>0</v>
      </c>
    </row>
    <row r="59" spans="2:19">
      <c r="B59" s="11"/>
      <c r="C59" s="11"/>
      <c r="D59" s="12"/>
      <c r="E59" s="12"/>
      <c r="F59" s="64"/>
      <c r="G59" s="124"/>
      <c r="P59" s="11">
        <v>45</v>
      </c>
      <c r="Q59" s="11">
        <f t="shared" si="13"/>
        <v>7</v>
      </c>
      <c r="R59" s="11">
        <f t="shared" si="14"/>
        <v>3</v>
      </c>
      <c r="S59" s="12" cm="1">
        <f t="array" ref="S59">INDEX('PatientFollowUp-ConceptMap-2'!$I$15:$N$124,Q59+1,R59)</f>
        <v>0</v>
      </c>
    </row>
    <row r="60" spans="2:19">
      <c r="B60" s="11"/>
      <c r="C60" s="11"/>
      <c r="D60" s="12"/>
      <c r="E60" s="12"/>
      <c r="F60" s="64"/>
      <c r="G60" s="124"/>
      <c r="P60" s="11">
        <v>46</v>
      </c>
      <c r="Q60" s="11">
        <f t="shared" si="13"/>
        <v>7</v>
      </c>
      <c r="R60" s="11">
        <f t="shared" si="14"/>
        <v>4</v>
      </c>
      <c r="S60" s="12" cm="1">
        <f t="array" ref="S60">INDEX('PatientFollowUp-ConceptMap-2'!$I$15:$N$124,Q60+1,R60)</f>
        <v>0</v>
      </c>
    </row>
    <row r="61" spans="2:19">
      <c r="B61" s="11"/>
      <c r="C61" s="11"/>
      <c r="D61" s="12"/>
      <c r="E61" s="12"/>
      <c r="F61" s="64"/>
      <c r="G61" s="124"/>
      <c r="P61" s="11">
        <v>47</v>
      </c>
      <c r="Q61" s="11">
        <f t="shared" si="13"/>
        <v>7</v>
      </c>
      <c r="R61" s="11">
        <f t="shared" si="14"/>
        <v>5</v>
      </c>
      <c r="S61" s="12" cm="1">
        <f t="array" ref="S61">INDEX('PatientFollowUp-ConceptMap-2'!$I$15:$N$124,Q61+1,R61)</f>
        <v>0</v>
      </c>
    </row>
    <row r="62" spans="2:19">
      <c r="B62" s="11"/>
      <c r="C62" s="11"/>
      <c r="D62" s="12"/>
      <c r="E62" s="12"/>
      <c r="F62" s="64"/>
      <c r="G62" s="124"/>
      <c r="P62" s="11">
        <v>48</v>
      </c>
      <c r="Q62" s="11">
        <f t="shared" si="13"/>
        <v>7</v>
      </c>
      <c r="R62" s="11">
        <f t="shared" si="14"/>
        <v>6</v>
      </c>
      <c r="S62" s="12" cm="1">
        <f t="array" ref="S62">INDEX('PatientFollowUp-ConceptMap-2'!$I$15:$N$124,Q62+1,R62)</f>
        <v>0</v>
      </c>
    </row>
    <row r="63" spans="2:19">
      <c r="B63" s="11"/>
      <c r="C63" s="11"/>
      <c r="D63" s="12"/>
      <c r="E63" s="12"/>
      <c r="F63" s="64"/>
      <c r="G63" s="124"/>
      <c r="P63" s="11">
        <v>49</v>
      </c>
      <c r="Q63" s="11">
        <f t="shared" si="13"/>
        <v>8</v>
      </c>
      <c r="R63" s="11">
        <f t="shared" si="14"/>
        <v>1</v>
      </c>
      <c r="S63" s="12" cm="1">
        <f t="array" ref="S63">INDEX('PatientFollowUp-ConceptMap-2'!$I$15:$N$124,Q63+1,R63)</f>
        <v>0</v>
      </c>
    </row>
    <row r="64" spans="2:19">
      <c r="B64" s="11"/>
      <c r="C64" s="11"/>
      <c r="D64" s="12"/>
      <c r="E64" s="12"/>
      <c r="F64" s="64"/>
      <c r="G64" s="124"/>
      <c r="P64" s="11">
        <v>50</v>
      </c>
      <c r="Q64" s="11">
        <f t="shared" si="13"/>
        <v>8</v>
      </c>
      <c r="R64" s="11">
        <f t="shared" si="14"/>
        <v>2</v>
      </c>
      <c r="S64" s="12" cm="1">
        <f t="array" ref="S64">INDEX('PatientFollowUp-ConceptMap-2'!$I$15:$N$124,Q64+1,R64)</f>
        <v>0</v>
      </c>
    </row>
    <row r="65" spans="2:19">
      <c r="B65" s="11"/>
      <c r="C65" s="11"/>
      <c r="D65" s="12"/>
      <c r="E65" s="12"/>
      <c r="F65" s="64"/>
      <c r="G65" s="124"/>
      <c r="P65" s="11">
        <v>51</v>
      </c>
      <c r="Q65" s="11">
        <f t="shared" si="13"/>
        <v>8</v>
      </c>
      <c r="R65" s="11">
        <f t="shared" si="14"/>
        <v>3</v>
      </c>
      <c r="S65" s="12" cm="1">
        <f t="array" ref="S65">INDEX('PatientFollowUp-ConceptMap-2'!$I$15:$N$124,Q65+1,R65)</f>
        <v>0</v>
      </c>
    </row>
    <row r="66" spans="2:19">
      <c r="B66" s="11"/>
      <c r="C66" s="11"/>
      <c r="D66" s="12"/>
      <c r="E66" s="12"/>
      <c r="F66" s="64"/>
      <c r="G66" s="124"/>
      <c r="P66" s="11">
        <v>52</v>
      </c>
      <c r="Q66" s="11">
        <f t="shared" si="13"/>
        <v>8</v>
      </c>
      <c r="R66" s="11">
        <f t="shared" si="14"/>
        <v>4</v>
      </c>
      <c r="S66" s="12" cm="1">
        <f t="array" ref="S66">INDEX('PatientFollowUp-ConceptMap-2'!$I$15:$N$124,Q66+1,R66)</f>
        <v>0</v>
      </c>
    </row>
    <row r="67" spans="2:19">
      <c r="B67" s="11"/>
      <c r="C67" s="11"/>
      <c r="D67" s="12"/>
      <c r="E67" s="12"/>
      <c r="F67" s="64"/>
      <c r="G67" s="124"/>
      <c r="P67" s="11">
        <v>53</v>
      </c>
      <c r="Q67" s="11">
        <f t="shared" si="13"/>
        <v>8</v>
      </c>
      <c r="R67" s="11">
        <f t="shared" si="14"/>
        <v>5</v>
      </c>
      <c r="S67" s="12" cm="1">
        <f t="array" ref="S67">INDEX('PatientFollowUp-ConceptMap-2'!$I$15:$N$124,Q67+1,R67)</f>
        <v>0</v>
      </c>
    </row>
    <row r="68" spans="2:19">
      <c r="B68" s="11"/>
      <c r="C68" s="11"/>
      <c r="D68" s="12"/>
      <c r="E68" s="12"/>
      <c r="F68" s="64"/>
      <c r="G68" s="124"/>
      <c r="P68" s="11">
        <v>54</v>
      </c>
      <c r="Q68" s="11">
        <f t="shared" si="13"/>
        <v>8</v>
      </c>
      <c r="R68" s="11">
        <f t="shared" si="14"/>
        <v>6</v>
      </c>
      <c r="S68" s="12" cm="1">
        <f t="array" ref="S68">INDEX('PatientFollowUp-ConceptMap-2'!$I$15:$N$124,Q68+1,R68)</f>
        <v>0</v>
      </c>
    </row>
    <row r="69" spans="2:19">
      <c r="B69" s="11"/>
      <c r="C69" s="11"/>
      <c r="D69" s="12"/>
      <c r="E69" s="12"/>
      <c r="F69" s="64"/>
      <c r="G69" s="124"/>
      <c r="P69" s="11">
        <v>55</v>
      </c>
      <c r="Q69" s="11">
        <f t="shared" si="13"/>
        <v>9</v>
      </c>
      <c r="R69" s="11">
        <f t="shared" si="14"/>
        <v>1</v>
      </c>
      <c r="S69" s="12" cm="1">
        <f t="array" ref="S69">INDEX('PatientFollowUp-ConceptMap-2'!$I$15:$N$124,Q69+1,R69)</f>
        <v>0</v>
      </c>
    </row>
    <row r="70" spans="2:19">
      <c r="B70" s="11"/>
      <c r="C70" s="11"/>
      <c r="D70" s="12"/>
      <c r="E70" s="12"/>
      <c r="F70" s="64"/>
      <c r="G70" s="124"/>
      <c r="P70" s="11">
        <v>56</v>
      </c>
      <c r="Q70" s="11">
        <f t="shared" si="13"/>
        <v>9</v>
      </c>
      <c r="R70" s="11">
        <f t="shared" si="14"/>
        <v>2</v>
      </c>
      <c r="S70" s="12" cm="1">
        <f t="array" ref="S70">INDEX('PatientFollowUp-ConceptMap-2'!$I$15:$N$124,Q70+1,R70)</f>
        <v>0</v>
      </c>
    </row>
    <row r="71" spans="2:19">
      <c r="B71" s="11"/>
      <c r="C71" s="11"/>
      <c r="D71" s="12"/>
      <c r="E71" s="12"/>
      <c r="F71" s="64"/>
      <c r="G71" s="124"/>
      <c r="P71" s="11">
        <v>57</v>
      </c>
      <c r="Q71" s="11">
        <f t="shared" si="13"/>
        <v>9</v>
      </c>
      <c r="R71" s="11">
        <f t="shared" si="14"/>
        <v>3</v>
      </c>
      <c r="S71" s="12" cm="1">
        <f t="array" ref="S71">INDEX('PatientFollowUp-ConceptMap-2'!$I$15:$N$124,Q71+1,R71)</f>
        <v>0</v>
      </c>
    </row>
    <row r="72" spans="2:19">
      <c r="B72" s="11"/>
      <c r="C72" s="11"/>
      <c r="D72" s="12"/>
      <c r="E72" s="12"/>
      <c r="F72" s="64"/>
      <c r="G72" s="124"/>
      <c r="P72" s="11">
        <v>58</v>
      </c>
      <c r="Q72" s="11">
        <f t="shared" si="13"/>
        <v>9</v>
      </c>
      <c r="R72" s="11">
        <f t="shared" si="14"/>
        <v>4</v>
      </c>
      <c r="S72" s="12" cm="1">
        <f t="array" ref="S72">INDEX('PatientFollowUp-ConceptMap-2'!$I$15:$N$124,Q72+1,R72)</f>
        <v>0</v>
      </c>
    </row>
    <row r="73" spans="2:19">
      <c r="B73" s="11"/>
      <c r="C73" s="11"/>
      <c r="D73" s="12"/>
      <c r="E73" s="12"/>
      <c r="F73" s="64"/>
      <c r="G73" s="124"/>
      <c r="P73" s="11">
        <v>59</v>
      </c>
      <c r="Q73" s="11">
        <f t="shared" si="13"/>
        <v>9</v>
      </c>
      <c r="R73" s="11">
        <f t="shared" si="14"/>
        <v>5</v>
      </c>
      <c r="S73" s="12" cm="1">
        <f t="array" ref="S73">INDEX('PatientFollowUp-ConceptMap-2'!$I$15:$N$124,Q73+1,R73)</f>
        <v>0</v>
      </c>
    </row>
    <row r="74" spans="2:19">
      <c r="B74" s="11"/>
      <c r="C74" s="11"/>
      <c r="D74" s="12"/>
      <c r="E74" s="12"/>
      <c r="F74" s="64"/>
      <c r="G74" s="124"/>
      <c r="P74" s="11">
        <v>60</v>
      </c>
      <c r="Q74" s="11">
        <f t="shared" si="13"/>
        <v>9</v>
      </c>
      <c r="R74" s="11">
        <f t="shared" si="14"/>
        <v>6</v>
      </c>
      <c r="S74" s="12" cm="1">
        <f t="array" ref="S74">INDEX('PatientFollowUp-ConceptMap-2'!$I$15:$N$124,Q74+1,R74)</f>
        <v>0</v>
      </c>
    </row>
    <row r="75" spans="2:19">
      <c r="B75" s="11"/>
      <c r="C75" s="11"/>
      <c r="D75" s="12"/>
      <c r="E75" s="12"/>
      <c r="F75" s="64"/>
      <c r="G75" s="124"/>
      <c r="P75" s="11">
        <v>61</v>
      </c>
      <c r="Q75" s="11">
        <f t="shared" si="13"/>
        <v>10</v>
      </c>
      <c r="R75" s="11">
        <f t="shared" si="14"/>
        <v>1</v>
      </c>
      <c r="S75" s="12" cm="1">
        <f t="array" ref="S75">INDEX('PatientFollowUp-ConceptMap-2'!$I$15:$N$124,Q75+1,R75)</f>
        <v>0</v>
      </c>
    </row>
    <row r="76" spans="2:19">
      <c r="B76" s="11"/>
      <c r="C76" s="11"/>
      <c r="D76" s="12"/>
      <c r="E76" s="12"/>
      <c r="F76" s="64"/>
      <c r="G76" s="124"/>
      <c r="P76" s="11">
        <v>62</v>
      </c>
      <c r="Q76" s="11">
        <f t="shared" si="13"/>
        <v>10</v>
      </c>
      <c r="R76" s="11">
        <f t="shared" si="14"/>
        <v>2</v>
      </c>
      <c r="S76" s="12" cm="1">
        <f t="array" ref="S76">INDEX('PatientFollowUp-ConceptMap-2'!$I$15:$N$124,Q76+1,R76)</f>
        <v>0</v>
      </c>
    </row>
    <row r="77" spans="2:19">
      <c r="B77" s="11"/>
      <c r="C77" s="11"/>
      <c r="D77" s="12"/>
      <c r="E77" s="12"/>
      <c r="F77" s="64"/>
      <c r="G77" s="124"/>
      <c r="P77" s="11">
        <v>63</v>
      </c>
      <c r="Q77" s="11">
        <f t="shared" si="13"/>
        <v>10</v>
      </c>
      <c r="R77" s="11">
        <f t="shared" si="14"/>
        <v>3</v>
      </c>
      <c r="S77" s="12" cm="1">
        <f t="array" ref="S77">INDEX('PatientFollowUp-ConceptMap-2'!$I$15:$N$124,Q77+1,R77)</f>
        <v>0</v>
      </c>
    </row>
    <row r="78" spans="2:19">
      <c r="B78" s="11"/>
      <c r="C78" s="11"/>
      <c r="D78" s="12"/>
      <c r="E78" s="12"/>
      <c r="F78" s="64"/>
      <c r="G78" s="124"/>
      <c r="P78" s="11">
        <v>64</v>
      </c>
      <c r="Q78" s="11">
        <f t="shared" si="13"/>
        <v>10</v>
      </c>
      <c r="R78" s="11">
        <f t="shared" si="14"/>
        <v>4</v>
      </c>
      <c r="S78" s="12" cm="1">
        <f t="array" ref="S78">INDEX('PatientFollowUp-ConceptMap-2'!$I$15:$N$124,Q78+1,R78)</f>
        <v>0</v>
      </c>
    </row>
    <row r="79" spans="2:19">
      <c r="B79" s="11"/>
      <c r="C79" s="11"/>
      <c r="D79" s="12"/>
      <c r="E79" s="12"/>
      <c r="F79" s="64"/>
      <c r="G79" s="124"/>
      <c r="P79" s="11">
        <v>65</v>
      </c>
      <c r="Q79" s="11">
        <f t="shared" si="13"/>
        <v>10</v>
      </c>
      <c r="R79" s="11">
        <f t="shared" si="14"/>
        <v>5</v>
      </c>
      <c r="S79" s="12" cm="1">
        <f t="array" ref="S79">INDEX('PatientFollowUp-ConceptMap-2'!$I$15:$N$124,Q79+1,R79)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4"/>
      <c r="P81" s="11">
        <v>67</v>
      </c>
      <c r="Q81" s="11">
        <f t="shared" si="15"/>
        <v>11</v>
      </c>
      <c r="R81" s="11">
        <f t="shared" si="16"/>
        <v>1</v>
      </c>
      <c r="S81" s="12" cm="1">
        <f t="array" ref="S81">INDEX('PatientFollowUp-ConceptMap-2'!$I$15:$N$124,Q81+1,R81)</f>
        <v>0</v>
      </c>
    </row>
    <row r="82" spans="2:19">
      <c r="B82" s="11"/>
      <c r="C82" s="11"/>
      <c r="D82" s="12"/>
      <c r="E82" s="12"/>
      <c r="F82" s="64"/>
      <c r="G82" s="124"/>
      <c r="P82" s="11">
        <v>68</v>
      </c>
      <c r="Q82" s="11">
        <f t="shared" si="15"/>
        <v>11</v>
      </c>
      <c r="R82" s="11">
        <f t="shared" si="16"/>
        <v>2</v>
      </c>
      <c r="S82" s="12" cm="1">
        <f t="array" ref="S82">INDEX('PatientFollowUp-ConceptMap-2'!$I$15:$N$124,Q82+1,R82)</f>
        <v>0</v>
      </c>
    </row>
    <row r="83" spans="2:19">
      <c r="B83" s="11"/>
      <c r="C83" s="11"/>
      <c r="D83" s="12"/>
      <c r="E83" s="12"/>
      <c r="F83" s="64"/>
      <c r="G83" s="124"/>
      <c r="P83" s="11">
        <v>69</v>
      </c>
      <c r="Q83" s="11">
        <f t="shared" si="15"/>
        <v>11</v>
      </c>
      <c r="R83" s="11">
        <f t="shared" si="16"/>
        <v>3</v>
      </c>
      <c r="S83" s="12" cm="1">
        <f t="array" ref="S83">INDEX('PatientFollowUp-ConceptMap-2'!$I$15:$N$124,Q83+1,R83)</f>
        <v>0</v>
      </c>
    </row>
    <row r="84" spans="2:19">
      <c r="B84" s="11"/>
      <c r="C84" s="11"/>
      <c r="D84" s="12"/>
      <c r="E84" s="12"/>
      <c r="F84" s="64"/>
      <c r="G84" s="124"/>
      <c r="P84" s="11">
        <v>70</v>
      </c>
      <c r="Q84" s="11">
        <f t="shared" si="15"/>
        <v>11</v>
      </c>
      <c r="R84" s="11">
        <f t="shared" si="16"/>
        <v>4</v>
      </c>
      <c r="S84" s="12" cm="1">
        <f t="array" ref="S84">INDEX('PatientFollowUp-ConceptMap-2'!$I$15:$N$124,Q84+1,R84)</f>
        <v>0</v>
      </c>
    </row>
    <row r="85" spans="2:19">
      <c r="B85" s="11"/>
      <c r="C85" s="11"/>
      <c r="D85" s="12"/>
      <c r="E85" s="12"/>
      <c r="F85" s="64"/>
      <c r="G85" s="124"/>
      <c r="P85" s="11">
        <v>71</v>
      </c>
      <c r="Q85" s="11">
        <f t="shared" si="15"/>
        <v>11</v>
      </c>
      <c r="R85" s="11">
        <f t="shared" si="16"/>
        <v>5</v>
      </c>
      <c r="S85" s="12" cm="1">
        <f t="array" ref="S85">INDEX('PatientFollowUp-ConceptMap-2'!$I$15:$N$124,Q85+1,R85)</f>
        <v>0</v>
      </c>
    </row>
    <row r="86" spans="2:19">
      <c r="B86" s="11"/>
      <c r="C86" s="11"/>
      <c r="D86" s="12"/>
      <c r="E86" s="12"/>
      <c r="F86" s="64"/>
      <c r="G86" s="124"/>
      <c r="P86" s="11">
        <v>72</v>
      </c>
      <c r="Q86" s="11">
        <f t="shared" si="15"/>
        <v>11</v>
      </c>
      <c r="R86" s="11">
        <f t="shared" si="16"/>
        <v>6</v>
      </c>
      <c r="S86" s="12" cm="1">
        <f t="array" ref="S86">INDEX('PatientFollowUp-ConceptMap-2'!$I$15:$N$124,Q86+1,R86)</f>
        <v>0</v>
      </c>
    </row>
    <row r="87" spans="2:19">
      <c r="B87" s="11"/>
      <c r="C87" s="11"/>
      <c r="D87" s="12"/>
      <c r="E87" s="12"/>
      <c r="F87" s="64"/>
      <c r="G87" s="124"/>
      <c r="P87" s="11">
        <v>73</v>
      </c>
      <c r="Q87" s="11">
        <f t="shared" si="15"/>
        <v>12</v>
      </c>
      <c r="R87" s="11">
        <f t="shared" si="16"/>
        <v>1</v>
      </c>
      <c r="S87" s="12" cm="1">
        <f t="array" ref="S87">INDEX('PatientFollowUp-ConceptMap-2'!$I$15:$N$124,Q87+1,R87)</f>
        <v>0</v>
      </c>
    </row>
    <row r="88" spans="2:19">
      <c r="B88" s="11"/>
      <c r="C88" s="11"/>
      <c r="D88" s="12"/>
      <c r="E88" s="12"/>
      <c r="F88" s="64"/>
      <c r="G88" s="124"/>
      <c r="P88" s="11">
        <v>74</v>
      </c>
      <c r="Q88" s="11">
        <f t="shared" si="15"/>
        <v>12</v>
      </c>
      <c r="R88" s="11">
        <f t="shared" si="16"/>
        <v>2</v>
      </c>
      <c r="S88" s="12" cm="1">
        <f t="array" ref="S88">INDEX('PatientFollowUp-ConceptMap-2'!$I$15:$N$124,Q88+1,R88)</f>
        <v>0</v>
      </c>
    </row>
    <row r="89" spans="2:19">
      <c r="B89" s="11"/>
      <c r="C89" s="11"/>
      <c r="D89" s="12"/>
      <c r="E89" s="12"/>
      <c r="F89" s="64"/>
      <c r="G89" s="124"/>
      <c r="P89" s="11">
        <v>75</v>
      </c>
      <c r="Q89" s="11">
        <f t="shared" si="15"/>
        <v>12</v>
      </c>
      <c r="R89" s="11">
        <f t="shared" si="16"/>
        <v>3</v>
      </c>
      <c r="S89" s="12" cm="1">
        <f t="array" ref="S89">INDEX('PatientFollowUp-ConceptMap-2'!$I$15:$N$124,Q89+1,R89)</f>
        <v>0</v>
      </c>
    </row>
    <row r="90" spans="2:19">
      <c r="B90" s="11"/>
      <c r="C90" s="11"/>
      <c r="D90" s="12"/>
      <c r="E90" s="12"/>
      <c r="F90" s="64"/>
      <c r="G90" s="124"/>
      <c r="P90" s="11">
        <v>76</v>
      </c>
      <c r="Q90" s="11">
        <f t="shared" si="15"/>
        <v>12</v>
      </c>
      <c r="R90" s="11">
        <f t="shared" si="16"/>
        <v>4</v>
      </c>
      <c r="S90" s="12" cm="1">
        <f t="array" ref="S90">INDEX('PatientFollowUp-ConceptMap-2'!$I$15:$N$124,Q90+1,R90)</f>
        <v>0</v>
      </c>
    </row>
    <row r="91" spans="2:19">
      <c r="B91" s="11"/>
      <c r="C91" s="11"/>
      <c r="D91" s="12"/>
      <c r="E91" s="12"/>
      <c r="F91" s="64"/>
      <c r="G91" s="124"/>
      <c r="P91" s="11">
        <v>77</v>
      </c>
      <c r="Q91" s="11">
        <f t="shared" si="15"/>
        <v>12</v>
      </c>
      <c r="R91" s="11">
        <f t="shared" si="16"/>
        <v>5</v>
      </c>
      <c r="S91" s="12" cm="1">
        <f t="array" ref="S91">INDEX('PatientFollowUp-ConceptMap-2'!$I$15:$N$124,Q91+1,R91)</f>
        <v>0</v>
      </c>
    </row>
    <row r="92" spans="2:19">
      <c r="B92" s="11"/>
      <c r="C92" s="11"/>
      <c r="D92" s="12"/>
      <c r="E92" s="12"/>
      <c r="F92" s="64"/>
      <c r="G92" s="124"/>
      <c r="P92" s="11">
        <v>78</v>
      </c>
      <c r="Q92" s="11">
        <f t="shared" si="15"/>
        <v>12</v>
      </c>
      <c r="R92" s="11">
        <f t="shared" si="16"/>
        <v>6</v>
      </c>
      <c r="S92" s="12" cm="1">
        <f t="array" ref="S92">INDEX('PatientFollowUp-ConceptMap-2'!$I$15:$N$124,Q92+1,R92)</f>
        <v>0</v>
      </c>
    </row>
    <row r="93" spans="2:19">
      <c r="B93" s="11"/>
      <c r="C93" s="11"/>
      <c r="D93" s="12"/>
      <c r="E93" s="12"/>
      <c r="F93" s="64"/>
      <c r="G93" s="124"/>
      <c r="P93" s="11">
        <v>79</v>
      </c>
      <c r="Q93" s="11">
        <f t="shared" si="15"/>
        <v>13</v>
      </c>
      <c r="R93" s="11">
        <f t="shared" si="16"/>
        <v>1</v>
      </c>
      <c r="S93" s="12" cm="1">
        <f t="array" ref="S93">INDEX('PatientFollowUp-ConceptMap-2'!$I$15:$N$124,Q93+1,R93)</f>
        <v>0</v>
      </c>
    </row>
    <row r="94" spans="2:19">
      <c r="B94" s="11"/>
      <c r="C94" s="11"/>
      <c r="D94" s="12"/>
      <c r="E94" s="12"/>
      <c r="F94" s="64"/>
      <c r="G94" s="124"/>
      <c r="P94" s="11">
        <v>80</v>
      </c>
      <c r="Q94" s="11">
        <f t="shared" si="15"/>
        <v>13</v>
      </c>
      <c r="R94" s="11">
        <f t="shared" si="16"/>
        <v>2</v>
      </c>
      <c r="S94" s="12" cm="1">
        <f t="array" ref="S94">INDEX('PatientFollowUp-ConceptMap-2'!$I$15:$N$124,Q94+1,R94)</f>
        <v>0</v>
      </c>
    </row>
    <row r="95" spans="2:19">
      <c r="B95" s="11"/>
      <c r="C95" s="11"/>
      <c r="D95" s="12"/>
      <c r="E95" s="12"/>
      <c r="F95" s="64"/>
      <c r="G95" s="124"/>
      <c r="P95" s="11">
        <v>81</v>
      </c>
      <c r="Q95" s="11">
        <f t="shared" si="15"/>
        <v>13</v>
      </c>
      <c r="R95" s="11">
        <f t="shared" si="16"/>
        <v>3</v>
      </c>
      <c r="S95" s="12" cm="1">
        <f t="array" ref="S95">INDEX('PatientFollowUp-ConceptMap-2'!$I$15:$N$124,Q95+1,R95)</f>
        <v>0</v>
      </c>
    </row>
    <row r="96" spans="2:19">
      <c r="B96" s="11"/>
      <c r="C96" s="11"/>
      <c r="D96" s="12"/>
      <c r="E96" s="12"/>
      <c r="F96" s="64"/>
      <c r="G96" s="124"/>
      <c r="P96" s="11">
        <v>82</v>
      </c>
      <c r="Q96" s="11">
        <f t="shared" si="15"/>
        <v>13</v>
      </c>
      <c r="R96" s="11">
        <f t="shared" si="16"/>
        <v>4</v>
      </c>
      <c r="S96" s="12" cm="1">
        <f t="array" ref="S96">INDEX('PatientFollowUp-ConceptMap-2'!$I$15:$N$124,Q96+1,R96)</f>
        <v>0</v>
      </c>
    </row>
    <row r="97" spans="2:19">
      <c r="B97" s="11"/>
      <c r="C97" s="11"/>
      <c r="D97" s="12"/>
      <c r="E97" s="12"/>
      <c r="F97" s="64"/>
      <c r="G97" s="124"/>
      <c r="P97" s="11">
        <v>83</v>
      </c>
      <c r="Q97" s="11">
        <f t="shared" si="15"/>
        <v>13</v>
      </c>
      <c r="R97" s="11">
        <f t="shared" si="16"/>
        <v>5</v>
      </c>
      <c r="S97" s="12" cm="1">
        <f t="array" ref="S97">INDEX('PatientFollowUp-ConceptMap-2'!$I$15:$N$124,Q97+1,R97)</f>
        <v>0</v>
      </c>
    </row>
    <row r="98" spans="2:19">
      <c r="B98" s="11"/>
      <c r="C98" s="11"/>
      <c r="D98" s="12"/>
      <c r="E98" s="12"/>
      <c r="F98" s="64"/>
      <c r="G98" s="124"/>
      <c r="P98" s="11">
        <v>84</v>
      </c>
      <c r="Q98" s="11">
        <f t="shared" si="15"/>
        <v>13</v>
      </c>
      <c r="R98" s="11">
        <f t="shared" si="16"/>
        <v>6</v>
      </c>
      <c r="S98" s="12" cm="1">
        <f t="array" ref="S98">INDEX('PatientFollowUp-ConceptMap-2'!$I$15:$N$124,Q98+1,R98)</f>
        <v>0</v>
      </c>
    </row>
    <row r="99" spans="2:19">
      <c r="B99" s="11"/>
      <c r="C99" s="11"/>
      <c r="D99" s="12"/>
      <c r="E99" s="12"/>
      <c r="F99" s="64"/>
      <c r="G99" s="124"/>
      <c r="P99" s="11">
        <v>85</v>
      </c>
      <c r="Q99" s="11">
        <f t="shared" si="15"/>
        <v>14</v>
      </c>
      <c r="R99" s="11">
        <f t="shared" si="16"/>
        <v>1</v>
      </c>
      <c r="S99" s="12" cm="1">
        <f t="array" ref="S99">INDEX('PatientFollowUp-ConceptMap-2'!$I$15:$N$124,Q99+1,R99)</f>
        <v>0</v>
      </c>
    </row>
    <row r="100" spans="2:19">
      <c r="B100" s="11"/>
      <c r="C100" s="11"/>
      <c r="D100" s="12"/>
      <c r="E100" s="12"/>
      <c r="F100" s="64"/>
      <c r="G100" s="124"/>
      <c r="P100" s="11">
        <v>86</v>
      </c>
      <c r="Q100" s="11">
        <f t="shared" si="15"/>
        <v>14</v>
      </c>
      <c r="R100" s="11">
        <f t="shared" si="16"/>
        <v>2</v>
      </c>
      <c r="S100" s="12" cm="1">
        <f t="array" ref="S100">INDEX('PatientFollowUp-ConceptMap-2'!$I$15:$N$124,Q100+1,R100)</f>
        <v>0</v>
      </c>
    </row>
    <row r="101" spans="2:19">
      <c r="B101" s="11"/>
      <c r="C101" s="11"/>
      <c r="D101" s="12"/>
      <c r="E101" s="12"/>
      <c r="F101" s="64"/>
      <c r="G101" s="124"/>
      <c r="P101" s="11">
        <v>87</v>
      </c>
      <c r="Q101" s="11">
        <f t="shared" si="15"/>
        <v>14</v>
      </c>
      <c r="R101" s="11">
        <f t="shared" si="16"/>
        <v>3</v>
      </c>
      <c r="S101" s="12" cm="1">
        <f t="array" ref="S101">INDEX('PatientFollowUp-ConceptMap-2'!$I$15:$N$124,Q101+1,R101)</f>
        <v>0</v>
      </c>
    </row>
    <row r="102" spans="2:19">
      <c r="B102" s="11"/>
      <c r="C102" s="11"/>
      <c r="D102" s="12"/>
      <c r="E102" s="12"/>
      <c r="F102" s="64"/>
      <c r="G102" s="124"/>
      <c r="P102" s="11">
        <v>88</v>
      </c>
      <c r="Q102" s="11">
        <f t="shared" si="15"/>
        <v>14</v>
      </c>
      <c r="R102" s="11">
        <f t="shared" si="16"/>
        <v>4</v>
      </c>
      <c r="S102" s="12" cm="1">
        <f t="array" ref="S102">INDEX('PatientFollowUp-ConceptMap-2'!$I$15:$N$124,Q102+1,R102)</f>
        <v>0</v>
      </c>
    </row>
    <row r="103" spans="2:19">
      <c r="B103" s="11"/>
      <c r="C103" s="11"/>
      <c r="D103" s="12"/>
      <c r="E103" s="12"/>
      <c r="F103" s="64"/>
      <c r="G103" s="124"/>
      <c r="P103" s="11">
        <v>89</v>
      </c>
      <c r="Q103" s="11">
        <f t="shared" si="15"/>
        <v>14</v>
      </c>
      <c r="R103" s="11">
        <f t="shared" si="16"/>
        <v>5</v>
      </c>
      <c r="S103" s="12" cm="1">
        <f t="array" ref="S103">INDEX('PatientFollowUp-ConceptMap-2'!$I$15:$N$124,Q103+1,R103)</f>
        <v>0</v>
      </c>
    </row>
    <row r="104" spans="2:19">
      <c r="B104" s="11"/>
      <c r="C104" s="11"/>
      <c r="D104" s="12"/>
      <c r="E104" s="12"/>
      <c r="F104" s="64"/>
      <c r="G104" s="124"/>
      <c r="P104" s="11">
        <v>90</v>
      </c>
      <c r="Q104" s="11">
        <f t="shared" si="15"/>
        <v>14</v>
      </c>
      <c r="R104" s="11">
        <f t="shared" si="16"/>
        <v>6</v>
      </c>
      <c r="S104" s="12" cm="1">
        <f t="array" ref="S104">INDEX('PatientFollowUp-ConceptMap-2'!$I$15:$N$124,Q104+1,R104)</f>
        <v>0</v>
      </c>
    </row>
    <row r="105" spans="2:19">
      <c r="B105" s="11"/>
      <c r="C105" s="11"/>
      <c r="D105" s="12"/>
      <c r="E105" s="12"/>
      <c r="F105" s="64"/>
      <c r="G105" s="124"/>
      <c r="P105" s="11">
        <v>91</v>
      </c>
      <c r="Q105" s="11">
        <f t="shared" si="15"/>
        <v>15</v>
      </c>
      <c r="R105" s="11">
        <f t="shared" si="16"/>
        <v>1</v>
      </c>
      <c r="S105" s="12" cm="1">
        <f t="array" ref="S105">INDEX('PatientFollowUp-ConceptMap-2'!$I$15:$N$124,Q105+1,R105)</f>
        <v>0</v>
      </c>
    </row>
    <row r="106" spans="2:19">
      <c r="B106" s="11"/>
      <c r="C106" s="11"/>
      <c r="D106" s="12"/>
      <c r="E106" s="12"/>
      <c r="F106" s="64"/>
      <c r="G106" s="124"/>
      <c r="P106" s="11">
        <v>92</v>
      </c>
      <c r="Q106" s="11">
        <f t="shared" si="15"/>
        <v>15</v>
      </c>
      <c r="R106" s="11">
        <f t="shared" si="16"/>
        <v>2</v>
      </c>
      <c r="S106" s="12" cm="1">
        <f t="array" ref="S106">INDEX('PatientFollowUp-ConceptMap-2'!$I$15:$N$124,Q106+1,R106)</f>
        <v>0</v>
      </c>
    </row>
    <row r="107" spans="2:19">
      <c r="B107" s="11"/>
      <c r="C107" s="11"/>
      <c r="D107" s="12"/>
      <c r="E107" s="12"/>
      <c r="F107" s="64"/>
      <c r="G107" s="124"/>
      <c r="P107" s="11">
        <v>93</v>
      </c>
      <c r="Q107" s="11">
        <f t="shared" si="15"/>
        <v>15</v>
      </c>
      <c r="R107" s="11">
        <f t="shared" si="16"/>
        <v>3</v>
      </c>
      <c r="S107" s="12" cm="1">
        <f t="array" ref="S107">INDEX('PatientFollowUp-ConceptMap-2'!$I$15:$N$124,Q107+1,R107)</f>
        <v>0</v>
      </c>
    </row>
    <row r="108" spans="2:19">
      <c r="B108" s="11"/>
      <c r="C108" s="11"/>
      <c r="D108" s="12"/>
      <c r="E108" s="12"/>
      <c r="F108" s="64"/>
      <c r="G108" s="124"/>
      <c r="P108" s="11">
        <v>94</v>
      </c>
      <c r="Q108" s="11">
        <f t="shared" si="15"/>
        <v>15</v>
      </c>
      <c r="R108" s="11">
        <f t="shared" si="16"/>
        <v>4</v>
      </c>
      <c r="S108" s="12" cm="1">
        <f t="array" ref="S108">INDEX('PatientFollowUp-ConceptMap-2'!$I$15:$N$124,Q108+1,R108)</f>
        <v>0</v>
      </c>
    </row>
    <row r="109" spans="2:19">
      <c r="B109" s="11"/>
      <c r="C109" s="11"/>
      <c r="D109" s="12"/>
      <c r="E109" s="12"/>
      <c r="F109" s="64"/>
      <c r="G109" s="124"/>
      <c r="P109" s="11">
        <v>95</v>
      </c>
      <c r="Q109" s="11">
        <f t="shared" si="15"/>
        <v>15</v>
      </c>
      <c r="R109" s="11">
        <f t="shared" si="16"/>
        <v>5</v>
      </c>
      <c r="S109" s="12" cm="1">
        <f t="array" ref="S109">INDEX('PatientFollowUp-ConceptMap-2'!$I$15:$N$124,Q109+1,R109)</f>
        <v>0</v>
      </c>
    </row>
    <row r="110" spans="2:19">
      <c r="B110" s="11"/>
      <c r="C110" s="11"/>
      <c r="D110" s="12"/>
      <c r="E110" s="12"/>
      <c r="F110" s="64"/>
      <c r="G110" s="124"/>
      <c r="P110" s="11">
        <v>96</v>
      </c>
      <c r="Q110" s="11">
        <f t="shared" si="15"/>
        <v>15</v>
      </c>
      <c r="R110" s="11">
        <f t="shared" si="16"/>
        <v>6</v>
      </c>
      <c r="S110" s="12" cm="1">
        <f t="array" ref="S110">INDEX('PatientFollowUp-ConceptMap-2'!$I$15:$N$124,Q110+1,R110)</f>
        <v>0</v>
      </c>
    </row>
    <row r="111" spans="2:19">
      <c r="B111" s="11"/>
      <c r="C111" s="11"/>
      <c r="D111" s="12"/>
      <c r="E111" s="12"/>
      <c r="F111" s="64"/>
      <c r="G111" s="124"/>
      <c r="P111" s="11">
        <v>97</v>
      </c>
      <c r="Q111" s="11">
        <f t="shared" si="15"/>
        <v>16</v>
      </c>
      <c r="R111" s="11">
        <f t="shared" si="16"/>
        <v>1</v>
      </c>
      <c r="S111" s="12" cm="1">
        <f t="array" ref="S111">INDEX('PatientFollowUp-ConceptMap-2'!$I$15:$N$124,Q111+1,R111)</f>
        <v>0</v>
      </c>
    </row>
    <row r="112" spans="2:19">
      <c r="B112" s="11"/>
      <c r="C112" s="11"/>
      <c r="D112" s="12"/>
      <c r="E112" s="12"/>
      <c r="F112" s="64"/>
      <c r="G112" s="124"/>
      <c r="P112" s="11">
        <v>98</v>
      </c>
      <c r="Q112" s="11">
        <f t="shared" si="15"/>
        <v>16</v>
      </c>
      <c r="R112" s="11">
        <f t="shared" si="16"/>
        <v>2</v>
      </c>
      <c r="S112" s="12" cm="1">
        <f t="array" ref="S112">INDEX('PatientFollowUp-ConceptMap-2'!$I$15:$N$124,Q112+1,R112)</f>
        <v>0</v>
      </c>
    </row>
    <row r="113" spans="2:19">
      <c r="B113" s="11"/>
      <c r="C113" s="11"/>
      <c r="D113" s="12"/>
      <c r="E113" s="12"/>
      <c r="F113" s="64"/>
      <c r="G113" s="124"/>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2302</v>
      </c>
    </row>
    <row r="3" spans="2:7">
      <c r="B3" s="24" t="s">
        <v>20</v>
      </c>
    </row>
    <row r="4" spans="2:7">
      <c r="B4" s="65" t="str">
        <f>"Instance: "&amp;'PatientFollowUp-ConceptMap-1'!C4</f>
        <v>Instance: followup2FHIR</v>
      </c>
    </row>
    <row r="5" spans="2:7">
      <c r="B5" s="65" t="s">
        <v>1447</v>
      </c>
    </row>
    <row r="6" spans="2:7">
      <c r="B6" s="65" t="s">
        <v>1438</v>
      </c>
    </row>
    <row r="7" spans="2:7">
      <c r="B7" s="65" t="s">
        <v>1793</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2"/>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2"/>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2373</v>
      </c>
      <c r="J4" s="16" t="str">
        <f>CONCATENATE("Logical: ",B4)</f>
        <v>Logical: TreatmentResponseI4rc</v>
      </c>
    </row>
    <row r="5" spans="1:12" ht="15.5" thickBot="1">
      <c r="A5" s="14" t="s">
        <v>16</v>
      </c>
      <c r="B5" s="45" t="s">
        <v>2304</v>
      </c>
      <c r="J5" s="16" t="str">
        <f>CONCATENATE("Id: ",B5)</f>
        <v>Id: TreatmentResponse</v>
      </c>
    </row>
    <row r="6" spans="1:12" ht="15.5" thickBot="1">
      <c r="A6" s="14" t="s">
        <v>10</v>
      </c>
      <c r="B6" s="45" t="s">
        <v>2306</v>
      </c>
      <c r="J6" s="17" t="str">
        <f>CONCATENATE("Title: ##34#",B6,"##34#")</f>
        <v>Title: ##34#Treatment Response##34#</v>
      </c>
    </row>
    <row r="7" spans="1:12">
      <c r="A7" s="26" t="s">
        <v>2</v>
      </c>
      <c r="B7" s="45" t="s">
        <v>2306</v>
      </c>
      <c r="C7" s="9" t="s">
        <v>3</v>
      </c>
      <c r="D7" s="1" t="s">
        <v>4</v>
      </c>
      <c r="E7" s="3" t="s">
        <v>5</v>
      </c>
      <c r="F7" s="3" t="s">
        <v>6</v>
      </c>
      <c r="G7" s="3" t="s">
        <v>7</v>
      </c>
      <c r="H7" s="105" t="s">
        <v>1610</v>
      </c>
      <c r="J7" s="17" t="str">
        <f>CONCATENATE("Description: "," ##334#",B7,"##334#",)</f>
        <v>Description:  ##334#Treatment Response##334#</v>
      </c>
    </row>
    <row r="8" spans="1:12" ht="59">
      <c r="A8" s="100">
        <v>0</v>
      </c>
      <c r="B8" s="11" t="s">
        <v>2307</v>
      </c>
      <c r="C8" s="11" t="s">
        <v>2308</v>
      </c>
      <c r="D8" s="11" t="s">
        <v>1946</v>
      </c>
      <c r="E8" s="11">
        <v>1</v>
      </c>
      <c r="F8" s="11">
        <v>1</v>
      </c>
      <c r="G8" s="119" t="s">
        <v>1990</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2305</v>
      </c>
      <c r="C9" s="11" t="s">
        <v>2057</v>
      </c>
      <c r="D9" s="11" t="s">
        <v>2309</v>
      </c>
      <c r="E9" s="11">
        <v>1</v>
      </c>
      <c r="F9" s="11">
        <v>1</v>
      </c>
      <c r="G9" s="120" t="s">
        <v>1781</v>
      </c>
      <c r="H9" s="12" t="s">
        <v>2310</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2314</v>
      </c>
      <c r="C10" s="11" t="s">
        <v>2311</v>
      </c>
      <c r="D10" s="11" t="s">
        <v>2312</v>
      </c>
      <c r="E10" s="11">
        <v>1</v>
      </c>
      <c r="F10" s="11">
        <v>1</v>
      </c>
      <c r="G10" s="11" t="s">
        <v>1781</v>
      </c>
      <c r="H10" s="12" t="s">
        <v>2313</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20"/>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2315</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2316</v>
      </c>
      <c r="D3" s="62" t="s">
        <v>1786</v>
      </c>
      <c r="E3" s="118" t="str">
        <f>$C$1&amp;B14</f>
        <v>http://hl7.eu/fhir/ig/idea4rc/StructureDefinition/TreatmentResponseI4rc</v>
      </c>
    </row>
    <row r="4" spans="1:19">
      <c r="B4" s="62" t="s">
        <v>16</v>
      </c>
      <c r="C4" s="28" t="s">
        <v>2316</v>
      </c>
      <c r="D4" s="62" t="s">
        <v>1787</v>
      </c>
      <c r="E4" s="168" t="s">
        <v>2267</v>
      </c>
      <c r="F4" s="169"/>
      <c r="G4" s="169"/>
    </row>
    <row r="5" spans="1:19">
      <c r="B5" s="62" t="s">
        <v>10</v>
      </c>
      <c r="C5" s="7" t="s">
        <v>2224</v>
      </c>
      <c r="D5" s="62"/>
      <c r="E5" s="7"/>
    </row>
    <row r="6" spans="1:19">
      <c r="B6" s="62" t="s">
        <v>18</v>
      </c>
      <c r="C6" s="56"/>
      <c r="D6" s="62" t="s">
        <v>1788</v>
      </c>
      <c r="E6" s="168" t="str">
        <f>E3</f>
        <v>http://hl7.eu/fhir/ig/idea4rc/StructureDefinition/TreatmentResponseI4rc</v>
      </c>
      <c r="F6" s="169"/>
      <c r="G6" s="169"/>
    </row>
    <row r="7" spans="1:19">
      <c r="B7" s="62" t="s">
        <v>15</v>
      </c>
      <c r="C7" s="119"/>
      <c r="D7" s="62" t="s">
        <v>1789</v>
      </c>
      <c r="E7" s="168" t="str">
        <f>E4</f>
        <v>http://hl7.eu/fhir/ig/idea4rc/StructureDefinition/Procedure-radiotheraphy-eu-i4rc</v>
      </c>
      <c r="F7" s="169"/>
      <c r="G7" s="169"/>
    </row>
    <row r="8" spans="1:19" ht="45" thickBot="1">
      <c r="B8" s="62" t="s">
        <v>1790</v>
      </c>
      <c r="C8" s="7" t="s">
        <v>2224</v>
      </c>
      <c r="D8" s="62"/>
      <c r="E8" s="7"/>
      <c r="I8" s="12" t="s">
        <v>1402</v>
      </c>
      <c r="J8" s="12" t="s">
        <v>1403</v>
      </c>
      <c r="K8" s="12" t="s">
        <v>1404</v>
      </c>
      <c r="L8" s="12" t="s">
        <v>1405</v>
      </c>
      <c r="M8" s="11" t="s">
        <v>1406</v>
      </c>
      <c r="P8" s="49" t="s">
        <v>1441</v>
      </c>
      <c r="Q8" s="49">
        <v>6</v>
      </c>
    </row>
    <row r="9" spans="1:19" ht="30.25" thickBot="1">
      <c r="B9" s="62" t="s">
        <v>1791</v>
      </c>
      <c r="C9" s="12" t="s">
        <v>2225</v>
      </c>
      <c r="D9" s="144"/>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2207</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4"/>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4"/>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4"/>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4"/>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4"/>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4"/>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4"/>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4"/>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4"/>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4"/>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4"/>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4"/>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4"/>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4"/>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4"/>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4"/>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4"/>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4"/>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4"/>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4"/>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4"/>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4"/>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4"/>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4"/>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4"/>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4"/>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4"/>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4"/>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4"/>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4"/>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4"/>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4"/>
      <c r="P50" s="11">
        <v>36</v>
      </c>
      <c r="Q50" s="11">
        <f t="shared" si="5"/>
        <v>5</v>
      </c>
      <c r="R50" s="11">
        <f t="shared" si="6"/>
        <v>6</v>
      </c>
      <c r="S50" s="12" t="str" cm="1">
        <f t="array" ref="S50">INDEX('TreatmentRespon-ConceptMap-1'!$I$15:$N$124,Q50+1,R50)</f>
        <v/>
      </c>
    </row>
    <row r="51" spans="2:19">
      <c r="B51" s="11"/>
      <c r="C51" s="11"/>
      <c r="D51" s="12"/>
      <c r="E51" s="12"/>
      <c r="F51" s="64"/>
      <c r="G51" s="124"/>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4"/>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4"/>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4"/>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4"/>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4"/>
      <c r="P56" s="11">
        <v>42</v>
      </c>
      <c r="Q56" s="11">
        <f t="shared" si="5"/>
        <v>6</v>
      </c>
      <c r="R56" s="11">
        <f t="shared" si="6"/>
        <v>6</v>
      </c>
      <c r="S56" s="12" t="str" cm="1">
        <f t="array" ref="S56">INDEX('TreatmentRespon-ConceptMap-1'!$I$15:$N$124,Q56+1,R56)</f>
        <v/>
      </c>
    </row>
    <row r="57" spans="2:19">
      <c r="B57" s="11"/>
      <c r="C57" s="11"/>
      <c r="D57" s="12"/>
      <c r="E57" s="12"/>
      <c r="F57" s="64"/>
      <c r="G57" s="124"/>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4"/>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4"/>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4"/>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4"/>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4"/>
      <c r="P62" s="11">
        <v>48</v>
      </c>
      <c r="Q62" s="11">
        <f t="shared" si="5"/>
        <v>7</v>
      </c>
      <c r="R62" s="11">
        <f t="shared" si="6"/>
        <v>6</v>
      </c>
      <c r="S62" s="12" t="str" cm="1">
        <f t="array" ref="S62">INDEX('TreatmentRespon-ConceptMap-1'!$I$15:$N$124,Q62+1,R62)</f>
        <v/>
      </c>
    </row>
    <row r="63" spans="2:19">
      <c r="B63" s="11"/>
      <c r="C63" s="11"/>
      <c r="D63" s="12"/>
      <c r="E63" s="12"/>
      <c r="F63" s="64"/>
      <c r="G63" s="124"/>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4"/>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4"/>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4"/>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4"/>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4"/>
      <c r="P68" s="11">
        <v>54</v>
      </c>
      <c r="Q68" s="11">
        <f t="shared" si="5"/>
        <v>8</v>
      </c>
      <c r="R68" s="11">
        <f t="shared" si="6"/>
        <v>6</v>
      </c>
      <c r="S68" s="12" t="str" cm="1">
        <f t="array" ref="S68">INDEX('TreatmentRespon-ConceptMap-1'!$I$15:$N$124,Q68+1,R68)</f>
        <v/>
      </c>
    </row>
    <row r="69" spans="2:19">
      <c r="B69" s="11"/>
      <c r="C69" s="11"/>
      <c r="D69" s="12"/>
      <c r="E69" s="12"/>
      <c r="F69" s="64"/>
      <c r="G69" s="124"/>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4"/>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4"/>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4"/>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4"/>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4"/>
      <c r="P74" s="11">
        <v>60</v>
      </c>
      <c r="Q74" s="11">
        <f t="shared" si="5"/>
        <v>9</v>
      </c>
      <c r="R74" s="11">
        <f t="shared" si="6"/>
        <v>6</v>
      </c>
      <c r="S74" s="12" t="str" cm="1">
        <f t="array" ref="S74">INDEX('TreatmentRespon-ConceptMap-1'!$I$15:$N$124,Q74+1,R74)</f>
        <v/>
      </c>
    </row>
    <row r="75" spans="2:19">
      <c r="B75" s="11"/>
      <c r="C75" s="11"/>
      <c r="D75" s="12"/>
      <c r="E75" s="12"/>
      <c r="F75" s="64"/>
      <c r="G75" s="124"/>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4"/>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4"/>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4"/>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4"/>
      <c r="P80" s="11">
        <v>66</v>
      </c>
      <c r="Q80" s="11">
        <f t="shared" si="9"/>
        <v>10</v>
      </c>
      <c r="R80" s="11">
        <f t="shared" si="10"/>
        <v>6</v>
      </c>
      <c r="S80" s="12" t="str" cm="1">
        <f t="array" ref="S80">INDEX('TreatmentRespon-ConceptMap-1'!$I$15:$N$124,Q80+1,R80)</f>
        <v/>
      </c>
    </row>
    <row r="81" spans="2:19">
      <c r="B81" s="11"/>
      <c r="C81" s="11"/>
      <c r="D81" s="12"/>
      <c r="E81" s="12"/>
      <c r="F81" s="64"/>
      <c r="G81" s="124"/>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4"/>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4"/>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4"/>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4"/>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4"/>
      <c r="P86" s="11">
        <v>72</v>
      </c>
      <c r="Q86" s="11">
        <f t="shared" si="9"/>
        <v>11</v>
      </c>
      <c r="R86" s="11">
        <f t="shared" si="10"/>
        <v>6</v>
      </c>
      <c r="S86" s="12" t="str" cm="1">
        <f t="array" ref="S86">INDEX('TreatmentRespon-ConceptMap-1'!$I$15:$N$124,Q86+1,R86)</f>
        <v/>
      </c>
    </row>
    <row r="87" spans="2:19">
      <c r="B87" s="11"/>
      <c r="C87" s="11"/>
      <c r="D87" s="12"/>
      <c r="E87" s="12"/>
      <c r="F87" s="64"/>
      <c r="G87" s="124"/>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4"/>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4"/>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4"/>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4"/>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4"/>
      <c r="P92" s="11">
        <v>78</v>
      </c>
      <c r="Q92" s="11">
        <f t="shared" si="9"/>
        <v>12</v>
      </c>
      <c r="R92" s="11">
        <f t="shared" si="10"/>
        <v>6</v>
      </c>
      <c r="S92" s="12" t="str" cm="1">
        <f t="array" ref="S92">INDEX('TreatmentRespon-ConceptMap-1'!$I$15:$N$124,Q92+1,R92)</f>
        <v/>
      </c>
    </row>
    <row r="93" spans="2:19">
      <c r="B93" s="11"/>
      <c r="C93" s="11"/>
      <c r="D93" s="12"/>
      <c r="E93" s="12"/>
      <c r="F93" s="64"/>
      <c r="G93" s="124"/>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4"/>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4"/>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4"/>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4"/>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4"/>
      <c r="P98" s="11">
        <v>84</v>
      </c>
      <c r="Q98" s="11">
        <f t="shared" si="9"/>
        <v>13</v>
      </c>
      <c r="R98" s="11">
        <f t="shared" si="10"/>
        <v>6</v>
      </c>
      <c r="S98" s="12" t="str" cm="1">
        <f t="array" ref="S98">INDEX('TreatmentRespon-ConceptMap-1'!$I$15:$N$124,Q98+1,R98)</f>
        <v/>
      </c>
    </row>
    <row r="99" spans="2:19">
      <c r="B99" s="11"/>
      <c r="C99" s="11"/>
      <c r="D99" s="12"/>
      <c r="E99" s="12"/>
      <c r="F99" s="64"/>
      <c r="G99" s="124"/>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4"/>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INDEX('TreatmentRespon-ConceptMap-1'!$I$15:$N$124,Q104+1,R104)</f>
        <v/>
      </c>
    </row>
    <row r="105" spans="2:19">
      <c r="B105" s="11"/>
      <c r="C105" s="11"/>
      <c r="D105" s="12"/>
      <c r="E105" s="12"/>
      <c r="F105" s="64"/>
      <c r="G105" s="124"/>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4"/>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INDEX('TreatmentRespon-ConceptMap-1'!$I$15:$N$124,Q110+1,R110)</f>
        <v/>
      </c>
    </row>
    <row r="111" spans="2:19">
      <c r="B111" s="11"/>
      <c r="C111" s="11"/>
      <c r="D111" s="12"/>
      <c r="E111" s="12"/>
      <c r="F111" s="64"/>
      <c r="G111" s="124"/>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4"/>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2317</v>
      </c>
    </row>
    <row r="3" spans="2:7">
      <c r="B3" s="24" t="s">
        <v>20</v>
      </c>
    </row>
    <row r="4" spans="2:7">
      <c r="B4" s="65" t="str">
        <f>"Instance: "&amp;'TreatmentRespon-ConceptMap-1'!C4</f>
        <v>Instance: treatmentResponse2FHIR</v>
      </c>
    </row>
    <row r="5" spans="2:7">
      <c r="B5" s="65" t="s">
        <v>1447</v>
      </c>
    </row>
    <row r="6" spans="2:7">
      <c r="B6" s="65" t="s">
        <v>1438</v>
      </c>
    </row>
    <row r="7" spans="2:7">
      <c r="B7" s="65" t="s">
        <v>1793</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2"/>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2371</v>
      </c>
      <c r="J4" s="16" t="str">
        <f>CONCATENATE("Logical: ",B4)</f>
        <v>Logical: AdverseEventI4rc</v>
      </c>
    </row>
    <row r="5" spans="1:12" ht="15.5" thickBot="1">
      <c r="A5" s="14" t="s">
        <v>16</v>
      </c>
      <c r="B5" s="45" t="s">
        <v>553</v>
      </c>
      <c r="J5" s="16" t="str">
        <f>CONCATENATE("Id: ",B5)</f>
        <v>Id: AdverseEvent</v>
      </c>
    </row>
    <row r="6" spans="1:12" ht="15.5" thickBot="1">
      <c r="A6" s="14" t="s">
        <v>10</v>
      </c>
      <c r="B6" s="45" t="s">
        <v>2331</v>
      </c>
      <c r="J6" s="17" t="str">
        <f>CONCATENATE("Title: ##34#",B6,"##34#")</f>
        <v>Title: ##34#Adverse Event##34#</v>
      </c>
    </row>
    <row r="7" spans="1:12">
      <c r="A7" s="26" t="s">
        <v>2</v>
      </c>
      <c r="B7" s="45" t="s">
        <v>2331</v>
      </c>
      <c r="C7" s="9" t="s">
        <v>3</v>
      </c>
      <c r="D7" s="1" t="s">
        <v>4</v>
      </c>
      <c r="E7" s="3" t="s">
        <v>5</v>
      </c>
      <c r="F7" s="3" t="s">
        <v>6</v>
      </c>
      <c r="G7" s="3" t="s">
        <v>7</v>
      </c>
      <c r="H7" s="105" t="s">
        <v>1610</v>
      </c>
      <c r="J7" s="17" t="str">
        <f>CONCATENATE("Description: "," ##334#",B7,"##334#",)</f>
        <v>Description:  ##334#Adverse Event##334#</v>
      </c>
    </row>
    <row r="8" spans="1:12" ht="59">
      <c r="A8" s="100">
        <v>0</v>
      </c>
      <c r="B8" s="11" t="s">
        <v>1938</v>
      </c>
      <c r="C8" s="11" t="s">
        <v>2041</v>
      </c>
      <c r="D8" s="11" t="s">
        <v>1897</v>
      </c>
      <c r="E8" s="11">
        <v>1</v>
      </c>
      <c r="F8" s="11">
        <v>1</v>
      </c>
      <c r="G8" s="11" t="s">
        <v>1994</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2332</v>
      </c>
      <c r="C9" s="11" t="s">
        <v>2318</v>
      </c>
      <c r="D9" s="11" t="s">
        <v>2319</v>
      </c>
      <c r="E9" s="11">
        <v>1</v>
      </c>
      <c r="F9" s="11">
        <v>1</v>
      </c>
      <c r="G9" s="11" t="s">
        <v>1781</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2320</v>
      </c>
      <c r="C10" s="11" t="s">
        <v>2321</v>
      </c>
      <c r="D10" s="11" t="s">
        <v>2322</v>
      </c>
      <c r="E10" s="11">
        <v>1</v>
      </c>
      <c r="F10" s="11">
        <v>1</v>
      </c>
      <c r="G10" s="6" t="s">
        <v>1781</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2333</v>
      </c>
      <c r="C11" s="11" t="s">
        <v>2323</v>
      </c>
      <c r="D11" s="11" t="s">
        <v>2324</v>
      </c>
      <c r="E11" s="11">
        <v>1</v>
      </c>
      <c r="F11" s="11">
        <v>1</v>
      </c>
      <c r="G11" s="6" t="s">
        <v>2336</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2334</v>
      </c>
      <c r="C12" s="11" t="s">
        <v>2325</v>
      </c>
      <c r="D12" s="11" t="s">
        <v>2326</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2335</v>
      </c>
      <c r="C13" s="11" t="s">
        <v>2327</v>
      </c>
      <c r="D13" s="11" t="s">
        <v>2328</v>
      </c>
      <c r="E13" s="11">
        <v>1</v>
      </c>
      <c r="F13" s="11">
        <v>1</v>
      </c>
      <c r="G13" s="11" t="s">
        <v>1781</v>
      </c>
      <c r="H13" s="103" t="s">
        <v>2329</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2330</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5" customWidth="1"/>
    <col min="7" max="7" width="29.54296875" customWidth="1"/>
    <col min="8" max="8" width="54.90625" customWidth="1"/>
  </cols>
  <sheetData>
    <row r="1" spans="1:7" ht="15.5" thickBot="1">
      <c r="C1" s="153" t="str">
        <f>AdverseEvent!J1</f>
        <v>//===================================================</v>
      </c>
    </row>
    <row r="2" spans="1:7" ht="16.75" thickBot="1">
      <c r="C2" s="24" t="str">
        <f>AdverseEvent!J2</f>
        <v>//  Logical Model</v>
      </c>
      <c r="G2" s="29" t="s">
        <v>2337</v>
      </c>
    </row>
    <row r="3" spans="1:7">
      <c r="C3" s="24" t="str">
        <f>AdverseEvent!J3</f>
        <v>//===================================================</v>
      </c>
    </row>
    <row r="4" spans="1:7">
      <c r="C4" s="154" t="str">
        <f>AdverseEvent!J4</f>
        <v>Logical: AdverseEventI4rc</v>
      </c>
    </row>
    <row r="5" spans="1:7">
      <c r="C5" s="154" t="str">
        <f>AdverseEvent!J5</f>
        <v>Id: AdverseEvent</v>
      </c>
    </row>
    <row r="6" spans="1:7">
      <c r="C6" s="154" t="str">
        <f>AdverseEvent!J6</f>
        <v>Title: ##34#Adverse Event##34#</v>
      </c>
    </row>
    <row r="7" spans="1:7">
      <c r="C7" s="154" t="str">
        <f>AdverseEvent!J7</f>
        <v>Description:  ##334#Adverse Event##334#</v>
      </c>
    </row>
    <row r="8" spans="1:7" ht="29.5">
      <c r="A8" s="156"/>
      <c r="C8" s="155" t="str">
        <f>IF(AdverseEvent!J8="*  ..  ##34###34# ##334###334#","//--- END",AdverseEvent!J8)</f>
        <v>* episodeEventReference 1..1 http://hl7.eu/fhir/ig/idea4rc/StructureDefinition/EpisodeEvent ##34#Episode Event reference##34# ##334#EpisodeEvent element containing the data regarding the patient's cancer##334#</v>
      </c>
    </row>
    <row r="9" spans="1:7" ht="29.5">
      <c r="A9" s="156"/>
      <c r="C9" s="155"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6"/>
      <c r="C10" s="155" t="str">
        <f>IF(AdverseEvent!J10="*  ..  ##34###34# ##334###334#","//--- END",AdverseEvent!J10)</f>
        <v>* occurredAt 1..1 CodeableConcept ##34#Occurred at##34# ##334#specifies which phase (baseline, progression) of the disease the adverse event is related to##334#</v>
      </c>
    </row>
    <row r="11" spans="1:7" ht="29.5">
      <c r="C11" s="155" t="str">
        <f>IF(AdverseEvent!J11="*  ..  ##34###34# ##334###334#","//--- END",AdverseEvent!J11)</f>
        <v>* relatedTo 1..1 Reference ##34#Adverse event related to##34# ##334#specifies which treatment the adverse event is related to##334#</v>
      </c>
    </row>
    <row r="12" spans="1:7">
      <c r="C12" s="155" t="str">
        <f>IF(AdverseEvent!J12="*  ..  ##34###34# ##334###334#","//--- END",AdverseEvent!J12)</f>
        <v>* eventStartingDate 1..1 date ##34#Adverse event starting date  ##34# ##334#specifies when adverse events begins##334#</v>
      </c>
    </row>
    <row r="13" spans="1:7" ht="29.5">
      <c r="C13" s="155" t="str">
        <f>IF(AdverseEvent!J13="*  ..  ##34###34# ##334###334#","//--- END",AdverseEvent!J13)</f>
        <v>* eventDuration 1..1 CodeableConcept ##34#Adverse event duration##34# ##334#specifies the duration of the adverse event##334#</v>
      </c>
    </row>
    <row r="14" spans="1:7">
      <c r="C14" s="155" t="str">
        <f>IF(AdverseEvent!J14="*  ..  ##34###34# ##334###334#","//--- END",AdverseEvent!J14)</f>
        <v>* referstothepatientsfirstadverseevent 1..1 BackboneElement ##34#M##34# ##334#M##334#</v>
      </c>
    </row>
    <row r="15" spans="1:7">
      <c r="C15" s="155" t="str">
        <f>IF(AdverseEvent!J15="*  ..  ##34###34# ##334###334#","//--- END",AdverseEvent!J15)</f>
        <v>//--- END</v>
      </c>
    </row>
    <row r="16" spans="1:7">
      <c r="C16" s="155" t="str">
        <f>IF(AdverseEvent!J16="*  ..  ##34###34# ##334###334#","//--- END",AdverseEvent!J16)</f>
        <v>//--- END</v>
      </c>
    </row>
    <row r="17" spans="3:3">
      <c r="C17" s="155" t="str">
        <f>IF(AdverseEvent!J17="*  ..  ##34###34# ##334###334#","//--- END",AdverseEvent!J17)</f>
        <v>//--- END</v>
      </c>
    </row>
    <row r="18" spans="3:3">
      <c r="C18" s="155" t="str">
        <f>IF(AdverseEvent!J18="*  ..  ##34###34# ##334###334#","//--- END",AdverseEvent!J18)</f>
        <v>//--- END</v>
      </c>
    </row>
    <row r="19" spans="3:3">
      <c r="C19" s="155" t="str">
        <f>IF(AdverseEvent!J19="*  ..  ##34###34# ##334###334#","//--- END",AdverseEvent!J19)</f>
        <v>//--- END</v>
      </c>
    </row>
    <row r="20" spans="3:3">
      <c r="C20" s="155" t="str">
        <f>IF(AdverseEvent!J20="*  ..  ##34###34# ##334###334#","//--- END",AdverseEvent!J20)</f>
        <v>//--- END</v>
      </c>
    </row>
    <row r="21" spans="3:3">
      <c r="C21" s="155" t="str">
        <f>IF(AdverseEvent!J21="*  ..  ##34###34# ##334###334#","//--- END",AdverseEvent!J21)</f>
        <v>//--- END</v>
      </c>
    </row>
    <row r="22" spans="3:3">
      <c r="C22" s="155" t="str">
        <f>IF(AdverseEvent!J22="*  ..  ##34###34# ##334###334#","//--- END",AdverseEvent!J22)</f>
        <v>//--- END</v>
      </c>
    </row>
    <row r="23" spans="3:3">
      <c r="C23" s="155" t="str">
        <f>IF(AdverseEvent!J23="*  ..  ##34###34# ##334###334#","//--- END",AdverseEvent!J23)</f>
        <v>//--- END</v>
      </c>
    </row>
    <row r="24" spans="3:3">
      <c r="C24" s="155" t="str">
        <f>IF(AdverseEvent!J24="*  ..  ##34###34# ##334###334#","//--- END",AdverseEvent!J24)</f>
        <v>//--- END</v>
      </c>
    </row>
    <row r="31" spans="3:3">
      <c r="C31" s="153" t="s">
        <v>1613</v>
      </c>
    </row>
    <row r="32" spans="3:3">
      <c r="C32" s="24" t="s">
        <v>1651</v>
      </c>
    </row>
    <row r="33" spans="3:3">
      <c r="C33" s="24" t="s">
        <v>1613</v>
      </c>
    </row>
    <row r="34" spans="3:3">
      <c r="C34" s="155" t="str">
        <f>IF(AdverseEvent!L8="*  ..  ##34###34# ##334###334#","//--- END",AdverseEvent!L8)</f>
        <v/>
      </c>
    </row>
    <row r="35" spans="3:3">
      <c r="C35" s="155" t="str">
        <f>IF(AdverseEvent!L9="*  ..  ##34###34# ##334###334#","//--- END",AdverseEvent!L9)</f>
        <v/>
      </c>
    </row>
    <row r="36" spans="3:3">
      <c r="C36" s="155" t="str">
        <f>IF(AdverseEvent!L10="*  ..  ##34###34# ##334###334#","//--- END",AdverseEvent!L10)</f>
        <v/>
      </c>
    </row>
    <row r="37" spans="3:3">
      <c r="C37" s="155" t="str">
        <f>IF(AdverseEvent!L11="*  ..  ##34###34# ##334###334#","//--- END",AdverseEvent!L11)</f>
        <v/>
      </c>
    </row>
    <row r="38" spans="3:3">
      <c r="C38" s="155" t="str">
        <f>IF(AdverseEvent!L12="*  ..  ##34###34# ##334###334#","//--- END",AdverseEvent!L12)</f>
        <v/>
      </c>
    </row>
    <row r="39" spans="3:3" ht="44.25">
      <c r="C39" s="155" t="str">
        <f>IF(AdverseEvent!L13="*  ..  ##34###34# ##334###334#","//--- END",AdverseEvent!L13)</f>
        <v>* eventDuration ^comment = ##334#Less than one week; More than one week but  less than a month; More than a month but less than 3 months; More than 3 months; Unknown.
Custom##334#</v>
      </c>
    </row>
    <row r="40" spans="3:3">
      <c r="C40" s="155" t="str">
        <f>IF(AdverseEvent!L14="*  ..  ##34###34# ##334###334#","//--- END",AdverseEvent!L14)</f>
        <v/>
      </c>
    </row>
    <row r="41" spans="3:3">
      <c r="C41" s="155" t="str">
        <f>IF(AdverseEvent!L15="*  ..  ##34###34# ##334###334#","//--- END",AdverseEvent!L15)</f>
        <v>//--- END</v>
      </c>
    </row>
    <row r="42" spans="3:3">
      <c r="C42" s="155" t="str">
        <f>IF(AdverseEvent!L16="*  ..  ##34###34# ##334###334#","//--- END",AdverseEvent!L16)</f>
        <v>//--- END</v>
      </c>
    </row>
    <row r="43" spans="3:3">
      <c r="C43" s="155"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2316</v>
      </c>
      <c r="D3" s="62" t="s">
        <v>1786</v>
      </c>
      <c r="E3" s="118" t="str">
        <f>$C$1&amp;B14</f>
        <v>http://hl7.eu/fhir/ig/idea4rc/StructureDefinition/AdverseEventI4rc</v>
      </c>
    </row>
    <row r="4" spans="1:19">
      <c r="B4" s="62" t="s">
        <v>16</v>
      </c>
      <c r="C4" s="28" t="s">
        <v>2316</v>
      </c>
      <c r="D4" s="62" t="s">
        <v>1787</v>
      </c>
      <c r="E4" s="168" t="s">
        <v>2267</v>
      </c>
      <c r="F4" s="169"/>
      <c r="G4" s="169"/>
    </row>
    <row r="5" spans="1:19">
      <c r="B5" s="62" t="s">
        <v>10</v>
      </c>
      <c r="C5" s="7" t="s">
        <v>2224</v>
      </c>
      <c r="D5" s="62"/>
      <c r="E5" s="7"/>
    </row>
    <row r="6" spans="1:19">
      <c r="B6" s="62" t="s">
        <v>18</v>
      </c>
      <c r="C6" s="56"/>
      <c r="D6" s="62" t="s">
        <v>1788</v>
      </c>
      <c r="E6" s="168" t="str">
        <f>E3</f>
        <v>http://hl7.eu/fhir/ig/idea4rc/StructureDefinition/AdverseEventI4rc</v>
      </c>
      <c r="F6" s="169"/>
      <c r="G6" s="169"/>
    </row>
    <row r="7" spans="1:19">
      <c r="B7" s="62" t="s">
        <v>15</v>
      </c>
      <c r="C7" s="119"/>
      <c r="D7" s="62" t="s">
        <v>1789</v>
      </c>
      <c r="E7" s="168" t="str">
        <f>E4</f>
        <v>http://hl7.eu/fhir/ig/idea4rc/StructureDefinition/Procedure-radiotheraphy-eu-i4rc</v>
      </c>
      <c r="F7" s="169"/>
      <c r="G7" s="169"/>
    </row>
    <row r="8" spans="1:19" ht="45" thickBot="1">
      <c r="B8" s="62" t="s">
        <v>1790</v>
      </c>
      <c r="C8" s="7" t="s">
        <v>2224</v>
      </c>
      <c r="D8" s="62"/>
      <c r="E8" s="7"/>
      <c r="I8" s="12" t="s">
        <v>1402</v>
      </c>
      <c r="J8" s="12" t="s">
        <v>1403</v>
      </c>
      <c r="K8" s="12" t="s">
        <v>1404</v>
      </c>
      <c r="L8" s="12" t="s">
        <v>1405</v>
      </c>
      <c r="M8" s="11" t="s">
        <v>1406</v>
      </c>
      <c r="P8" s="49" t="s">
        <v>1441</v>
      </c>
      <c r="Q8" s="49">
        <v>6</v>
      </c>
    </row>
    <row r="9" spans="1:19" ht="30.25" thickBot="1">
      <c r="B9" s="62" t="s">
        <v>1791</v>
      </c>
      <c r="C9" s="12" t="s">
        <v>2225</v>
      </c>
      <c r="D9" s="144"/>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2207</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4"/>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4"/>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4"/>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4"/>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4"/>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4"/>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4"/>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4"/>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4"/>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4"/>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4"/>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4"/>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4"/>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4"/>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4"/>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4"/>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4"/>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4"/>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4"/>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4"/>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4"/>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4"/>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4"/>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4"/>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4"/>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4"/>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4"/>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4"/>
      <c r="P46" s="11">
        <v>32</v>
      </c>
      <c r="Q46" s="11">
        <f t="shared" si="5"/>
        <v>5</v>
      </c>
      <c r="R46" s="11">
        <f t="shared" si="6"/>
        <v>2</v>
      </c>
      <c r="S46" s="12" t="str" cm="1">
        <f t="array" ref="S46">INDEX('AdverseEvent-ConceptMap-1'!$I$15:$N$124,Q46+1,R46)</f>
        <v>* group[=].element[=].display = ##34###34#</v>
      </c>
    </row>
    <row r="47" spans="1:19">
      <c r="B47" s="11"/>
      <c r="C47" s="11"/>
      <c r="D47" s="12"/>
      <c r="E47" s="12"/>
      <c r="F47" s="64"/>
      <c r="G47" s="124"/>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4"/>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4"/>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4"/>
      <c r="P50" s="11">
        <v>36</v>
      </c>
      <c r="Q50" s="11">
        <f t="shared" si="5"/>
        <v>5</v>
      </c>
      <c r="R50" s="11">
        <f t="shared" si="6"/>
        <v>6</v>
      </c>
      <c r="S50" s="12" t="str" cm="1">
        <f t="array" ref="S50">INDEX('AdverseEvent-ConceptMap-1'!$I$15:$N$124,Q50+1,R50)</f>
        <v/>
      </c>
    </row>
    <row r="51" spans="2:19">
      <c r="B51" s="11"/>
      <c r="C51" s="11"/>
      <c r="D51" s="12"/>
      <c r="E51" s="12"/>
      <c r="F51" s="64"/>
      <c r="G51" s="124"/>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4"/>
      <c r="P52" s="11">
        <v>38</v>
      </c>
      <c r="Q52" s="11">
        <f t="shared" si="5"/>
        <v>6</v>
      </c>
      <c r="R52" s="11">
        <f t="shared" si="6"/>
        <v>2</v>
      </c>
      <c r="S52" s="12" t="str" cm="1">
        <f t="array" ref="S52">INDEX('AdverseEvent-ConceptMap-1'!$I$15:$N$124,Q52+1,R52)</f>
        <v>* group[=].element[=].display = ##34###34#</v>
      </c>
    </row>
    <row r="53" spans="2:19">
      <c r="B53" s="11"/>
      <c r="C53" s="11"/>
      <c r="D53" s="12"/>
      <c r="E53" s="12"/>
      <c r="F53" s="64"/>
      <c r="G53" s="124"/>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4"/>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4"/>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4"/>
      <c r="P56" s="11">
        <v>42</v>
      </c>
      <c r="Q56" s="11">
        <f t="shared" si="5"/>
        <v>6</v>
      </c>
      <c r="R56" s="11">
        <f t="shared" si="6"/>
        <v>6</v>
      </c>
      <c r="S56" s="12" t="str" cm="1">
        <f t="array" ref="S56">INDEX('AdverseEvent-ConceptMap-1'!$I$15:$N$124,Q56+1,R56)</f>
        <v/>
      </c>
    </row>
    <row r="57" spans="2:19">
      <c r="B57" s="11"/>
      <c r="C57" s="11"/>
      <c r="D57" s="12"/>
      <c r="E57" s="12"/>
      <c r="F57" s="64"/>
      <c r="G57" s="124"/>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4"/>
      <c r="P58" s="11">
        <v>44</v>
      </c>
      <c r="Q58" s="11">
        <f t="shared" si="5"/>
        <v>7</v>
      </c>
      <c r="R58" s="11">
        <f t="shared" si="6"/>
        <v>2</v>
      </c>
      <c r="S58" s="12" t="str" cm="1">
        <f t="array" ref="S58">INDEX('AdverseEvent-ConceptMap-1'!$I$15:$N$124,Q58+1,R58)</f>
        <v>* group[=].element[=].display = ##34###34#</v>
      </c>
    </row>
    <row r="59" spans="2:19">
      <c r="B59" s="11"/>
      <c r="C59" s="11"/>
      <c r="D59" s="12"/>
      <c r="E59" s="12"/>
      <c r="F59" s="64"/>
      <c r="G59" s="124"/>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4"/>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4"/>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4"/>
      <c r="P62" s="11">
        <v>48</v>
      </c>
      <c r="Q62" s="11">
        <f t="shared" si="5"/>
        <v>7</v>
      </c>
      <c r="R62" s="11">
        <f t="shared" si="6"/>
        <v>6</v>
      </c>
      <c r="S62" s="12" t="str" cm="1">
        <f t="array" ref="S62">INDEX('AdverseEvent-ConceptMap-1'!$I$15:$N$124,Q62+1,R62)</f>
        <v/>
      </c>
    </row>
    <row r="63" spans="2:19">
      <c r="B63" s="11"/>
      <c r="C63" s="11"/>
      <c r="D63" s="12"/>
      <c r="E63" s="12"/>
      <c r="F63" s="64"/>
      <c r="G63" s="124"/>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4"/>
      <c r="P64" s="11">
        <v>50</v>
      </c>
      <c r="Q64" s="11">
        <f t="shared" si="5"/>
        <v>8</v>
      </c>
      <c r="R64" s="11">
        <f t="shared" si="6"/>
        <v>2</v>
      </c>
      <c r="S64" s="12" t="str" cm="1">
        <f t="array" ref="S64">INDEX('AdverseEvent-ConceptMap-1'!$I$15:$N$124,Q64+1,R64)</f>
        <v>* group[=].element[=].display = ##34###34#</v>
      </c>
    </row>
    <row r="65" spans="2:19">
      <c r="B65" s="11"/>
      <c r="C65" s="11"/>
      <c r="D65" s="12"/>
      <c r="E65" s="12"/>
      <c r="F65" s="64"/>
      <c r="G65" s="124"/>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4"/>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4"/>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4"/>
      <c r="P68" s="11">
        <v>54</v>
      </c>
      <c r="Q68" s="11">
        <f t="shared" si="5"/>
        <v>8</v>
      </c>
      <c r="R68" s="11">
        <f t="shared" si="6"/>
        <v>6</v>
      </c>
      <c r="S68" s="12" t="str" cm="1">
        <f t="array" ref="S68">INDEX('AdverseEvent-ConceptMap-1'!$I$15:$N$124,Q68+1,R68)</f>
        <v/>
      </c>
    </row>
    <row r="69" spans="2:19">
      <c r="B69" s="11"/>
      <c r="C69" s="11"/>
      <c r="D69" s="12"/>
      <c r="E69" s="12"/>
      <c r="F69" s="64"/>
      <c r="G69" s="124"/>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4"/>
      <c r="P70" s="11">
        <v>56</v>
      </c>
      <c r="Q70" s="11">
        <f t="shared" si="5"/>
        <v>9</v>
      </c>
      <c r="R70" s="11">
        <f t="shared" si="6"/>
        <v>2</v>
      </c>
      <c r="S70" s="12" t="str" cm="1">
        <f t="array" ref="S70">INDEX('AdverseEvent-ConceptMap-1'!$I$15:$N$124,Q70+1,R70)</f>
        <v>* group[=].element[=].display = ##34###34#</v>
      </c>
    </row>
    <row r="71" spans="2:19">
      <c r="B71" s="11"/>
      <c r="C71" s="11"/>
      <c r="D71" s="12"/>
      <c r="E71" s="12"/>
      <c r="F71" s="64"/>
      <c r="G71" s="124"/>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4"/>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4"/>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4"/>
      <c r="P74" s="11">
        <v>60</v>
      </c>
      <c r="Q74" s="11">
        <f t="shared" si="5"/>
        <v>9</v>
      </c>
      <c r="R74" s="11">
        <f t="shared" si="6"/>
        <v>6</v>
      </c>
      <c r="S74" s="12" t="str" cm="1">
        <f t="array" ref="S74">INDEX('AdverseEvent-ConceptMap-1'!$I$15:$N$124,Q74+1,R74)</f>
        <v/>
      </c>
    </row>
    <row r="75" spans="2:19">
      <c r="B75" s="11"/>
      <c r="C75" s="11"/>
      <c r="D75" s="12"/>
      <c r="E75" s="12"/>
      <c r="F75" s="64"/>
      <c r="G75" s="124"/>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4"/>
      <c r="P76" s="11">
        <v>62</v>
      </c>
      <c r="Q76" s="11">
        <f t="shared" si="5"/>
        <v>10</v>
      </c>
      <c r="R76" s="11">
        <f t="shared" si="6"/>
        <v>2</v>
      </c>
      <c r="S76" s="12" t="str" cm="1">
        <f t="array" ref="S76">INDEX('AdverseEvent-ConceptMap-1'!$I$15:$N$124,Q76+1,R76)</f>
        <v>* group[=].element[=].display = ##34###34#</v>
      </c>
    </row>
    <row r="77" spans="2:19">
      <c r="B77" s="11"/>
      <c r="C77" s="11"/>
      <c r="D77" s="12"/>
      <c r="E77" s="12"/>
      <c r="F77" s="64"/>
      <c r="G77" s="124"/>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4"/>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4"/>
      <c r="P80" s="11">
        <v>66</v>
      </c>
      <c r="Q80" s="11">
        <f t="shared" si="9"/>
        <v>10</v>
      </c>
      <c r="R80" s="11">
        <f t="shared" si="10"/>
        <v>6</v>
      </c>
      <c r="S80" s="12" t="str" cm="1">
        <f t="array" ref="S80">INDEX('AdverseEvent-ConceptMap-1'!$I$15:$N$124,Q80+1,R80)</f>
        <v/>
      </c>
    </row>
    <row r="81" spans="2:19">
      <c r="B81" s="11"/>
      <c r="C81" s="11"/>
      <c r="D81" s="12"/>
      <c r="E81" s="12"/>
      <c r="F81" s="64"/>
      <c r="G81" s="124"/>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4"/>
      <c r="P82" s="11">
        <v>68</v>
      </c>
      <c r="Q82" s="11">
        <f t="shared" si="9"/>
        <v>11</v>
      </c>
      <c r="R82" s="11">
        <f t="shared" si="10"/>
        <v>2</v>
      </c>
      <c r="S82" s="12" t="str" cm="1">
        <f t="array" ref="S82">INDEX('AdverseEvent-ConceptMap-1'!$I$15:$N$124,Q82+1,R82)</f>
        <v>* group[=].element[=].display = ##34###34#</v>
      </c>
    </row>
    <row r="83" spans="2:19">
      <c r="B83" s="11"/>
      <c r="C83" s="11"/>
      <c r="D83" s="12"/>
      <c r="E83" s="12"/>
      <c r="F83" s="64"/>
      <c r="G83" s="124"/>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4"/>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4"/>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4"/>
      <c r="P86" s="11">
        <v>72</v>
      </c>
      <c r="Q86" s="11">
        <f t="shared" si="9"/>
        <v>11</v>
      </c>
      <c r="R86" s="11">
        <f t="shared" si="10"/>
        <v>6</v>
      </c>
      <c r="S86" s="12" t="str" cm="1">
        <f t="array" ref="S86">INDEX('AdverseEvent-ConceptMap-1'!$I$15:$N$124,Q86+1,R86)</f>
        <v/>
      </c>
    </row>
    <row r="87" spans="2:19">
      <c r="B87" s="11"/>
      <c r="C87" s="11"/>
      <c r="D87" s="12"/>
      <c r="E87" s="12"/>
      <c r="F87" s="64"/>
      <c r="G87" s="124"/>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4"/>
      <c r="P88" s="11">
        <v>74</v>
      </c>
      <c r="Q88" s="11">
        <f t="shared" si="9"/>
        <v>12</v>
      </c>
      <c r="R88" s="11">
        <f t="shared" si="10"/>
        <v>2</v>
      </c>
      <c r="S88" s="12" t="str" cm="1">
        <f t="array" ref="S88">INDEX('AdverseEvent-ConceptMap-1'!$I$15:$N$124,Q88+1,R88)</f>
        <v>* group[=].element[=].display = ##34###34#</v>
      </c>
    </row>
    <row r="89" spans="2:19">
      <c r="B89" s="11"/>
      <c r="C89" s="11"/>
      <c r="D89" s="12"/>
      <c r="E89" s="12"/>
      <c r="F89" s="64"/>
      <c r="G89" s="124"/>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4"/>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4"/>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4"/>
      <c r="P92" s="11">
        <v>78</v>
      </c>
      <c r="Q92" s="11">
        <f t="shared" si="9"/>
        <v>12</v>
      </c>
      <c r="R92" s="11">
        <f t="shared" si="10"/>
        <v>6</v>
      </c>
      <c r="S92" s="12" t="str" cm="1">
        <f t="array" ref="S92">INDEX('AdverseEvent-ConceptMap-1'!$I$15:$N$124,Q92+1,R92)</f>
        <v/>
      </c>
    </row>
    <row r="93" spans="2:19">
      <c r="B93" s="11"/>
      <c r="C93" s="11"/>
      <c r="D93" s="12"/>
      <c r="E93" s="12"/>
      <c r="F93" s="64"/>
      <c r="G93" s="124"/>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4"/>
      <c r="P94" s="11">
        <v>80</v>
      </c>
      <c r="Q94" s="11">
        <f t="shared" si="9"/>
        <v>13</v>
      </c>
      <c r="R94" s="11">
        <f t="shared" si="10"/>
        <v>2</v>
      </c>
      <c r="S94" s="12" t="str" cm="1">
        <f t="array" ref="S94">INDEX('AdverseEvent-ConceptMap-1'!$I$15:$N$124,Q94+1,R94)</f>
        <v>* group[=].element[=].display = ##34###34#</v>
      </c>
    </row>
    <row r="95" spans="2:19">
      <c r="B95" s="11"/>
      <c r="C95" s="11"/>
      <c r="D95" s="12"/>
      <c r="E95" s="12"/>
      <c r="F95" s="64"/>
      <c r="G95" s="124"/>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4"/>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4"/>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4"/>
      <c r="P98" s="11">
        <v>84</v>
      </c>
      <c r="Q98" s="11">
        <f t="shared" si="9"/>
        <v>13</v>
      </c>
      <c r="R98" s="11">
        <f t="shared" si="10"/>
        <v>6</v>
      </c>
      <c r="S98" s="12" t="str" cm="1">
        <f t="array" ref="S98">INDEX('AdverseEvent-ConceptMap-1'!$I$15:$N$124,Q98+1,R98)</f>
        <v/>
      </c>
    </row>
    <row r="99" spans="2:19">
      <c r="B99" s="11"/>
      <c r="C99" s="11"/>
      <c r="D99" s="12"/>
      <c r="E99" s="12"/>
      <c r="F99" s="64"/>
      <c r="G99" s="124"/>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4"/>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INDEX('AdverseEvent-ConceptMap-1'!$I$15:$N$124,Q104+1,R104)</f>
        <v/>
      </c>
    </row>
    <row r="105" spans="2:19">
      <c r="B105" s="11"/>
      <c r="C105" s="11"/>
      <c r="D105" s="12"/>
      <c r="E105" s="12"/>
      <c r="F105" s="64"/>
      <c r="G105" s="124"/>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4"/>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INDEX('AdverseEvent-ConceptMap-1'!$I$15:$N$124,Q110+1,R110)</f>
        <v/>
      </c>
    </row>
    <row r="111" spans="2:19">
      <c r="B111" s="11"/>
      <c r="C111" s="11"/>
      <c r="D111" s="12"/>
      <c r="E111" s="12"/>
      <c r="F111" s="64"/>
      <c r="G111" s="124"/>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4"/>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2338</v>
      </c>
    </row>
    <row r="3" spans="2:7">
      <c r="B3" s="24" t="s">
        <v>20</v>
      </c>
    </row>
    <row r="4" spans="2:7">
      <c r="B4" s="65" t="str">
        <f>"Instance: "&amp;'AdverseEvent-ConceptMap-1'!C4</f>
        <v>Instance: treatmentResponse2FHIR</v>
      </c>
    </row>
    <row r="5" spans="2:7">
      <c r="B5" s="65" t="s">
        <v>1447</v>
      </c>
    </row>
    <row r="6" spans="2:7">
      <c r="B6" s="65" t="s">
        <v>1438</v>
      </c>
    </row>
    <row r="7" spans="2:7">
      <c r="B7" s="65" t="s">
        <v>1793</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2"/>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2372</v>
      </c>
      <c r="J4" s="16" t="str">
        <f>CONCATENATE("Logical: ",B4)</f>
        <v>Logical: GeneticTestExpressionI4rc</v>
      </c>
    </row>
    <row r="5" spans="1:12" ht="15.5" thickBot="1">
      <c r="A5" s="14" t="s">
        <v>16</v>
      </c>
      <c r="B5" s="45" t="s">
        <v>2339</v>
      </c>
      <c r="J5" s="16" t="str">
        <f>CONCATENATE("Id: ",B5)</f>
        <v>Id: GeneticTestExpression</v>
      </c>
    </row>
    <row r="6" spans="1:12" ht="15.5" thickBot="1">
      <c r="A6" s="14" t="s">
        <v>10</v>
      </c>
      <c r="B6" s="45" t="s">
        <v>2340</v>
      </c>
      <c r="J6" s="17" t="str">
        <f>CONCATENATE("Title: ##34#",B6,"##34#")</f>
        <v>Title: ##34#Genetic Test Expression##34#</v>
      </c>
    </row>
    <row r="7" spans="1:12">
      <c r="A7" s="26" t="s">
        <v>2</v>
      </c>
      <c r="B7" s="150" t="s">
        <v>2340</v>
      </c>
      <c r="C7" s="9" t="s">
        <v>3</v>
      </c>
      <c r="D7" s="1" t="s">
        <v>4</v>
      </c>
      <c r="E7" s="3" t="s">
        <v>5</v>
      </c>
      <c r="F7" s="3" t="s">
        <v>6</v>
      </c>
      <c r="G7" s="3" t="s">
        <v>7</v>
      </c>
      <c r="H7" s="105" t="s">
        <v>1610</v>
      </c>
      <c r="J7" s="17" t="str">
        <f>CONCATENATE("Description: "," ##334#",B7,"##334#",)</f>
        <v>Description:  ##334#Genetic Test Expression##334#</v>
      </c>
    </row>
    <row r="8" spans="1:12" ht="59">
      <c r="A8" s="100">
        <v>0</v>
      </c>
      <c r="B8" s="11" t="s">
        <v>1938</v>
      </c>
      <c r="C8" s="152" t="s">
        <v>1945</v>
      </c>
      <c r="D8" s="11" t="s">
        <v>1897</v>
      </c>
      <c r="E8" s="11">
        <v>1</v>
      </c>
      <c r="F8" s="11">
        <v>1</v>
      </c>
      <c r="G8" s="11" t="s">
        <v>1994</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2341</v>
      </c>
      <c r="C9" s="152" t="s">
        <v>1945</v>
      </c>
      <c r="D9" s="11" t="s">
        <v>2342</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2343</v>
      </c>
      <c r="C10" s="152" t="s">
        <v>1945</v>
      </c>
      <c r="D10" s="11" t="s">
        <v>2344</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2345</v>
      </c>
      <c r="C11" s="152" t="s">
        <v>1945</v>
      </c>
      <c r="D11" s="11" t="s">
        <v>2346</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2347</v>
      </c>
      <c r="C12" s="152" t="s">
        <v>1945</v>
      </c>
      <c r="D12" s="11" t="s">
        <v>2348</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2349</v>
      </c>
      <c r="C13" s="152" t="s">
        <v>1945</v>
      </c>
      <c r="D13" s="11" t="s">
        <v>2350</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2351</v>
      </c>
      <c r="C14" s="152" t="s">
        <v>1945</v>
      </c>
      <c r="D14" s="11" t="s">
        <v>2352</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2353</v>
      </c>
      <c r="C15" s="152" t="s">
        <v>1945</v>
      </c>
      <c r="D15" s="11" t="s">
        <v>2354</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2355</v>
      </c>
      <c r="C16" s="152" t="s">
        <v>1945</v>
      </c>
      <c r="D16" s="11" t="s">
        <v>2356</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2357</v>
      </c>
      <c r="C17" s="152" t="s">
        <v>1945</v>
      </c>
      <c r="D17" s="11" t="s">
        <v>2358</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2359</v>
      </c>
      <c r="C18" s="152" t="s">
        <v>1945</v>
      </c>
      <c r="D18" s="11" t="s">
        <v>2360</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2361</v>
      </c>
      <c r="C19" s="152" t="s">
        <v>1945</v>
      </c>
      <c r="D19" s="11" t="s">
        <v>2362</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2363</v>
      </c>
      <c r="C20" s="152" t="s">
        <v>1945</v>
      </c>
      <c r="D20" s="11" t="s">
        <v>2364</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2365</v>
      </c>
      <c r="C21" s="152" t="s">
        <v>1945</v>
      </c>
      <c r="D21" s="11" t="s">
        <v>2366</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2367</v>
      </c>
      <c r="C22" s="152" t="s">
        <v>1945</v>
      </c>
      <c r="D22" s="11" t="s">
        <v>2368</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5" customWidth="1"/>
    <col min="7" max="7" width="29.54296875" customWidth="1"/>
    <col min="8" max="8" width="54.90625" customWidth="1"/>
  </cols>
  <sheetData>
    <row r="1" spans="3:7" ht="15.5" thickBot="1">
      <c r="C1" s="153" t="str">
        <f>GeneticTestExpression!J1</f>
        <v>//===================================================</v>
      </c>
    </row>
    <row r="2" spans="3:7" ht="16.75" thickBot="1">
      <c r="C2" s="24" t="str">
        <f>GeneticTestExpression!J2</f>
        <v>//  Logical Model</v>
      </c>
      <c r="G2" s="29" t="s">
        <v>2369</v>
      </c>
    </row>
    <row r="3" spans="3:7">
      <c r="C3" s="24" t="str">
        <f>GeneticTestExpression!J3</f>
        <v>//===================================================</v>
      </c>
    </row>
    <row r="4" spans="3:7">
      <c r="C4" s="154" t="str">
        <f>GeneticTestExpression!J4</f>
        <v>Logical: GeneticTestExpressionI4rc</v>
      </c>
    </row>
    <row r="5" spans="3:7">
      <c r="C5" s="154" t="str">
        <f>GeneticTestExpression!J5</f>
        <v>Id: GeneticTestExpression</v>
      </c>
    </row>
    <row r="6" spans="3:7">
      <c r="C6" s="154" t="str">
        <f>GeneticTestExpression!J6</f>
        <v>Title: ##34#Genetic Test Expression##34#</v>
      </c>
    </row>
    <row r="7" spans="3:7">
      <c r="C7" s="154" t="str">
        <f>GeneticTestExpression!J7</f>
        <v>Description:  ##334#Genetic Test Expression##334#</v>
      </c>
    </row>
    <row r="8" spans="3:7" ht="29.5">
      <c r="C8" s="155"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5" t="str">
        <f>IF(GeneticTestExpression!J9="*  ..  ##34###34# ##334###334#","//--- END",GeneticTestExpression!J9)</f>
        <v>* geneExpressionAnalysisPerformed 0..1 boolean ##34#Cancer Episode Reference##34# ##334#Clarifies whether a gene expression analysis is performed##334#</v>
      </c>
    </row>
    <row r="10" spans="3:7">
      <c r="C10" s="155" t="str">
        <f>IF(GeneticTestExpression!J10="*  ..  ##34###34# ##334###334#","//--- END",GeneticTestExpression!J10)</f>
        <v>* dateOfGeneExpression 0..1 date ##34#Cancer Episode Reference##34# ##334#Date of the gene expression analysis##334#</v>
      </c>
    </row>
    <row r="11" spans="3:7" ht="29.5">
      <c r="C11" s="155" t="str">
        <f>IF(GeneticTestExpression!J11="*  ..  ##34###34# ##334###334#","//--- END",GeneticTestExpression!J11)</f>
        <v>* geneMutationAnalysisPerformed 0..1 boolean ##34#Cancer Episode Reference##34# ##334#Clarifies whether a gene mutation analysis is performed##334#</v>
      </c>
    </row>
    <row r="12" spans="3:7">
      <c r="C12" s="155" t="str">
        <f>IF(GeneticTestExpression!J12="*  ..  ##34###34# ##334###334#","//--- END",GeneticTestExpression!J12)</f>
        <v>* dateOfGeneMutation 0..1 date ##34#Cancer Episode Reference##34# ##334#Date of the gene mutation analysis##334#</v>
      </c>
    </row>
    <row r="13" spans="3:7" ht="29.5">
      <c r="C13" s="155" t="str">
        <f>IF(GeneticTestExpression!J13="*  ..  ##34###34# ##334###334#","//--- END",GeneticTestExpression!J13)</f>
        <v>* testsForChromosomeTranslocationsPerformed 0..1 boolean ##34#Cancer Episode Reference##34# ##334#Clarifies whether a tests for chromosome translocations is performed##334#</v>
      </c>
    </row>
    <row r="14" spans="3:7">
      <c r="C14" s="155" t="str">
        <f>IF(GeneticTestExpression!J14="*  ..  ##34###34# ##334###334#","//--- END",GeneticTestExpression!J14)</f>
        <v>* dateOfTraslocation 0..1 date ##34#Cancer Episode Reference##34# ##334#Date of the Chromosome translocation test##334#</v>
      </c>
    </row>
    <row r="15" spans="3:7" ht="29.5">
      <c r="C15" s="155" t="str">
        <f>IF(GeneticTestExpression!J15="*  ..  ##34###34# ##334###334#","//--- END",GeneticTestExpression!J15)</f>
        <v>* nextGenerationSequencingNgsPerformed 0..1 boolean ##34#Cancer Episode Reference##34# ##334#Clarifies whether a NGS analysis is performed##334#</v>
      </c>
    </row>
    <row r="16" spans="3:7">
      <c r="C16" s="155" t="str">
        <f>IF(GeneticTestExpression!J16="*  ..  ##34###34# ##334###334#","//--- END",GeneticTestExpression!J16)</f>
        <v>* dateOfNgs 0..1 date ##34#Cancer Episode Reference##34# ##334#Date of the NGS analysis##334#</v>
      </c>
    </row>
    <row r="17" spans="3:3" ht="29.5">
      <c r="C17" s="155" t="str">
        <f>IF(GeneticTestExpression!J17="*  ..  ##34###34# ##334###334#","//--- END",GeneticTestExpression!J17)</f>
        <v>* polymeraseChainReactionPcrTestPerformed 0..1 boolean ##34#Cancer Episode Reference##34# ##334#Clarifies whether a PCR analysis is performed##334#</v>
      </c>
    </row>
    <row r="18" spans="3:3">
      <c r="C18" s="155" t="str">
        <f>IF(GeneticTestExpression!J18="*  ..  ##34###34# ##334###334#","//--- END",GeneticTestExpression!J18)</f>
        <v>* dateOfPcr 0..1 date ##34#Cancer Episode Reference##34# ##334#Date of the PCR analysis##334#</v>
      </c>
    </row>
    <row r="19" spans="3:3" ht="29.5">
      <c r="C19" s="155" t="str">
        <f>IF(GeneticTestExpression!J19="*  ..  ##34###34# ##334###334#","//--- END",GeneticTestExpression!J19)</f>
        <v>* immunohistochemistryPerformed 0..1 boolean ##34#Cancer Episode Reference##34# ##334#Clarifies whether a immunohiostochemestry analysis is performed##334#</v>
      </c>
    </row>
    <row r="20" spans="3:3" ht="29.5">
      <c r="C20" s="155" t="str">
        <f>IF(GeneticTestExpression!J20="*  ..  ##34###34# ##334###334#","//--- END",GeneticTestExpression!J20)</f>
        <v>* dateOfImmunohistochemistry 0..1 date ##34#Cancer Episode Reference##34# ##334#Date of the immunohiostochemestry analysis##334#</v>
      </c>
    </row>
    <row r="21" spans="3:3" ht="29.5">
      <c r="C21" s="155" t="str">
        <f>IF(GeneticTestExpression!J21="*  ..  ##34###34# ##334###334#","//--- END",GeneticTestExpression!J21)</f>
        <v>* circulatingTumourDnaCtdnaPerformed 0..1 boolean ##34#Cancer Episode Reference##34# ##334#Clarifies whether a ctDNA analysis is performed##334#</v>
      </c>
    </row>
    <row r="22" spans="3:3">
      <c r="C22" s="155" t="str">
        <f>IF(GeneticTestExpression!J22="*  ..  ##34###34# ##334###334#","//--- END",GeneticTestExpression!J22)</f>
        <v>* dateOfCtdna 0..1 date ##34#Cancer Episode Reference##34# ##334#Date of the ctDNA analysis##334#</v>
      </c>
    </row>
    <row r="23" spans="3:3">
      <c r="C23" s="155" t="str">
        <f>IF(GeneticTestExpression!J23="*  ..  ##34###34# ##334###334#","//--- END",GeneticTestExpression!J23)</f>
        <v>//--- END</v>
      </c>
    </row>
    <row r="24" spans="3:3">
      <c r="C24" s="155" t="str">
        <f>IF(GeneticTestExpression!J24="*  ..  ##34###34# ##334###334#","//--- END",GeneticTestExpression!J24)</f>
        <v>//--- END</v>
      </c>
    </row>
    <row r="25" spans="3:3">
      <c r="C25" s="155" t="str">
        <f>IF(GeneticTestExpression!J25="*  ..  ##34###34# ##334###334#","//--- END",GeneticTestExpression!J25)</f>
        <v>//--- END</v>
      </c>
    </row>
    <row r="26" spans="3:3">
      <c r="C26" s="155" t="str">
        <f>IF(GeneticTestExpression!J26="*  ..  ##34###34# ##334###334#","//--- END",GeneticTestExpression!J26)</f>
        <v>//--- END</v>
      </c>
    </row>
    <row r="27" spans="3:3">
      <c r="C27" s="155" t="str">
        <f>IF(GeneticTestExpression!J27="*  ..  ##34###34# ##334###334#","//--- END",GeneticTestExpression!J27)</f>
        <v>//--- END</v>
      </c>
    </row>
    <row r="31" spans="3:3">
      <c r="C31" s="153" t="s">
        <v>1613</v>
      </c>
    </row>
    <row r="32" spans="3:3">
      <c r="C32" s="24" t="s">
        <v>1651</v>
      </c>
    </row>
    <row r="33" spans="3:3">
      <c r="C33" s="24" t="s">
        <v>1613</v>
      </c>
    </row>
    <row r="34" spans="3:3">
      <c r="C34" s="155" t="str">
        <f>IF(GeneticTestExpression!L8="*  ..  ##34###34# ##334###334#","//--- END",GeneticTestExpression!L8)</f>
        <v/>
      </c>
    </row>
    <row r="35" spans="3:3">
      <c r="C35" s="155" t="str">
        <f>IF(GeneticTestExpression!L9="*  ..  ##34###34# ##334###334#","//--- END",GeneticTestExpression!L9)</f>
        <v/>
      </c>
    </row>
    <row r="36" spans="3:3">
      <c r="C36" s="155" t="str">
        <f>IF(GeneticTestExpression!L10="*  ..  ##34###34# ##334###334#","//--- END",GeneticTestExpression!L10)</f>
        <v/>
      </c>
    </row>
    <row r="37" spans="3:3">
      <c r="C37" s="155" t="str">
        <f>IF(GeneticTestExpression!L11="*  ..  ##34###34# ##334###334#","//--- END",GeneticTestExpression!L11)</f>
        <v/>
      </c>
    </row>
    <row r="38" spans="3:3">
      <c r="C38" s="155" t="str">
        <f>IF(GeneticTestExpression!L12="*  ..  ##34###34# ##334###334#","//--- END",GeneticTestExpression!L12)</f>
        <v/>
      </c>
    </row>
    <row r="39" spans="3:3">
      <c r="C39" s="155" t="str">
        <f>IF(GeneticTestExpression!L13="*  ..  ##34###34# ##334###334#","//--- END",GeneticTestExpression!L13)</f>
        <v/>
      </c>
    </row>
    <row r="40" spans="3:3">
      <c r="C40" s="155" t="str">
        <f>IF(GeneticTestExpression!L14="*  ..  ##34###34# ##334###334#","//--- END",GeneticTestExpression!L14)</f>
        <v/>
      </c>
    </row>
    <row r="41" spans="3:3">
      <c r="C41" s="155" t="str">
        <f>IF(GeneticTestExpression!L15="*  ..  ##34###34# ##334###334#","//--- END",GeneticTestExpression!L15)</f>
        <v/>
      </c>
    </row>
    <row r="42" spans="3:3">
      <c r="C42" s="155" t="str">
        <f>IF(GeneticTestExpression!L16="*  ..  ##34###34# ##334###334#","//--- END",GeneticTestExpression!L16)</f>
        <v/>
      </c>
    </row>
    <row r="43" spans="3:3">
      <c r="C43" s="155" t="str">
        <f>IF(GeneticTestExpression!L17="*  ..  ##34###34# ##334###334#","//--- END",GeneticTestExpression!L17)</f>
        <v/>
      </c>
    </row>
    <row r="44" spans="3:3">
      <c r="C44" s="155" t="str">
        <f>IF(GeneticTestExpression!L18="*  ..  ##34###34# ##334###334#","//--- END",GeneticTestExpression!L18)</f>
        <v/>
      </c>
    </row>
    <row r="45" spans="3:3">
      <c r="C45" s="155" t="str">
        <f>IF(GeneticTestExpression!L19="*  ..  ##34###34# ##334###334#","//--- END",GeneticTestExpression!L19)</f>
        <v/>
      </c>
    </row>
    <row r="46" spans="3:3">
      <c r="C46" s="155" t="str">
        <f>IF(GeneticTestExpression!L20="*  ..  ##34###34# ##334###334#","//--- END",GeneticTestExpression!L20)</f>
        <v/>
      </c>
    </row>
    <row r="47" spans="3:3">
      <c r="C47" s="155" t="str">
        <f>IF(GeneticTestExpression!L21="*  ..  ##34###34# ##334###334#","//--- END",GeneticTestExpression!L21)</f>
        <v/>
      </c>
    </row>
    <row r="48" spans="3:3">
      <c r="C48" s="155" t="str">
        <f>IF(GeneticTestExpression!L22="*  ..  ##34###34# ##334###334#","//--- END",GeneticTestExpression!L22)</f>
        <v/>
      </c>
    </row>
    <row r="49" spans="3:3">
      <c r="C49" s="155" t="str">
        <f>IF(GeneticTestExpression!L23="*  ..  ##34###34# ##334###334#","//--- END",GeneticTestExpression!L23)</f>
        <v>//--- END</v>
      </c>
    </row>
    <row r="50" spans="3:3">
      <c r="C50" s="155" t="str">
        <f>IF(GeneticTestExpression!L24="*  ..  ##34###34# ##334###334#","//--- END",GeneticTestExpression!L24)</f>
        <v>//--- END</v>
      </c>
    </row>
    <row r="51" spans="3:3">
      <c r="C51" s="155" t="str">
        <f>IF(GeneticTestExpression!L25="*  ..  ##34###34# ##334###334#","//--- END",GeneticTestExpression!L25)</f>
        <v>//--- END</v>
      </c>
    </row>
    <row r="52" spans="3:3">
      <c r="C52" s="155" t="str">
        <f>IF(GeneticTestExpression!L26="*  ..  ##34###34# ##334###334#","//--- END",GeneticTestExpression!L26)</f>
        <v>//--- END</v>
      </c>
    </row>
    <row r="53" spans="3:3">
      <c r="C53" s="155" t="str">
        <f>IF(GeneticTestExpression!L27="*  ..  ##34###34# ##334###334#","//--- END",GeneticTestExpression!L27)</f>
        <v>//--- END</v>
      </c>
    </row>
    <row r="54" spans="3:3">
      <c r="C54" s="155"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1798</v>
      </c>
    </row>
    <row r="2" spans="1:19" ht="15.5" thickBot="1"/>
    <row r="3" spans="1:19" ht="15.5" thickBot="1">
      <c r="B3" s="62" t="s">
        <v>17</v>
      </c>
      <c r="C3" s="28" t="s">
        <v>2316</v>
      </c>
      <c r="D3" s="62" t="s">
        <v>1786</v>
      </c>
      <c r="E3" s="118" t="str">
        <f>$C$1&amp;B14</f>
        <v>http://hl7.eu/fhir/ig/idea4rc/StructureDefinition/GeneticTestExpressionI4rc</v>
      </c>
    </row>
    <row r="4" spans="1:19">
      <c r="B4" s="62" t="s">
        <v>16</v>
      </c>
      <c r="C4" s="28" t="s">
        <v>2316</v>
      </c>
      <c r="D4" s="62" t="s">
        <v>1787</v>
      </c>
      <c r="E4" s="168" t="s">
        <v>2267</v>
      </c>
      <c r="F4" s="169"/>
      <c r="G4" s="169"/>
    </row>
    <row r="5" spans="1:19">
      <c r="B5" s="62" t="s">
        <v>10</v>
      </c>
      <c r="C5" s="7" t="s">
        <v>2224</v>
      </c>
      <c r="D5" s="62"/>
      <c r="E5" s="7"/>
    </row>
    <row r="6" spans="1:19">
      <c r="B6" s="62" t="s">
        <v>18</v>
      </c>
      <c r="C6" s="56"/>
      <c r="D6" s="62" t="s">
        <v>1788</v>
      </c>
      <c r="E6" s="168" t="str">
        <f>E3</f>
        <v>http://hl7.eu/fhir/ig/idea4rc/StructureDefinition/GeneticTestExpressionI4rc</v>
      </c>
      <c r="F6" s="169"/>
      <c r="G6" s="169"/>
    </row>
    <row r="7" spans="1:19">
      <c r="B7" s="62" t="s">
        <v>15</v>
      </c>
      <c r="C7" s="119"/>
      <c r="D7" s="62" t="s">
        <v>1789</v>
      </c>
      <c r="E7" s="168" t="str">
        <f>E4</f>
        <v>http://hl7.eu/fhir/ig/idea4rc/StructureDefinition/Procedure-radiotheraphy-eu-i4rc</v>
      </c>
      <c r="F7" s="169"/>
      <c r="G7" s="169"/>
    </row>
    <row r="8" spans="1:19" ht="45" thickBot="1">
      <c r="B8" s="62" t="s">
        <v>1790</v>
      </c>
      <c r="C8" s="7" t="s">
        <v>2224</v>
      </c>
      <c r="D8" s="62"/>
      <c r="E8" s="7"/>
      <c r="I8" s="12" t="s">
        <v>1402</v>
      </c>
      <c r="J8" s="12" t="s">
        <v>1403</v>
      </c>
      <c r="K8" s="12" t="s">
        <v>1404</v>
      </c>
      <c r="L8" s="12" t="s">
        <v>1405</v>
      </c>
      <c r="M8" s="11" t="s">
        <v>1406</v>
      </c>
      <c r="P8" s="49" t="s">
        <v>1441</v>
      </c>
      <c r="Q8" s="49">
        <v>6</v>
      </c>
    </row>
    <row r="9" spans="1:19" ht="30.25" thickBot="1">
      <c r="B9" s="62" t="s">
        <v>1791</v>
      </c>
      <c r="C9" s="12" t="s">
        <v>2225</v>
      </c>
      <c r="D9" s="144"/>
      <c r="E9" s="170"/>
      <c r="F9" s="171"/>
      <c r="G9" s="172"/>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2207</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4"/>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4"/>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4"/>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4"/>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4"/>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4"/>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4"/>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4"/>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4"/>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4"/>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4"/>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4"/>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4"/>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4"/>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4"/>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4"/>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4"/>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4"/>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4"/>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4"/>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4"/>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4"/>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4"/>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4"/>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4"/>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4"/>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4"/>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4"/>
      <c r="P46" s="11">
        <v>32</v>
      </c>
      <c r="Q46" s="11">
        <f t="shared" si="5"/>
        <v>5</v>
      </c>
      <c r="R46" s="11">
        <f t="shared" si="6"/>
        <v>2</v>
      </c>
      <c r="S46" s="12" t="str" cm="1">
        <f t="array" ref="S46">INDEX('GeneticTestExp-ConceptMap-1'!$I$15:$N$124,Q46+1,R46)</f>
        <v>* group[=].element[=].display = ##34###34#</v>
      </c>
    </row>
    <row r="47" spans="1:19">
      <c r="B47" s="11"/>
      <c r="C47" s="11"/>
      <c r="D47" s="12"/>
      <c r="E47" s="12"/>
      <c r="F47" s="64"/>
      <c r="G47" s="124"/>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4"/>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4"/>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4"/>
      <c r="P50" s="11">
        <v>36</v>
      </c>
      <c r="Q50" s="11">
        <f t="shared" si="5"/>
        <v>5</v>
      </c>
      <c r="R50" s="11">
        <f t="shared" si="6"/>
        <v>6</v>
      </c>
      <c r="S50" s="12" t="str" cm="1">
        <f t="array" ref="S50">INDEX('GeneticTestExp-ConceptMap-1'!$I$15:$N$124,Q50+1,R50)</f>
        <v/>
      </c>
    </row>
    <row r="51" spans="2:19">
      <c r="B51" s="11"/>
      <c r="C51" s="11"/>
      <c r="D51" s="12"/>
      <c r="E51" s="12"/>
      <c r="F51" s="64"/>
      <c r="G51" s="124"/>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4"/>
      <c r="P52" s="11">
        <v>38</v>
      </c>
      <c r="Q52" s="11">
        <f t="shared" si="5"/>
        <v>6</v>
      </c>
      <c r="R52" s="11">
        <f t="shared" si="6"/>
        <v>2</v>
      </c>
      <c r="S52" s="12" t="str" cm="1">
        <f t="array" ref="S52">INDEX('GeneticTestExp-ConceptMap-1'!$I$15:$N$124,Q52+1,R52)</f>
        <v>* group[=].element[=].display = ##34###34#</v>
      </c>
    </row>
    <row r="53" spans="2:19">
      <c r="B53" s="11"/>
      <c r="C53" s="11"/>
      <c r="D53" s="12"/>
      <c r="E53" s="12"/>
      <c r="F53" s="64"/>
      <c r="G53" s="124"/>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4"/>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4"/>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4"/>
      <c r="P56" s="11">
        <v>42</v>
      </c>
      <c r="Q56" s="11">
        <f t="shared" si="5"/>
        <v>6</v>
      </c>
      <c r="R56" s="11">
        <f t="shared" si="6"/>
        <v>6</v>
      </c>
      <c r="S56" s="12" t="str" cm="1">
        <f t="array" ref="S56">INDEX('GeneticTestExp-ConceptMap-1'!$I$15:$N$124,Q56+1,R56)</f>
        <v/>
      </c>
    </row>
    <row r="57" spans="2:19">
      <c r="B57" s="11"/>
      <c r="C57" s="11"/>
      <c r="D57" s="12"/>
      <c r="E57" s="12"/>
      <c r="F57" s="64"/>
      <c r="G57" s="124"/>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4"/>
      <c r="P58" s="11">
        <v>44</v>
      </c>
      <c r="Q58" s="11">
        <f t="shared" si="5"/>
        <v>7</v>
      </c>
      <c r="R58" s="11">
        <f t="shared" si="6"/>
        <v>2</v>
      </c>
      <c r="S58" s="12" t="str" cm="1">
        <f t="array" ref="S58">INDEX('GeneticTestExp-ConceptMap-1'!$I$15:$N$124,Q58+1,R58)</f>
        <v>* group[=].element[=].display = ##34###34#</v>
      </c>
    </row>
    <row r="59" spans="2:19">
      <c r="B59" s="11"/>
      <c r="C59" s="11"/>
      <c r="D59" s="12"/>
      <c r="E59" s="12"/>
      <c r="F59" s="64"/>
      <c r="G59" s="124"/>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4"/>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4"/>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4"/>
      <c r="P62" s="11">
        <v>48</v>
      </c>
      <c r="Q62" s="11">
        <f t="shared" si="5"/>
        <v>7</v>
      </c>
      <c r="R62" s="11">
        <f t="shared" si="6"/>
        <v>6</v>
      </c>
      <c r="S62" s="12" t="str" cm="1">
        <f t="array" ref="S62">INDEX('GeneticTestExp-ConceptMap-1'!$I$15:$N$124,Q62+1,R62)</f>
        <v/>
      </c>
    </row>
    <row r="63" spans="2:19">
      <c r="B63" s="11"/>
      <c r="C63" s="11"/>
      <c r="D63" s="12"/>
      <c r="E63" s="12"/>
      <c r="F63" s="64"/>
      <c r="G63" s="124"/>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4"/>
      <c r="P64" s="11">
        <v>50</v>
      </c>
      <c r="Q64" s="11">
        <f t="shared" si="5"/>
        <v>8</v>
      </c>
      <c r="R64" s="11">
        <f t="shared" si="6"/>
        <v>2</v>
      </c>
      <c r="S64" s="12" t="str" cm="1">
        <f t="array" ref="S64">INDEX('GeneticTestExp-ConceptMap-1'!$I$15:$N$124,Q64+1,R64)</f>
        <v>* group[=].element[=].display = ##34###34#</v>
      </c>
    </row>
    <row r="65" spans="2:19">
      <c r="B65" s="11"/>
      <c r="C65" s="11"/>
      <c r="D65" s="12"/>
      <c r="E65" s="12"/>
      <c r="F65" s="64"/>
      <c r="G65" s="124"/>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4"/>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4"/>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4"/>
      <c r="P68" s="11">
        <v>54</v>
      </c>
      <c r="Q68" s="11">
        <f t="shared" si="5"/>
        <v>8</v>
      </c>
      <c r="R68" s="11">
        <f t="shared" si="6"/>
        <v>6</v>
      </c>
      <c r="S68" s="12" t="str" cm="1">
        <f t="array" ref="S68">INDEX('GeneticTestExp-ConceptMap-1'!$I$15:$N$124,Q68+1,R68)</f>
        <v/>
      </c>
    </row>
    <row r="69" spans="2:19">
      <c r="B69" s="11"/>
      <c r="C69" s="11"/>
      <c r="D69" s="12"/>
      <c r="E69" s="12"/>
      <c r="F69" s="64"/>
      <c r="G69" s="124"/>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4"/>
      <c r="P70" s="11">
        <v>56</v>
      </c>
      <c r="Q70" s="11">
        <f t="shared" si="5"/>
        <v>9</v>
      </c>
      <c r="R70" s="11">
        <f t="shared" si="6"/>
        <v>2</v>
      </c>
      <c r="S70" s="12" t="str" cm="1">
        <f t="array" ref="S70">INDEX('GeneticTestExp-ConceptMap-1'!$I$15:$N$124,Q70+1,R70)</f>
        <v>* group[=].element[=].display = ##34###34#</v>
      </c>
    </row>
    <row r="71" spans="2:19">
      <c r="B71" s="11"/>
      <c r="C71" s="11"/>
      <c r="D71" s="12"/>
      <c r="E71" s="12"/>
      <c r="F71" s="64"/>
      <c r="G71" s="124"/>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4"/>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4"/>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4"/>
      <c r="P74" s="11">
        <v>60</v>
      </c>
      <c r="Q74" s="11">
        <f t="shared" si="5"/>
        <v>9</v>
      </c>
      <c r="R74" s="11">
        <f t="shared" si="6"/>
        <v>6</v>
      </c>
      <c r="S74" s="12" t="str" cm="1">
        <f t="array" ref="S74">INDEX('GeneticTestExp-ConceptMap-1'!$I$15:$N$124,Q74+1,R74)</f>
        <v/>
      </c>
    </row>
    <row r="75" spans="2:19">
      <c r="B75" s="11"/>
      <c r="C75" s="11"/>
      <c r="D75" s="12"/>
      <c r="E75" s="12"/>
      <c r="F75" s="64"/>
      <c r="G75" s="124"/>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4"/>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4"/>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4"/>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4"/>
      <c r="P80" s="11">
        <v>66</v>
      </c>
      <c r="Q80" s="11">
        <f t="shared" si="9"/>
        <v>10</v>
      </c>
      <c r="R80" s="11">
        <f t="shared" si="10"/>
        <v>6</v>
      </c>
      <c r="S80" s="12" t="str" cm="1">
        <f t="array" ref="S80">INDEX('GeneticTestExp-ConceptMap-1'!$I$15:$N$124,Q80+1,R80)</f>
        <v/>
      </c>
    </row>
    <row r="81" spans="2:19">
      <c r="B81" s="11"/>
      <c r="C81" s="11"/>
      <c r="D81" s="12"/>
      <c r="E81" s="12"/>
      <c r="F81" s="64"/>
      <c r="G81" s="124"/>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4"/>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4"/>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4"/>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4"/>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4"/>
      <c r="P86" s="11">
        <v>72</v>
      </c>
      <c r="Q86" s="11">
        <f t="shared" si="9"/>
        <v>11</v>
      </c>
      <c r="R86" s="11">
        <f t="shared" si="10"/>
        <v>6</v>
      </c>
      <c r="S86" s="12" t="str" cm="1">
        <f t="array" ref="S86">INDEX('GeneticTestExp-ConceptMap-1'!$I$15:$N$124,Q86+1,R86)</f>
        <v/>
      </c>
    </row>
    <row r="87" spans="2:19">
      <c r="B87" s="11"/>
      <c r="C87" s="11"/>
      <c r="D87" s="12"/>
      <c r="E87" s="12"/>
      <c r="F87" s="64"/>
      <c r="G87" s="124"/>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4"/>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4"/>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4"/>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4"/>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4"/>
      <c r="P92" s="11">
        <v>78</v>
      </c>
      <c r="Q92" s="11">
        <f t="shared" si="9"/>
        <v>12</v>
      </c>
      <c r="R92" s="11">
        <f t="shared" si="10"/>
        <v>6</v>
      </c>
      <c r="S92" s="12" t="str" cm="1">
        <f t="array" ref="S92">INDEX('GeneticTestExp-ConceptMap-1'!$I$15:$N$124,Q92+1,R92)</f>
        <v/>
      </c>
    </row>
    <row r="93" spans="2:19">
      <c r="B93" s="11"/>
      <c r="C93" s="11"/>
      <c r="D93" s="12"/>
      <c r="E93" s="12"/>
      <c r="F93" s="64"/>
      <c r="G93" s="124"/>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4"/>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4"/>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4"/>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4"/>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4"/>
      <c r="P98" s="11">
        <v>84</v>
      </c>
      <c r="Q98" s="11">
        <f t="shared" si="9"/>
        <v>13</v>
      </c>
      <c r="R98" s="11">
        <f t="shared" si="10"/>
        <v>6</v>
      </c>
      <c r="S98" s="12" t="str" cm="1">
        <f t="array" ref="S98">INDEX('GeneticTestExp-ConceptMap-1'!$I$15:$N$124,Q98+1,R98)</f>
        <v/>
      </c>
    </row>
    <row r="99" spans="2:19">
      <c r="B99" s="11"/>
      <c r="C99" s="11"/>
      <c r="D99" s="12"/>
      <c r="E99" s="12"/>
      <c r="F99" s="64"/>
      <c r="G99" s="124"/>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4"/>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INDEX('GeneticTestExp-ConceptMap-1'!$I$15:$N$124,Q104+1,R104)</f>
        <v/>
      </c>
    </row>
    <row r="105" spans="2:19">
      <c r="B105" s="11"/>
      <c r="C105" s="11"/>
      <c r="D105" s="12"/>
      <c r="E105" s="12"/>
      <c r="F105" s="64"/>
      <c r="G105" s="124"/>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4"/>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INDEX('GeneticTestExp-ConceptMap-1'!$I$15:$N$124,Q110+1,R110)</f>
        <v/>
      </c>
    </row>
    <row r="111" spans="2:19">
      <c r="B111" s="11"/>
      <c r="C111" s="11"/>
      <c r="D111" s="12"/>
      <c r="E111" s="12"/>
      <c r="F111" s="64"/>
      <c r="G111" s="124"/>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4"/>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2338</v>
      </c>
    </row>
    <row r="3" spans="2:7">
      <c r="B3" s="24" t="s">
        <v>20</v>
      </c>
    </row>
    <row r="4" spans="2:7">
      <c r="B4" s="65" t="str">
        <f>"Instance: "&amp;'GeneticTestExp-ConceptMap-1'!C4</f>
        <v>Instance: treatmentResponse2FHIR</v>
      </c>
    </row>
    <row r="5" spans="2:7">
      <c r="B5" s="65" t="s">
        <v>1447</v>
      </c>
    </row>
    <row r="6" spans="2:7">
      <c r="B6" s="65" t="s">
        <v>1438</v>
      </c>
    </row>
    <row r="7" spans="2:7">
      <c r="B7" s="65" t="s">
        <v>1793</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2"/>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80</vt:i4>
      </vt:variant>
    </vt:vector>
  </HeadingPairs>
  <TitlesOfParts>
    <vt:vector size="80"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Subject-ConceptMap-5-8</vt:lpstr>
      <vt:lpstr>Subject-ConceptMap-9</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2023-11-07T13:38:38Z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